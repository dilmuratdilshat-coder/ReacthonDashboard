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6E0A5483-D180-427D-A3DE-050631E5DEC8}" xr6:coauthVersionLast="47" xr6:coauthVersionMax="47" xr10:uidLastSave="{00000000-0000-0000-0000-000000000000}"/>
  <bookViews>
    <workbookView xWindow="-103" yWindow="-103" windowWidth="16663" windowHeight="8863" tabRatio="686" firstSheet="58" activeTab="61" xr2:uid="{00000000-000D-0000-FFFF-FFFF00000000}"/>
  </bookViews>
  <sheets>
    <sheet name="июль 2021 (2)" sheetId="9" state="hidden" r:id="rId1"/>
    <sheet name="январь2021" sheetId="1" state="hidden" r:id="rId2"/>
    <sheet name="февраль 2021" sheetId="2" state="hidden" r:id="rId3"/>
    <sheet name="март 2021" sheetId="4" state="hidden" r:id="rId4"/>
    <sheet name="апрель 2021" sheetId="5" state="hidden" r:id="rId5"/>
    <sheet name="май 2021" sheetId="6" state="hidden" r:id="rId6"/>
    <sheet name="июнь 2021" sheetId="7" state="hidden" r:id="rId7"/>
    <sheet name="июль 2021" sheetId="8" state="hidden" r:id="rId8"/>
    <sheet name="август 2021" sheetId="10" state="hidden" r:id="rId9"/>
    <sheet name="сентябрь 2021" sheetId="3" state="hidden" r:id="rId10"/>
    <sheet name="октябрь 2021" sheetId="12" state="hidden" r:id="rId11"/>
    <sheet name="ноябрь 2021" sheetId="13" state="hidden" r:id="rId12"/>
    <sheet name="Декабрь 2021" sheetId="14" r:id="rId13"/>
    <sheet name="Январь 2022" sheetId="15" r:id="rId14"/>
    <sheet name="февраль 2022" sheetId="16" r:id="rId15"/>
    <sheet name="март 2022 г" sheetId="17" r:id="rId16"/>
    <sheet name="апрель 2022 г" sheetId="19" r:id="rId17"/>
    <sheet name="май 2022г" sheetId="20" r:id="rId18"/>
    <sheet name="июнь 2022г" sheetId="21" r:id="rId19"/>
    <sheet name="июль 2022г" sheetId="22" r:id="rId20"/>
    <sheet name="август 2022г" sheetId="23" r:id="rId21"/>
    <sheet name="сентябрь 2022г" sheetId="24" r:id="rId22"/>
    <sheet name="октябрь 2022г" sheetId="25" r:id="rId23"/>
    <sheet name="ноябрь 2022г" sheetId="26" r:id="rId24"/>
    <sheet name="декабрь 2022г " sheetId="27" r:id="rId25"/>
    <sheet name="январь 2023г" sheetId="28" r:id="rId26"/>
    <sheet name="февраль 2023г " sheetId="29" r:id="rId27"/>
    <sheet name="март 2023г " sheetId="30" r:id="rId28"/>
    <sheet name="апрель 2023г" sheetId="31" r:id="rId29"/>
    <sheet name="май 2023г " sheetId="32" r:id="rId30"/>
    <sheet name="июнь 2023г" sheetId="33" r:id="rId31"/>
    <sheet name="июль 2023г" sheetId="34" r:id="rId32"/>
    <sheet name="август 2023г" sheetId="35" r:id="rId33"/>
    <sheet name="сентябрь 2023г" sheetId="36" r:id="rId34"/>
    <sheet name="октябрь 2023г" sheetId="37" r:id="rId35"/>
    <sheet name="ноябрь 2023г" sheetId="39" r:id="rId36"/>
    <sheet name="декабрь 2023г" sheetId="40" r:id="rId37"/>
    <sheet name="январь 2024г" sheetId="41" r:id="rId38"/>
    <sheet name="февраль 2024г" sheetId="42" r:id="rId39"/>
    <sheet name="март 2024г" sheetId="43" r:id="rId40"/>
    <sheet name="апрель 2024г" sheetId="44" r:id="rId41"/>
    <sheet name="май 2024г" sheetId="45" r:id="rId42"/>
    <sheet name="июнь 2024г" sheetId="46" r:id="rId43"/>
    <sheet name="июль 2024г" sheetId="47" r:id="rId44"/>
    <sheet name="август 2024г" sheetId="48" r:id="rId45"/>
    <sheet name="сентябрь 2024г" sheetId="49" r:id="rId46"/>
    <sheet name="октябрь 2024г" sheetId="50" r:id="rId47"/>
    <sheet name="ноябрь 2024г" sheetId="51" r:id="rId48"/>
    <sheet name="декабрь 2024г" sheetId="52" r:id="rId49"/>
    <sheet name="январь 2025г" sheetId="53" r:id="rId50"/>
    <sheet name="февраль 2025г " sheetId="54" r:id="rId51"/>
    <sheet name="Март 2025г" sheetId="55" r:id="rId52"/>
    <sheet name="Апрель 2025г" sheetId="56" r:id="rId53"/>
    <sheet name="май 2025г" sheetId="57" r:id="rId54"/>
    <sheet name="июнь 2025г" sheetId="58" r:id="rId55"/>
    <sheet name="сентябрь 2025г   " sheetId="61" r:id="rId56"/>
    <sheet name="октябрь 2025г" sheetId="62" r:id="rId57"/>
    <sheet name="июль 2025г " sheetId="59" r:id="rId58"/>
    <sheet name="август 2025г  " sheetId="60" r:id="rId59"/>
    <sheet name="ноябрь 2025г    " sheetId="63" r:id="rId60"/>
    <sheet name="декабрь 2025г     " sheetId="64" r:id="rId61"/>
    <sheet name="Январ 2026 год" sheetId="65" r:id="rId62"/>
  </sheets>
  <definedNames>
    <definedName name="_xlnm._FilterDatabase" localSheetId="1" hidden="1">январь2021!$N$2:$Q$2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65" i="64" l="1"/>
  <c r="I80" i="64" s="1"/>
  <c r="J80" i="64" s="1"/>
  <c r="AO65" i="64"/>
  <c r="G80" i="64" s="1"/>
  <c r="H80" i="64" s="1"/>
  <c r="AN65" i="64"/>
  <c r="E80" i="64" s="1"/>
  <c r="F80" i="64" s="1"/>
  <c r="AM65" i="64"/>
  <c r="C80" i="64" s="1"/>
  <c r="D80" i="64" s="1"/>
  <c r="AG65" i="64"/>
  <c r="I79" i="64" s="1"/>
  <c r="J79" i="64" s="1"/>
  <c r="AF65" i="64"/>
  <c r="G79" i="64" s="1"/>
  <c r="H79" i="64" s="1"/>
  <c r="AE65" i="64"/>
  <c r="E79" i="64" s="1"/>
  <c r="F79" i="64" s="1"/>
  <c r="AD65" i="64"/>
  <c r="C79" i="64" s="1"/>
  <c r="D79" i="64" s="1"/>
  <c r="X65" i="64"/>
  <c r="I78" i="64" s="1"/>
  <c r="J78" i="64" s="1"/>
  <c r="W65" i="64"/>
  <c r="G78" i="64" s="1"/>
  <c r="H78" i="64" s="1"/>
  <c r="V65" i="64"/>
  <c r="E78" i="64" s="1"/>
  <c r="F78" i="64" s="1"/>
  <c r="U65" i="64"/>
  <c r="C78" i="64" s="1"/>
  <c r="D78" i="64" s="1"/>
  <c r="O65" i="64"/>
  <c r="I77" i="64" s="1"/>
  <c r="J77" i="64" s="1"/>
  <c r="N65" i="64"/>
  <c r="G77" i="64" s="1"/>
  <c r="H77" i="64" s="1"/>
  <c r="M65" i="64"/>
  <c r="E77" i="64" s="1"/>
  <c r="F77" i="64" s="1"/>
  <c r="L65" i="64"/>
  <c r="C77" i="64" s="1"/>
  <c r="D77" i="64" s="1"/>
  <c r="F65" i="64"/>
  <c r="I76" i="64" s="1"/>
  <c r="J76" i="64" s="1"/>
  <c r="E65" i="64"/>
  <c r="G76" i="64" s="1"/>
  <c r="H76" i="64" s="1"/>
  <c r="D65" i="64"/>
  <c r="E76" i="64" s="1"/>
  <c r="F76" i="64" s="1"/>
  <c r="C65" i="64"/>
  <c r="C76" i="64" s="1"/>
  <c r="D76" i="64" s="1"/>
  <c r="D82" i="64" l="1"/>
  <c r="F82" i="64"/>
  <c r="J82" i="64"/>
  <c r="H82" i="64"/>
  <c r="AP63" i="63"/>
  <c r="I78" i="63" s="1"/>
  <c r="J78" i="63" s="1"/>
  <c r="AO63" i="63"/>
  <c r="G78" i="63" s="1"/>
  <c r="H78" i="63" s="1"/>
  <c r="AN63" i="63"/>
  <c r="E78" i="63" s="1"/>
  <c r="F78" i="63" s="1"/>
  <c r="AM63" i="63"/>
  <c r="C78" i="63" s="1"/>
  <c r="D78" i="63" s="1"/>
  <c r="AG63" i="63"/>
  <c r="I77" i="63" s="1"/>
  <c r="J77" i="63" s="1"/>
  <c r="AF63" i="63"/>
  <c r="G77" i="63" s="1"/>
  <c r="H77" i="63" s="1"/>
  <c r="AE63" i="63"/>
  <c r="E77" i="63" s="1"/>
  <c r="F77" i="63" s="1"/>
  <c r="AD63" i="63"/>
  <c r="C77" i="63" s="1"/>
  <c r="D77" i="63" s="1"/>
  <c r="X63" i="63"/>
  <c r="I76" i="63" s="1"/>
  <c r="J76" i="63" s="1"/>
  <c r="W63" i="63"/>
  <c r="G76" i="63" s="1"/>
  <c r="H76" i="63" s="1"/>
  <c r="V63" i="63"/>
  <c r="E76" i="63" s="1"/>
  <c r="F76" i="63" s="1"/>
  <c r="U63" i="63"/>
  <c r="C76" i="63" s="1"/>
  <c r="D76" i="63" s="1"/>
  <c r="O63" i="63"/>
  <c r="I75" i="63" s="1"/>
  <c r="J75" i="63" s="1"/>
  <c r="N63" i="63"/>
  <c r="G75" i="63" s="1"/>
  <c r="H75" i="63" s="1"/>
  <c r="M63" i="63"/>
  <c r="E75" i="63" s="1"/>
  <c r="F75" i="63" s="1"/>
  <c r="L63" i="63"/>
  <c r="C75" i="63" s="1"/>
  <c r="D75" i="63" s="1"/>
  <c r="F63" i="63"/>
  <c r="I74" i="63" s="1"/>
  <c r="J74" i="63" s="1"/>
  <c r="E63" i="63"/>
  <c r="G74" i="63" s="1"/>
  <c r="H74" i="63" s="1"/>
  <c r="D63" i="63"/>
  <c r="E74" i="63" s="1"/>
  <c r="F74" i="63" s="1"/>
  <c r="J80" i="63" l="1"/>
  <c r="F80" i="63"/>
  <c r="H80" i="63"/>
  <c r="AP65" i="62"/>
  <c r="I80" i="62" s="1"/>
  <c r="J80" i="62" s="1"/>
  <c r="AO65" i="62"/>
  <c r="G80" i="62" s="1"/>
  <c r="H80" i="62" s="1"/>
  <c r="AN65" i="62"/>
  <c r="E80" i="62" s="1"/>
  <c r="F80" i="62" s="1"/>
  <c r="AM65" i="62"/>
  <c r="C80" i="62" s="1"/>
  <c r="D80" i="62" s="1"/>
  <c r="AG65" i="62"/>
  <c r="I79" i="62" s="1"/>
  <c r="J79" i="62" s="1"/>
  <c r="AF65" i="62"/>
  <c r="G79" i="62" s="1"/>
  <c r="H79" i="62" s="1"/>
  <c r="AE65" i="62"/>
  <c r="E79" i="62" s="1"/>
  <c r="F79" i="62" s="1"/>
  <c r="AD65" i="62"/>
  <c r="C79" i="62" s="1"/>
  <c r="D79" i="62" s="1"/>
  <c r="X65" i="62"/>
  <c r="I78" i="62" s="1"/>
  <c r="J78" i="62" s="1"/>
  <c r="W65" i="62"/>
  <c r="G78" i="62" s="1"/>
  <c r="H78" i="62" s="1"/>
  <c r="V65" i="62"/>
  <c r="E78" i="62" s="1"/>
  <c r="F78" i="62" s="1"/>
  <c r="U65" i="62"/>
  <c r="C78" i="62" s="1"/>
  <c r="D78" i="62" s="1"/>
  <c r="O65" i="62"/>
  <c r="I77" i="62" s="1"/>
  <c r="J77" i="62" s="1"/>
  <c r="N65" i="62"/>
  <c r="G77" i="62" s="1"/>
  <c r="H77" i="62" s="1"/>
  <c r="M65" i="62"/>
  <c r="E77" i="62" s="1"/>
  <c r="F77" i="62" s="1"/>
  <c r="L65" i="62"/>
  <c r="C77" i="62" s="1"/>
  <c r="D77" i="62" s="1"/>
  <c r="F65" i="62"/>
  <c r="I76" i="62" s="1"/>
  <c r="J76" i="62" s="1"/>
  <c r="E65" i="62"/>
  <c r="G76" i="62" s="1"/>
  <c r="H76" i="62" s="1"/>
  <c r="D65" i="62"/>
  <c r="E76" i="62" s="1"/>
  <c r="F76" i="62" s="1"/>
  <c r="C65" i="62"/>
  <c r="C76" i="62" s="1"/>
  <c r="D76" i="62" s="1"/>
  <c r="J82" i="62" l="1"/>
  <c r="D82" i="62"/>
  <c r="F82" i="62"/>
  <c r="H82" i="62"/>
  <c r="AP63" i="61"/>
  <c r="I78" i="61" s="1"/>
  <c r="J78" i="61" s="1"/>
  <c r="AO63" i="61"/>
  <c r="G78" i="61" s="1"/>
  <c r="H78" i="61" s="1"/>
  <c r="AN63" i="61"/>
  <c r="E78" i="61" s="1"/>
  <c r="F78" i="61" s="1"/>
  <c r="AM63" i="61"/>
  <c r="C78" i="61" s="1"/>
  <c r="D78" i="61" s="1"/>
  <c r="AG63" i="61"/>
  <c r="I77" i="61" s="1"/>
  <c r="J77" i="61" s="1"/>
  <c r="AF63" i="61"/>
  <c r="G77" i="61" s="1"/>
  <c r="H77" i="61" s="1"/>
  <c r="AE63" i="61"/>
  <c r="E77" i="61" s="1"/>
  <c r="F77" i="61" s="1"/>
  <c r="AD63" i="61"/>
  <c r="C77" i="61" s="1"/>
  <c r="D77" i="61" s="1"/>
  <c r="X63" i="61"/>
  <c r="I76" i="61" s="1"/>
  <c r="J76" i="61" s="1"/>
  <c r="W63" i="61"/>
  <c r="G76" i="61" s="1"/>
  <c r="H76" i="61" s="1"/>
  <c r="V63" i="61"/>
  <c r="E76" i="61" s="1"/>
  <c r="F76" i="61" s="1"/>
  <c r="U63" i="61"/>
  <c r="C76" i="61" s="1"/>
  <c r="D76" i="61" s="1"/>
  <c r="O63" i="61"/>
  <c r="I75" i="61" s="1"/>
  <c r="J75" i="61" s="1"/>
  <c r="N63" i="61"/>
  <c r="G75" i="61" s="1"/>
  <c r="H75" i="61" s="1"/>
  <c r="M63" i="61"/>
  <c r="E75" i="61" s="1"/>
  <c r="F75" i="61" s="1"/>
  <c r="L63" i="61"/>
  <c r="C75" i="61" s="1"/>
  <c r="D75" i="61" s="1"/>
  <c r="F63" i="61"/>
  <c r="I74" i="61" s="1"/>
  <c r="J74" i="61" s="1"/>
  <c r="E63" i="61"/>
  <c r="G74" i="61" s="1"/>
  <c r="H74" i="61" s="1"/>
  <c r="D63" i="61"/>
  <c r="E74" i="61" s="1"/>
  <c r="F74" i="61" s="1"/>
  <c r="C63" i="61"/>
  <c r="C74" i="61" s="1"/>
  <c r="D74" i="61" s="1"/>
  <c r="D80" i="61" l="1"/>
  <c r="H80" i="61"/>
  <c r="F80" i="61"/>
  <c r="J80" i="61"/>
  <c r="AP65" i="60"/>
  <c r="I80" i="60" s="1"/>
  <c r="J80" i="60" s="1"/>
  <c r="AO65" i="60"/>
  <c r="G80" i="60" s="1"/>
  <c r="H80" i="60" s="1"/>
  <c r="AN65" i="60"/>
  <c r="E80" i="60" s="1"/>
  <c r="F80" i="60" s="1"/>
  <c r="AM65" i="60"/>
  <c r="C80" i="60" s="1"/>
  <c r="D80" i="60" s="1"/>
  <c r="AG65" i="60"/>
  <c r="I79" i="60" s="1"/>
  <c r="J79" i="60" s="1"/>
  <c r="AF65" i="60"/>
  <c r="G79" i="60" s="1"/>
  <c r="H79" i="60" s="1"/>
  <c r="AE65" i="60"/>
  <c r="E79" i="60" s="1"/>
  <c r="F79" i="60" s="1"/>
  <c r="AD65" i="60"/>
  <c r="C79" i="60" s="1"/>
  <c r="D79" i="60" s="1"/>
  <c r="X65" i="60"/>
  <c r="I78" i="60" s="1"/>
  <c r="J78" i="60" s="1"/>
  <c r="W65" i="60"/>
  <c r="G78" i="60" s="1"/>
  <c r="H78" i="60" s="1"/>
  <c r="V65" i="60"/>
  <c r="E78" i="60" s="1"/>
  <c r="F78" i="60" s="1"/>
  <c r="U65" i="60"/>
  <c r="C78" i="60" s="1"/>
  <c r="D78" i="60" s="1"/>
  <c r="O65" i="60"/>
  <c r="I77" i="60" s="1"/>
  <c r="J77" i="60" s="1"/>
  <c r="N65" i="60"/>
  <c r="G77" i="60" s="1"/>
  <c r="H77" i="60" s="1"/>
  <c r="M65" i="60"/>
  <c r="E77" i="60" s="1"/>
  <c r="F77" i="60" s="1"/>
  <c r="L65" i="60"/>
  <c r="C77" i="60" s="1"/>
  <c r="D77" i="60" s="1"/>
  <c r="F65" i="60"/>
  <c r="I76" i="60" s="1"/>
  <c r="J76" i="60" s="1"/>
  <c r="E65" i="60"/>
  <c r="G76" i="60" s="1"/>
  <c r="H76" i="60" s="1"/>
  <c r="D65" i="60"/>
  <c r="E76" i="60" s="1"/>
  <c r="F76" i="60" s="1"/>
  <c r="C65" i="60"/>
  <c r="C76" i="60" s="1"/>
  <c r="D76" i="60" s="1"/>
  <c r="D82" i="60" l="1"/>
  <c r="H82" i="60"/>
  <c r="F82" i="60"/>
  <c r="J82" i="60"/>
  <c r="AP65" i="59" l="1"/>
  <c r="I80" i="59" s="1"/>
  <c r="J80" i="59" s="1"/>
  <c r="AO65" i="59"/>
  <c r="G80" i="59" s="1"/>
  <c r="H80" i="59" s="1"/>
  <c r="AN65" i="59"/>
  <c r="E80" i="59" s="1"/>
  <c r="F80" i="59" s="1"/>
  <c r="AM65" i="59"/>
  <c r="C80" i="59" s="1"/>
  <c r="D80" i="59" s="1"/>
  <c r="AG65" i="59"/>
  <c r="I79" i="59" s="1"/>
  <c r="J79" i="59" s="1"/>
  <c r="AF65" i="59"/>
  <c r="G79" i="59" s="1"/>
  <c r="H79" i="59" s="1"/>
  <c r="AE65" i="59"/>
  <c r="E79" i="59" s="1"/>
  <c r="F79" i="59" s="1"/>
  <c r="AD65" i="59"/>
  <c r="C79" i="59" s="1"/>
  <c r="D79" i="59" s="1"/>
  <c r="X65" i="59"/>
  <c r="I78" i="59" s="1"/>
  <c r="J78" i="59" s="1"/>
  <c r="W65" i="59"/>
  <c r="G78" i="59" s="1"/>
  <c r="H78" i="59" s="1"/>
  <c r="V65" i="59"/>
  <c r="E78" i="59" s="1"/>
  <c r="F78" i="59" s="1"/>
  <c r="U65" i="59"/>
  <c r="C78" i="59" s="1"/>
  <c r="D78" i="59" s="1"/>
  <c r="O65" i="59"/>
  <c r="I77" i="59" s="1"/>
  <c r="J77" i="59" s="1"/>
  <c r="N65" i="59"/>
  <c r="G77" i="59" s="1"/>
  <c r="H77" i="59" s="1"/>
  <c r="M65" i="59"/>
  <c r="E77" i="59" s="1"/>
  <c r="F77" i="59" s="1"/>
  <c r="L65" i="59"/>
  <c r="C77" i="59" s="1"/>
  <c r="D77" i="59" s="1"/>
  <c r="F65" i="59"/>
  <c r="I76" i="59" s="1"/>
  <c r="J76" i="59" s="1"/>
  <c r="E65" i="59"/>
  <c r="G76" i="59" s="1"/>
  <c r="H76" i="59" s="1"/>
  <c r="D65" i="59"/>
  <c r="E76" i="59" s="1"/>
  <c r="F76" i="59" s="1"/>
  <c r="F82" i="59" l="1"/>
  <c r="H82" i="59"/>
  <c r="J82" i="59"/>
  <c r="C62" i="58"/>
  <c r="C73" i="58" s="1"/>
  <c r="D73" i="58" s="1"/>
  <c r="D62" i="58"/>
  <c r="E73" i="58" s="1"/>
  <c r="F73" i="58" s="1"/>
  <c r="E62" i="58"/>
  <c r="G73" i="58" s="1"/>
  <c r="H73" i="58" s="1"/>
  <c r="F62" i="58"/>
  <c r="I73" i="58" s="1"/>
  <c r="J73" i="58" s="1"/>
  <c r="L62" i="58"/>
  <c r="C74" i="58" s="1"/>
  <c r="D74" i="58" s="1"/>
  <c r="M62" i="58"/>
  <c r="E74" i="58" s="1"/>
  <c r="F74" i="58" s="1"/>
  <c r="N62" i="58"/>
  <c r="G74" i="58" s="1"/>
  <c r="H74" i="58" s="1"/>
  <c r="O62" i="58"/>
  <c r="I74" i="58" s="1"/>
  <c r="J74" i="58" s="1"/>
  <c r="U62" i="58"/>
  <c r="C75" i="58" s="1"/>
  <c r="D75" i="58" s="1"/>
  <c r="V62" i="58"/>
  <c r="E75" i="58" s="1"/>
  <c r="F75" i="58" s="1"/>
  <c r="W62" i="58"/>
  <c r="G75" i="58" s="1"/>
  <c r="H75" i="58" s="1"/>
  <c r="X62" i="58"/>
  <c r="I75" i="58" s="1"/>
  <c r="J75" i="58" s="1"/>
  <c r="AD62" i="58"/>
  <c r="C76" i="58" s="1"/>
  <c r="D76" i="58" s="1"/>
  <c r="AE62" i="58"/>
  <c r="E76" i="58" s="1"/>
  <c r="F76" i="58" s="1"/>
  <c r="AF62" i="58"/>
  <c r="G76" i="58" s="1"/>
  <c r="H76" i="58" s="1"/>
  <c r="AG62" i="58"/>
  <c r="I76" i="58" s="1"/>
  <c r="J76" i="58" s="1"/>
  <c r="AM62" i="58"/>
  <c r="C77" i="58" s="1"/>
  <c r="D77" i="58" s="1"/>
  <c r="AN62" i="58"/>
  <c r="E77" i="58" s="1"/>
  <c r="F77" i="58" s="1"/>
  <c r="AO62" i="58"/>
  <c r="G77" i="58" s="1"/>
  <c r="H77" i="58" s="1"/>
  <c r="AP62" i="58"/>
  <c r="I77" i="58" s="1"/>
  <c r="J77" i="58" s="1"/>
  <c r="J79" i="58" l="1"/>
  <c r="F79" i="58"/>
  <c r="H79" i="58"/>
  <c r="D79" i="58"/>
  <c r="C65" i="57"/>
  <c r="AP65" i="57" l="1"/>
  <c r="I80" i="57" s="1"/>
  <c r="J80" i="57" s="1"/>
  <c r="AO65" i="57"/>
  <c r="G80" i="57" s="1"/>
  <c r="H80" i="57" s="1"/>
  <c r="AN65" i="57"/>
  <c r="E80" i="57" s="1"/>
  <c r="F80" i="57" s="1"/>
  <c r="AM65" i="57"/>
  <c r="C80" i="57" s="1"/>
  <c r="D80" i="57" s="1"/>
  <c r="AG65" i="57"/>
  <c r="I79" i="57" s="1"/>
  <c r="J79" i="57" s="1"/>
  <c r="AF65" i="57"/>
  <c r="G79" i="57" s="1"/>
  <c r="H79" i="57" s="1"/>
  <c r="AE65" i="57"/>
  <c r="E79" i="57" s="1"/>
  <c r="F79" i="57" s="1"/>
  <c r="AD65" i="57"/>
  <c r="C79" i="57" s="1"/>
  <c r="D79" i="57" s="1"/>
  <c r="X65" i="57"/>
  <c r="I78" i="57" s="1"/>
  <c r="J78" i="57" s="1"/>
  <c r="W65" i="57"/>
  <c r="G78" i="57" s="1"/>
  <c r="H78" i="57" s="1"/>
  <c r="V65" i="57"/>
  <c r="E78" i="57" s="1"/>
  <c r="F78" i="57" s="1"/>
  <c r="U65" i="57"/>
  <c r="C78" i="57" s="1"/>
  <c r="D78" i="57" s="1"/>
  <c r="O65" i="57"/>
  <c r="I77" i="57" s="1"/>
  <c r="J77" i="57" s="1"/>
  <c r="N65" i="57"/>
  <c r="G77" i="57" s="1"/>
  <c r="H77" i="57" s="1"/>
  <c r="M65" i="57"/>
  <c r="E77" i="57" s="1"/>
  <c r="F77" i="57" s="1"/>
  <c r="L65" i="57"/>
  <c r="C77" i="57" s="1"/>
  <c r="D77" i="57" s="1"/>
  <c r="F65" i="57"/>
  <c r="I76" i="57" s="1"/>
  <c r="J76" i="57" s="1"/>
  <c r="E65" i="57"/>
  <c r="G76" i="57" s="1"/>
  <c r="H76" i="57" s="1"/>
  <c r="D65" i="57"/>
  <c r="E76" i="57" s="1"/>
  <c r="F76" i="57" s="1"/>
  <c r="C76" i="57"/>
  <c r="D76" i="57" s="1"/>
  <c r="H82" i="57" l="1"/>
  <c r="D82" i="57"/>
  <c r="F82" i="57"/>
  <c r="AP63" i="56"/>
  <c r="I78" i="56" s="1"/>
  <c r="J78" i="56" s="1"/>
  <c r="AO63" i="56"/>
  <c r="G78" i="56" s="1"/>
  <c r="H78" i="56" s="1"/>
  <c r="AN63" i="56"/>
  <c r="E78" i="56" s="1"/>
  <c r="F78" i="56" s="1"/>
  <c r="AM63" i="56"/>
  <c r="C78" i="56" s="1"/>
  <c r="D78" i="56" s="1"/>
  <c r="AG63" i="56"/>
  <c r="I77" i="56" s="1"/>
  <c r="J77" i="56" s="1"/>
  <c r="AF63" i="56"/>
  <c r="G77" i="56" s="1"/>
  <c r="H77" i="56" s="1"/>
  <c r="AE63" i="56"/>
  <c r="E77" i="56" s="1"/>
  <c r="F77" i="56" s="1"/>
  <c r="AD63" i="56"/>
  <c r="C77" i="56" s="1"/>
  <c r="D77" i="56" s="1"/>
  <c r="X63" i="56"/>
  <c r="I76" i="56" s="1"/>
  <c r="J76" i="56" s="1"/>
  <c r="W63" i="56"/>
  <c r="G76" i="56" s="1"/>
  <c r="H76" i="56" s="1"/>
  <c r="V63" i="56"/>
  <c r="E76" i="56" s="1"/>
  <c r="F76" i="56" s="1"/>
  <c r="U63" i="56"/>
  <c r="C76" i="56" s="1"/>
  <c r="D76" i="56" s="1"/>
  <c r="O63" i="56"/>
  <c r="I75" i="56" s="1"/>
  <c r="J75" i="56" s="1"/>
  <c r="N63" i="56"/>
  <c r="G75" i="56" s="1"/>
  <c r="H75" i="56" s="1"/>
  <c r="M63" i="56"/>
  <c r="E75" i="56" s="1"/>
  <c r="F75" i="56" s="1"/>
  <c r="L63" i="56"/>
  <c r="C75" i="56" s="1"/>
  <c r="D75" i="56" s="1"/>
  <c r="F63" i="56"/>
  <c r="I74" i="56" s="1"/>
  <c r="J74" i="56" s="1"/>
  <c r="E63" i="56"/>
  <c r="G74" i="56" s="1"/>
  <c r="H74" i="56" s="1"/>
  <c r="D63" i="56"/>
  <c r="E74" i="56" s="1"/>
  <c r="F74" i="56" s="1"/>
  <c r="C63" i="56"/>
  <c r="C74" i="56" s="1"/>
  <c r="D74" i="56" s="1"/>
  <c r="J80" i="56" l="1"/>
  <c r="D80" i="56"/>
  <c r="F80" i="56"/>
  <c r="H80" i="56"/>
  <c r="AP66" i="55"/>
  <c r="I81" i="55" s="1"/>
  <c r="J81" i="55" s="1"/>
  <c r="AO66" i="55"/>
  <c r="G81" i="55" s="1"/>
  <c r="H81" i="55" s="1"/>
  <c r="AN66" i="55"/>
  <c r="E81" i="55" s="1"/>
  <c r="F81" i="55" s="1"/>
  <c r="AM66" i="55"/>
  <c r="C81" i="55" s="1"/>
  <c r="D81" i="55" s="1"/>
  <c r="AG66" i="55"/>
  <c r="I80" i="55" s="1"/>
  <c r="J80" i="55" s="1"/>
  <c r="AF66" i="55"/>
  <c r="G80" i="55" s="1"/>
  <c r="H80" i="55" s="1"/>
  <c r="AE66" i="55"/>
  <c r="E80" i="55" s="1"/>
  <c r="F80" i="55" s="1"/>
  <c r="AD66" i="55"/>
  <c r="C80" i="55" s="1"/>
  <c r="D80" i="55" s="1"/>
  <c r="X66" i="55"/>
  <c r="I79" i="55" s="1"/>
  <c r="J79" i="55" s="1"/>
  <c r="W66" i="55"/>
  <c r="G79" i="55" s="1"/>
  <c r="H79" i="55" s="1"/>
  <c r="V66" i="55"/>
  <c r="E79" i="55" s="1"/>
  <c r="F79" i="55" s="1"/>
  <c r="U66" i="55"/>
  <c r="C79" i="55" s="1"/>
  <c r="D79" i="55" s="1"/>
  <c r="O66" i="55"/>
  <c r="I78" i="55" s="1"/>
  <c r="J78" i="55" s="1"/>
  <c r="N66" i="55"/>
  <c r="G78" i="55" s="1"/>
  <c r="H78" i="55" s="1"/>
  <c r="M66" i="55"/>
  <c r="E78" i="55" s="1"/>
  <c r="F78" i="55" s="1"/>
  <c r="L66" i="55"/>
  <c r="C78" i="55" s="1"/>
  <c r="D78" i="55" s="1"/>
  <c r="F66" i="55"/>
  <c r="I77" i="55" s="1"/>
  <c r="J77" i="55" s="1"/>
  <c r="E66" i="55"/>
  <c r="G77" i="55" s="1"/>
  <c r="H77" i="55" s="1"/>
  <c r="D66" i="55"/>
  <c r="E77" i="55" s="1"/>
  <c r="F77" i="55" s="1"/>
  <c r="C66" i="55"/>
  <c r="C77" i="55" s="1"/>
  <c r="D77" i="55" s="1"/>
  <c r="J83" i="55" l="1"/>
  <c r="F83" i="55"/>
  <c r="D83" i="55"/>
  <c r="H83" i="55"/>
  <c r="AP59" i="54"/>
  <c r="I74" i="54" s="1"/>
  <c r="J74" i="54" s="1"/>
  <c r="AO59" i="54"/>
  <c r="G74" i="54" s="1"/>
  <c r="H74" i="54" s="1"/>
  <c r="AN59" i="54"/>
  <c r="E74" i="54" s="1"/>
  <c r="F74" i="54" s="1"/>
  <c r="AM59" i="54"/>
  <c r="C74" i="54" s="1"/>
  <c r="D74" i="54" s="1"/>
  <c r="AG59" i="54"/>
  <c r="I73" i="54" s="1"/>
  <c r="J73" i="54" s="1"/>
  <c r="AF59" i="54"/>
  <c r="G73" i="54" s="1"/>
  <c r="H73" i="54" s="1"/>
  <c r="AE59" i="54"/>
  <c r="E73" i="54" s="1"/>
  <c r="F73" i="54" s="1"/>
  <c r="AD59" i="54"/>
  <c r="C73" i="54" s="1"/>
  <c r="D73" i="54" s="1"/>
  <c r="X59" i="54"/>
  <c r="I72" i="54" s="1"/>
  <c r="J72" i="54" s="1"/>
  <c r="W59" i="54"/>
  <c r="G72" i="54" s="1"/>
  <c r="H72" i="54" s="1"/>
  <c r="V59" i="54"/>
  <c r="E72" i="54" s="1"/>
  <c r="F72" i="54" s="1"/>
  <c r="U59" i="54"/>
  <c r="C72" i="54" s="1"/>
  <c r="D72" i="54" s="1"/>
  <c r="O59" i="54"/>
  <c r="I71" i="54" s="1"/>
  <c r="J71" i="54" s="1"/>
  <c r="N59" i="54"/>
  <c r="G71" i="54" s="1"/>
  <c r="H71" i="54" s="1"/>
  <c r="M59" i="54"/>
  <c r="E71" i="54" s="1"/>
  <c r="F71" i="54" s="1"/>
  <c r="L59" i="54"/>
  <c r="C71" i="54" s="1"/>
  <c r="D71" i="54" s="1"/>
  <c r="F59" i="54"/>
  <c r="I70" i="54" s="1"/>
  <c r="J70" i="54" s="1"/>
  <c r="E59" i="54"/>
  <c r="G70" i="54" s="1"/>
  <c r="H70" i="54" s="1"/>
  <c r="D59" i="54"/>
  <c r="E70" i="54" s="1"/>
  <c r="F70" i="54" s="1"/>
  <c r="C59" i="54"/>
  <c r="C70" i="54" s="1"/>
  <c r="D70" i="54" s="1"/>
  <c r="D76" i="54" l="1"/>
  <c r="H76" i="54"/>
  <c r="F76" i="54"/>
  <c r="J76" i="54"/>
  <c r="AP66" i="53"/>
  <c r="I81" i="53" s="1"/>
  <c r="J81" i="53" s="1"/>
  <c r="AO66" i="53"/>
  <c r="G81" i="53" s="1"/>
  <c r="H81" i="53" s="1"/>
  <c r="AN66" i="53"/>
  <c r="E81" i="53" s="1"/>
  <c r="F81" i="53" s="1"/>
  <c r="AM66" i="53"/>
  <c r="C81" i="53" s="1"/>
  <c r="D81" i="53" s="1"/>
  <c r="AG66" i="53"/>
  <c r="I80" i="53" s="1"/>
  <c r="J80" i="53" s="1"/>
  <c r="AF66" i="53"/>
  <c r="G80" i="53" s="1"/>
  <c r="H80" i="53" s="1"/>
  <c r="AE66" i="53"/>
  <c r="E80" i="53" s="1"/>
  <c r="F80" i="53" s="1"/>
  <c r="AD66" i="53"/>
  <c r="C80" i="53" s="1"/>
  <c r="D80" i="53" s="1"/>
  <c r="X66" i="53"/>
  <c r="I79" i="53" s="1"/>
  <c r="J79" i="53" s="1"/>
  <c r="W66" i="53"/>
  <c r="G79" i="53" s="1"/>
  <c r="H79" i="53" s="1"/>
  <c r="V66" i="53"/>
  <c r="E79" i="53" s="1"/>
  <c r="F79" i="53" s="1"/>
  <c r="U66" i="53"/>
  <c r="C79" i="53" s="1"/>
  <c r="D79" i="53" s="1"/>
  <c r="O66" i="53"/>
  <c r="I78" i="53" s="1"/>
  <c r="J78" i="53" s="1"/>
  <c r="N66" i="53"/>
  <c r="G78" i="53" s="1"/>
  <c r="H78" i="53" s="1"/>
  <c r="M66" i="53"/>
  <c r="E78" i="53" s="1"/>
  <c r="F78" i="53" s="1"/>
  <c r="L66" i="53"/>
  <c r="C78" i="53" s="1"/>
  <c r="D78" i="53" s="1"/>
  <c r="F66" i="53"/>
  <c r="I77" i="53" s="1"/>
  <c r="J77" i="53" s="1"/>
  <c r="E66" i="53"/>
  <c r="G77" i="53" s="1"/>
  <c r="H77" i="53" s="1"/>
  <c r="D66" i="53"/>
  <c r="E77" i="53" s="1"/>
  <c r="F77" i="53" s="1"/>
  <c r="C66" i="53"/>
  <c r="C77" i="53" s="1"/>
  <c r="D77" i="53" s="1"/>
  <c r="J83" i="53" l="1"/>
  <c r="D83" i="53"/>
  <c r="F83" i="53"/>
  <c r="H83" i="53"/>
  <c r="AP66" i="52"/>
  <c r="I81" i="52" s="1"/>
  <c r="J81" i="52" s="1"/>
  <c r="AO66" i="52"/>
  <c r="G81" i="52" s="1"/>
  <c r="H81" i="52" s="1"/>
  <c r="AN66" i="52"/>
  <c r="E81" i="52" s="1"/>
  <c r="F81" i="52" s="1"/>
  <c r="AM66" i="52"/>
  <c r="C81" i="52" s="1"/>
  <c r="D81" i="52" s="1"/>
  <c r="AG66" i="52"/>
  <c r="I80" i="52" s="1"/>
  <c r="J80" i="52" s="1"/>
  <c r="AF66" i="52"/>
  <c r="G80" i="52" s="1"/>
  <c r="H80" i="52" s="1"/>
  <c r="AE66" i="52"/>
  <c r="E80" i="52" s="1"/>
  <c r="F80" i="52" s="1"/>
  <c r="AD66" i="52"/>
  <c r="C80" i="52" s="1"/>
  <c r="D80" i="52" s="1"/>
  <c r="X66" i="52"/>
  <c r="I79" i="52" s="1"/>
  <c r="J79" i="52" s="1"/>
  <c r="W66" i="52"/>
  <c r="G79" i="52" s="1"/>
  <c r="H79" i="52" s="1"/>
  <c r="V66" i="52"/>
  <c r="E79" i="52" s="1"/>
  <c r="F79" i="52" s="1"/>
  <c r="U66" i="52"/>
  <c r="C79" i="52" s="1"/>
  <c r="D79" i="52" s="1"/>
  <c r="O66" i="52"/>
  <c r="I78" i="52" s="1"/>
  <c r="J78" i="52" s="1"/>
  <c r="N66" i="52"/>
  <c r="G78" i="52" s="1"/>
  <c r="H78" i="52" s="1"/>
  <c r="M66" i="52"/>
  <c r="E78" i="52" s="1"/>
  <c r="F78" i="52" s="1"/>
  <c r="L66" i="52"/>
  <c r="C78" i="52" s="1"/>
  <c r="D78" i="52" s="1"/>
  <c r="F66" i="52"/>
  <c r="I77" i="52" s="1"/>
  <c r="J77" i="52" s="1"/>
  <c r="E66" i="52"/>
  <c r="G77" i="52" s="1"/>
  <c r="H77" i="52" s="1"/>
  <c r="D66" i="52"/>
  <c r="E77" i="52" s="1"/>
  <c r="F77" i="52" s="1"/>
  <c r="C66" i="52"/>
  <c r="C77" i="52" s="1"/>
  <c r="D77" i="52" s="1"/>
  <c r="AP65" i="51"/>
  <c r="I80" i="51" s="1"/>
  <c r="J80" i="51" s="1"/>
  <c r="AO65" i="51"/>
  <c r="G80" i="51" s="1"/>
  <c r="H80" i="51" s="1"/>
  <c r="AN65" i="51"/>
  <c r="E80" i="51" s="1"/>
  <c r="F80" i="51" s="1"/>
  <c r="AM65" i="51"/>
  <c r="C80" i="51" s="1"/>
  <c r="D80" i="51" s="1"/>
  <c r="AG65" i="51"/>
  <c r="I79" i="51" s="1"/>
  <c r="J79" i="51" s="1"/>
  <c r="AF65" i="51"/>
  <c r="G79" i="51" s="1"/>
  <c r="H79" i="51" s="1"/>
  <c r="AE65" i="51"/>
  <c r="E79" i="51" s="1"/>
  <c r="F79" i="51" s="1"/>
  <c r="AD65" i="51"/>
  <c r="C79" i="51" s="1"/>
  <c r="D79" i="51" s="1"/>
  <c r="X65" i="51"/>
  <c r="I78" i="51" s="1"/>
  <c r="J78" i="51" s="1"/>
  <c r="W65" i="51"/>
  <c r="G78" i="51" s="1"/>
  <c r="H78" i="51" s="1"/>
  <c r="V65" i="51"/>
  <c r="E78" i="51" s="1"/>
  <c r="F78" i="51" s="1"/>
  <c r="U65" i="51"/>
  <c r="C78" i="51" s="1"/>
  <c r="D78" i="51" s="1"/>
  <c r="O65" i="51"/>
  <c r="I77" i="51" s="1"/>
  <c r="J77" i="51" s="1"/>
  <c r="N65" i="51"/>
  <c r="G77" i="51" s="1"/>
  <c r="H77" i="51" s="1"/>
  <c r="M65" i="51"/>
  <c r="E77" i="51" s="1"/>
  <c r="F77" i="51" s="1"/>
  <c r="L65" i="51"/>
  <c r="C77" i="51" s="1"/>
  <c r="D77" i="51" s="1"/>
  <c r="F65" i="51"/>
  <c r="I76" i="51" s="1"/>
  <c r="J76" i="51" s="1"/>
  <c r="E65" i="51"/>
  <c r="G76" i="51" s="1"/>
  <c r="H76" i="51" s="1"/>
  <c r="D65" i="51"/>
  <c r="E76" i="51" s="1"/>
  <c r="F76" i="51" s="1"/>
  <c r="C65" i="51"/>
  <c r="C76" i="51" s="1"/>
  <c r="D76" i="51" s="1"/>
  <c r="F83" i="52" l="1"/>
  <c r="H83" i="52"/>
  <c r="D83" i="52"/>
  <c r="J83" i="52"/>
  <c r="D82" i="51"/>
  <c r="H82" i="51"/>
  <c r="J82" i="51"/>
  <c r="F82" i="51"/>
  <c r="AP65" i="50" l="1"/>
  <c r="I80" i="50" s="1"/>
  <c r="J80" i="50" s="1"/>
  <c r="AO65" i="50"/>
  <c r="G80" i="50" s="1"/>
  <c r="H80" i="50" s="1"/>
  <c r="AN65" i="50"/>
  <c r="E80" i="50" s="1"/>
  <c r="F80" i="50" s="1"/>
  <c r="AM65" i="50"/>
  <c r="C80" i="50" s="1"/>
  <c r="D80" i="50" s="1"/>
  <c r="AG65" i="50"/>
  <c r="I79" i="50" s="1"/>
  <c r="J79" i="50" s="1"/>
  <c r="AF65" i="50"/>
  <c r="G79" i="50" s="1"/>
  <c r="H79" i="50" s="1"/>
  <c r="AE65" i="50"/>
  <c r="E79" i="50" s="1"/>
  <c r="F79" i="50" s="1"/>
  <c r="AD65" i="50"/>
  <c r="C79" i="50" s="1"/>
  <c r="D79" i="50" s="1"/>
  <c r="X65" i="50"/>
  <c r="I78" i="50" s="1"/>
  <c r="J78" i="50" s="1"/>
  <c r="W65" i="50"/>
  <c r="G78" i="50" s="1"/>
  <c r="H78" i="50" s="1"/>
  <c r="V65" i="50"/>
  <c r="E78" i="50" s="1"/>
  <c r="F78" i="50" s="1"/>
  <c r="U65" i="50"/>
  <c r="C78" i="50" s="1"/>
  <c r="D78" i="50" s="1"/>
  <c r="O65" i="50"/>
  <c r="I77" i="50" s="1"/>
  <c r="J77" i="50" s="1"/>
  <c r="N65" i="50"/>
  <c r="G77" i="50" s="1"/>
  <c r="H77" i="50" s="1"/>
  <c r="M65" i="50"/>
  <c r="E77" i="50" s="1"/>
  <c r="F77" i="50" s="1"/>
  <c r="L65" i="50"/>
  <c r="C77" i="50" s="1"/>
  <c r="D77" i="50" s="1"/>
  <c r="F65" i="50"/>
  <c r="I76" i="50" s="1"/>
  <c r="J76" i="50" s="1"/>
  <c r="E65" i="50"/>
  <c r="G76" i="50" s="1"/>
  <c r="H76" i="50" s="1"/>
  <c r="D65" i="50"/>
  <c r="E76" i="50" s="1"/>
  <c r="F76" i="50" s="1"/>
  <c r="C65" i="50"/>
  <c r="C76" i="50" s="1"/>
  <c r="D76" i="50" s="1"/>
  <c r="AP65" i="49"/>
  <c r="I80" i="49" s="1"/>
  <c r="J80" i="49" s="1"/>
  <c r="AO65" i="49"/>
  <c r="G80" i="49" s="1"/>
  <c r="H80" i="49" s="1"/>
  <c r="AN65" i="49"/>
  <c r="E80" i="49" s="1"/>
  <c r="F80" i="49" s="1"/>
  <c r="AM65" i="49"/>
  <c r="C80" i="49" s="1"/>
  <c r="D80" i="49" s="1"/>
  <c r="AG65" i="49"/>
  <c r="I79" i="49" s="1"/>
  <c r="J79" i="49" s="1"/>
  <c r="AF65" i="49"/>
  <c r="G79" i="49" s="1"/>
  <c r="H79" i="49" s="1"/>
  <c r="AE65" i="49"/>
  <c r="E79" i="49" s="1"/>
  <c r="F79" i="49" s="1"/>
  <c r="AD65" i="49"/>
  <c r="C79" i="49" s="1"/>
  <c r="D79" i="49" s="1"/>
  <c r="X65" i="49"/>
  <c r="I78" i="49" s="1"/>
  <c r="J78" i="49" s="1"/>
  <c r="W65" i="49"/>
  <c r="G78" i="49" s="1"/>
  <c r="H78" i="49" s="1"/>
  <c r="V65" i="49"/>
  <c r="E78" i="49" s="1"/>
  <c r="F78" i="49" s="1"/>
  <c r="U65" i="49"/>
  <c r="C78" i="49" s="1"/>
  <c r="D78" i="49" s="1"/>
  <c r="O65" i="49"/>
  <c r="I77" i="49" s="1"/>
  <c r="J77" i="49" s="1"/>
  <c r="N65" i="49"/>
  <c r="G77" i="49" s="1"/>
  <c r="H77" i="49" s="1"/>
  <c r="M65" i="49"/>
  <c r="E77" i="49" s="1"/>
  <c r="F77" i="49" s="1"/>
  <c r="L65" i="49"/>
  <c r="C77" i="49" s="1"/>
  <c r="D77" i="49" s="1"/>
  <c r="F65" i="49"/>
  <c r="I76" i="49" s="1"/>
  <c r="J76" i="49" s="1"/>
  <c r="E65" i="49"/>
  <c r="G76" i="49" s="1"/>
  <c r="H76" i="49" s="1"/>
  <c r="D65" i="49"/>
  <c r="E76" i="49" s="1"/>
  <c r="F76" i="49" s="1"/>
  <c r="C65" i="49"/>
  <c r="C76" i="49" s="1"/>
  <c r="D76" i="49" s="1"/>
  <c r="AP65" i="48"/>
  <c r="I80" i="48" s="1"/>
  <c r="J80" i="48" s="1"/>
  <c r="AO65" i="48"/>
  <c r="G80" i="48" s="1"/>
  <c r="H80" i="48" s="1"/>
  <c r="AN65" i="48"/>
  <c r="E80" i="48" s="1"/>
  <c r="F80" i="48" s="1"/>
  <c r="AM65" i="48"/>
  <c r="C80" i="48" s="1"/>
  <c r="D80" i="48" s="1"/>
  <c r="AG65" i="48"/>
  <c r="I79" i="48" s="1"/>
  <c r="J79" i="48" s="1"/>
  <c r="AF65" i="48"/>
  <c r="G79" i="48" s="1"/>
  <c r="H79" i="48" s="1"/>
  <c r="AE65" i="48"/>
  <c r="E79" i="48" s="1"/>
  <c r="F79" i="48" s="1"/>
  <c r="AD65" i="48"/>
  <c r="C79" i="48" s="1"/>
  <c r="D79" i="48" s="1"/>
  <c r="X65" i="48"/>
  <c r="I78" i="48" s="1"/>
  <c r="J78" i="48" s="1"/>
  <c r="W65" i="48"/>
  <c r="G78" i="48" s="1"/>
  <c r="H78" i="48" s="1"/>
  <c r="V65" i="48"/>
  <c r="E78" i="48" s="1"/>
  <c r="F78" i="48" s="1"/>
  <c r="U65" i="48"/>
  <c r="C78" i="48" s="1"/>
  <c r="D78" i="48" s="1"/>
  <c r="O65" i="48"/>
  <c r="I77" i="48" s="1"/>
  <c r="J77" i="48" s="1"/>
  <c r="N65" i="48"/>
  <c r="G77" i="48" s="1"/>
  <c r="H77" i="48" s="1"/>
  <c r="M65" i="48"/>
  <c r="E77" i="48" s="1"/>
  <c r="F77" i="48" s="1"/>
  <c r="L65" i="48"/>
  <c r="C77" i="48" s="1"/>
  <c r="D77" i="48" s="1"/>
  <c r="F65" i="48"/>
  <c r="I76" i="48" s="1"/>
  <c r="J76" i="48" s="1"/>
  <c r="E65" i="48"/>
  <c r="G76" i="48" s="1"/>
  <c r="H76" i="48" s="1"/>
  <c r="D65" i="48"/>
  <c r="E76" i="48" s="1"/>
  <c r="F76" i="48" s="1"/>
  <c r="C65" i="48"/>
  <c r="C76" i="48" s="1"/>
  <c r="D76" i="48" s="1"/>
  <c r="J82" i="50" l="1"/>
  <c r="D82" i="50"/>
  <c r="F82" i="50"/>
  <c r="H82" i="50"/>
  <c r="F82" i="49"/>
  <c r="J82" i="49"/>
  <c r="D82" i="49"/>
  <c r="H82" i="49"/>
  <c r="F82" i="48"/>
  <c r="J82" i="48"/>
  <c r="D82" i="48"/>
  <c r="H82" i="48"/>
  <c r="AP65" i="47"/>
  <c r="I80" i="47" s="1"/>
  <c r="J80" i="47" s="1"/>
  <c r="AO65" i="47"/>
  <c r="G80" i="47" s="1"/>
  <c r="H80" i="47" s="1"/>
  <c r="AN65" i="47"/>
  <c r="E80" i="47" s="1"/>
  <c r="F80" i="47" s="1"/>
  <c r="AM65" i="47"/>
  <c r="C80" i="47" s="1"/>
  <c r="D80" i="47" s="1"/>
  <c r="AG65" i="47"/>
  <c r="I79" i="47" s="1"/>
  <c r="J79" i="47" s="1"/>
  <c r="AF65" i="47"/>
  <c r="G79" i="47" s="1"/>
  <c r="H79" i="47" s="1"/>
  <c r="AE65" i="47"/>
  <c r="E79" i="47" s="1"/>
  <c r="F79" i="47" s="1"/>
  <c r="AD65" i="47"/>
  <c r="C79" i="47" s="1"/>
  <c r="D79" i="47" s="1"/>
  <c r="X65" i="47"/>
  <c r="I78" i="47" s="1"/>
  <c r="J78" i="47" s="1"/>
  <c r="W65" i="47"/>
  <c r="G78" i="47" s="1"/>
  <c r="H78" i="47" s="1"/>
  <c r="V65" i="47"/>
  <c r="E78" i="47" s="1"/>
  <c r="F78" i="47" s="1"/>
  <c r="U65" i="47"/>
  <c r="C78" i="47" s="1"/>
  <c r="D78" i="47" s="1"/>
  <c r="O65" i="47"/>
  <c r="I77" i="47" s="1"/>
  <c r="J77" i="47" s="1"/>
  <c r="N65" i="47"/>
  <c r="G77" i="47" s="1"/>
  <c r="H77" i="47" s="1"/>
  <c r="M65" i="47"/>
  <c r="E77" i="47" s="1"/>
  <c r="F77" i="47" s="1"/>
  <c r="L65" i="47"/>
  <c r="C77" i="47" s="1"/>
  <c r="D77" i="47" s="1"/>
  <c r="F65" i="47"/>
  <c r="I76" i="47" s="1"/>
  <c r="J76" i="47" s="1"/>
  <c r="E65" i="47"/>
  <c r="G76" i="47" s="1"/>
  <c r="H76" i="47" s="1"/>
  <c r="D65" i="47"/>
  <c r="E76" i="47" s="1"/>
  <c r="F76" i="47" s="1"/>
  <c r="C65" i="47"/>
  <c r="C76" i="47" s="1"/>
  <c r="D76" i="47" s="1"/>
  <c r="F82" i="47" l="1"/>
  <c r="D82" i="47"/>
  <c r="J82" i="47"/>
  <c r="H82" i="47"/>
  <c r="AQ65" i="46" l="1"/>
  <c r="I80" i="46" s="1"/>
  <c r="J80" i="46" s="1"/>
  <c r="AO65" i="46"/>
  <c r="G80" i="46" s="1"/>
  <c r="H80" i="46" s="1"/>
  <c r="AN65" i="46"/>
  <c r="E80" i="46" s="1"/>
  <c r="F80" i="46" s="1"/>
  <c r="AM65" i="46"/>
  <c r="C80" i="46" s="1"/>
  <c r="D80" i="46" s="1"/>
  <c r="AG65" i="46"/>
  <c r="I79" i="46" s="1"/>
  <c r="J79" i="46" s="1"/>
  <c r="AF65" i="46"/>
  <c r="G79" i="46" s="1"/>
  <c r="H79" i="46" s="1"/>
  <c r="AE65" i="46"/>
  <c r="E79" i="46" s="1"/>
  <c r="F79" i="46" s="1"/>
  <c r="AD65" i="46"/>
  <c r="C79" i="46" s="1"/>
  <c r="D79" i="46" s="1"/>
  <c r="X65" i="46"/>
  <c r="I78" i="46" s="1"/>
  <c r="J78" i="46" s="1"/>
  <c r="W65" i="46"/>
  <c r="G78" i="46" s="1"/>
  <c r="H78" i="46" s="1"/>
  <c r="V65" i="46"/>
  <c r="E78" i="46" s="1"/>
  <c r="F78" i="46" s="1"/>
  <c r="U65" i="46"/>
  <c r="C78" i="46" s="1"/>
  <c r="D78" i="46" s="1"/>
  <c r="O65" i="46"/>
  <c r="I77" i="46" s="1"/>
  <c r="J77" i="46" s="1"/>
  <c r="N65" i="46"/>
  <c r="G77" i="46" s="1"/>
  <c r="H77" i="46" s="1"/>
  <c r="M65" i="46"/>
  <c r="E77" i="46" s="1"/>
  <c r="F77" i="46" s="1"/>
  <c r="L65" i="46"/>
  <c r="C77" i="46" s="1"/>
  <c r="D77" i="46" s="1"/>
  <c r="F65" i="46"/>
  <c r="I76" i="46" s="1"/>
  <c r="J76" i="46" s="1"/>
  <c r="E65" i="46"/>
  <c r="G76" i="46" s="1"/>
  <c r="H76" i="46" s="1"/>
  <c r="D65" i="46"/>
  <c r="E76" i="46" s="1"/>
  <c r="F76" i="46" s="1"/>
  <c r="C65" i="46"/>
  <c r="C76" i="46" s="1"/>
  <c r="D76" i="46" s="1"/>
  <c r="AQ65" i="45"/>
  <c r="I80" i="45" s="1"/>
  <c r="J80" i="45" s="1"/>
  <c r="AO65" i="45"/>
  <c r="G80" i="45" s="1"/>
  <c r="H80" i="45" s="1"/>
  <c r="AN65" i="45"/>
  <c r="E80" i="45" s="1"/>
  <c r="F80" i="45" s="1"/>
  <c r="AM65" i="45"/>
  <c r="C80" i="45" s="1"/>
  <c r="D80" i="45" s="1"/>
  <c r="AG65" i="45"/>
  <c r="I79" i="45" s="1"/>
  <c r="J79" i="45" s="1"/>
  <c r="AF65" i="45"/>
  <c r="G79" i="45" s="1"/>
  <c r="H79" i="45" s="1"/>
  <c r="AD65" i="45"/>
  <c r="C79" i="45" s="1"/>
  <c r="D79" i="45" s="1"/>
  <c r="X65" i="45"/>
  <c r="I78" i="45" s="1"/>
  <c r="J78" i="45" s="1"/>
  <c r="W65" i="45"/>
  <c r="G78" i="45" s="1"/>
  <c r="H78" i="45" s="1"/>
  <c r="V65" i="45"/>
  <c r="E78" i="45" s="1"/>
  <c r="F78" i="45" s="1"/>
  <c r="U65" i="45"/>
  <c r="C78" i="45" s="1"/>
  <c r="D78" i="45" s="1"/>
  <c r="O65" i="45"/>
  <c r="I77" i="45" s="1"/>
  <c r="J77" i="45" s="1"/>
  <c r="N65" i="45"/>
  <c r="G77" i="45" s="1"/>
  <c r="H77" i="45" s="1"/>
  <c r="M65" i="45"/>
  <c r="E77" i="45" s="1"/>
  <c r="F77" i="45" s="1"/>
  <c r="L65" i="45"/>
  <c r="C77" i="45" s="1"/>
  <c r="D77" i="45" s="1"/>
  <c r="F65" i="45"/>
  <c r="I76" i="45" s="1"/>
  <c r="J76" i="45" s="1"/>
  <c r="E65" i="45"/>
  <c r="G76" i="45" s="1"/>
  <c r="H76" i="45" s="1"/>
  <c r="D65" i="45"/>
  <c r="E76" i="45" s="1"/>
  <c r="F76" i="45" s="1"/>
  <c r="C65" i="45"/>
  <c r="C76" i="45" s="1"/>
  <c r="D76" i="45" s="1"/>
  <c r="AE65" i="45"/>
  <c r="E79" i="45" s="1"/>
  <c r="F79" i="45" s="1"/>
  <c r="AE36" i="44"/>
  <c r="J82" i="46" l="1"/>
  <c r="D82" i="46"/>
  <c r="H82" i="46"/>
  <c r="F82" i="46"/>
  <c r="D82" i="45"/>
  <c r="J82" i="45"/>
  <c r="F82" i="45"/>
  <c r="H82" i="45"/>
  <c r="AQ65" i="44"/>
  <c r="I80" i="44" s="1"/>
  <c r="J80" i="44" s="1"/>
  <c r="AO65" i="44"/>
  <c r="G80" i="44" s="1"/>
  <c r="H80" i="44" s="1"/>
  <c r="AN65" i="44"/>
  <c r="E80" i="44" s="1"/>
  <c r="F80" i="44" s="1"/>
  <c r="AM65" i="44"/>
  <c r="C80" i="44" s="1"/>
  <c r="D80" i="44" s="1"/>
  <c r="AG65" i="44"/>
  <c r="I79" i="44" s="1"/>
  <c r="J79" i="44" s="1"/>
  <c r="AF65" i="44"/>
  <c r="G79" i="44" s="1"/>
  <c r="H79" i="44" s="1"/>
  <c r="AE65" i="44"/>
  <c r="E79" i="44" s="1"/>
  <c r="F79" i="44" s="1"/>
  <c r="AD65" i="44"/>
  <c r="C79" i="44" s="1"/>
  <c r="D79" i="44" s="1"/>
  <c r="X65" i="44"/>
  <c r="I78" i="44" s="1"/>
  <c r="J78" i="44" s="1"/>
  <c r="W65" i="44"/>
  <c r="G78" i="44" s="1"/>
  <c r="H78" i="44" s="1"/>
  <c r="V65" i="44"/>
  <c r="E78" i="44" s="1"/>
  <c r="F78" i="44" s="1"/>
  <c r="U65" i="44"/>
  <c r="C78" i="44" s="1"/>
  <c r="D78" i="44" s="1"/>
  <c r="O65" i="44"/>
  <c r="I77" i="44" s="1"/>
  <c r="J77" i="44" s="1"/>
  <c r="N65" i="44"/>
  <c r="G77" i="44" s="1"/>
  <c r="H77" i="44" s="1"/>
  <c r="M65" i="44"/>
  <c r="E77" i="44" s="1"/>
  <c r="F77" i="44" s="1"/>
  <c r="L65" i="44"/>
  <c r="C77" i="44" s="1"/>
  <c r="D77" i="44" s="1"/>
  <c r="F65" i="44"/>
  <c r="I76" i="44" s="1"/>
  <c r="J76" i="44" s="1"/>
  <c r="E65" i="44"/>
  <c r="G76" i="44" s="1"/>
  <c r="H76" i="44" s="1"/>
  <c r="D65" i="44"/>
  <c r="E76" i="44" s="1"/>
  <c r="F76" i="44" s="1"/>
  <c r="C65" i="44"/>
  <c r="C76" i="44" s="1"/>
  <c r="D76" i="44" s="1"/>
  <c r="AQ65" i="43"/>
  <c r="I80" i="43" s="1"/>
  <c r="J80" i="43" s="1"/>
  <c r="AO65" i="43"/>
  <c r="G80" i="43" s="1"/>
  <c r="H80" i="43" s="1"/>
  <c r="AN65" i="43"/>
  <c r="E80" i="43" s="1"/>
  <c r="F80" i="43" s="1"/>
  <c r="AM65" i="43"/>
  <c r="C80" i="43" s="1"/>
  <c r="D80" i="43" s="1"/>
  <c r="AG65" i="43"/>
  <c r="I79" i="43" s="1"/>
  <c r="J79" i="43" s="1"/>
  <c r="AF65" i="43"/>
  <c r="G79" i="43" s="1"/>
  <c r="H79" i="43" s="1"/>
  <c r="AE65" i="43"/>
  <c r="E79" i="43" s="1"/>
  <c r="F79" i="43" s="1"/>
  <c r="AD65" i="43"/>
  <c r="C79" i="43" s="1"/>
  <c r="D79" i="43" s="1"/>
  <c r="X65" i="43"/>
  <c r="I78" i="43" s="1"/>
  <c r="J78" i="43" s="1"/>
  <c r="W65" i="43"/>
  <c r="G78" i="43" s="1"/>
  <c r="H78" i="43" s="1"/>
  <c r="V65" i="43"/>
  <c r="E78" i="43" s="1"/>
  <c r="F78" i="43" s="1"/>
  <c r="U65" i="43"/>
  <c r="C78" i="43" s="1"/>
  <c r="D78" i="43" s="1"/>
  <c r="O65" i="43"/>
  <c r="I77" i="43" s="1"/>
  <c r="J77" i="43" s="1"/>
  <c r="N65" i="43"/>
  <c r="G77" i="43" s="1"/>
  <c r="H77" i="43" s="1"/>
  <c r="M65" i="43"/>
  <c r="E77" i="43" s="1"/>
  <c r="F77" i="43" s="1"/>
  <c r="L65" i="43"/>
  <c r="C77" i="43" s="1"/>
  <c r="D77" i="43" s="1"/>
  <c r="F65" i="43"/>
  <c r="I76" i="43" s="1"/>
  <c r="J76" i="43" s="1"/>
  <c r="J82" i="43" s="1"/>
  <c r="E65" i="43"/>
  <c r="G76" i="43" s="1"/>
  <c r="H76" i="43" s="1"/>
  <c r="D65" i="43"/>
  <c r="E76" i="43" s="1"/>
  <c r="F76" i="43" s="1"/>
  <c r="C65" i="43"/>
  <c r="C76" i="43" s="1"/>
  <c r="D76" i="43" s="1"/>
  <c r="AQ65" i="42"/>
  <c r="I80" i="42" s="1"/>
  <c r="J80" i="42" s="1"/>
  <c r="AO65" i="42"/>
  <c r="G80" i="42" s="1"/>
  <c r="H80" i="42" s="1"/>
  <c r="AN65" i="42"/>
  <c r="E80" i="42" s="1"/>
  <c r="F80" i="42" s="1"/>
  <c r="AM65" i="42"/>
  <c r="C80" i="42" s="1"/>
  <c r="D80" i="42" s="1"/>
  <c r="AG65" i="42"/>
  <c r="I79" i="42" s="1"/>
  <c r="J79" i="42" s="1"/>
  <c r="AF65" i="42"/>
  <c r="G79" i="42" s="1"/>
  <c r="H79" i="42" s="1"/>
  <c r="AE65" i="42"/>
  <c r="E79" i="42" s="1"/>
  <c r="F79" i="42" s="1"/>
  <c r="AD65" i="42"/>
  <c r="C79" i="42" s="1"/>
  <c r="D79" i="42" s="1"/>
  <c r="X65" i="42"/>
  <c r="I78" i="42" s="1"/>
  <c r="J78" i="42" s="1"/>
  <c r="W65" i="42"/>
  <c r="G78" i="42" s="1"/>
  <c r="H78" i="42" s="1"/>
  <c r="V65" i="42"/>
  <c r="E78" i="42" s="1"/>
  <c r="F78" i="42" s="1"/>
  <c r="U65" i="42"/>
  <c r="C78" i="42" s="1"/>
  <c r="D78" i="42" s="1"/>
  <c r="O65" i="42"/>
  <c r="I77" i="42" s="1"/>
  <c r="J77" i="42" s="1"/>
  <c r="N65" i="42"/>
  <c r="G77" i="42" s="1"/>
  <c r="H77" i="42" s="1"/>
  <c r="M65" i="42"/>
  <c r="E77" i="42" s="1"/>
  <c r="F77" i="42" s="1"/>
  <c r="L65" i="42"/>
  <c r="C77" i="42" s="1"/>
  <c r="D77" i="42" s="1"/>
  <c r="F65" i="42"/>
  <c r="I76" i="42" s="1"/>
  <c r="J76" i="42" s="1"/>
  <c r="E65" i="42"/>
  <c r="G76" i="42" s="1"/>
  <c r="H76" i="42" s="1"/>
  <c r="D65" i="42"/>
  <c r="E76" i="42" s="1"/>
  <c r="F76" i="42" s="1"/>
  <c r="C65" i="42"/>
  <c r="C76" i="42" s="1"/>
  <c r="D76" i="42" s="1"/>
  <c r="AQ65" i="41"/>
  <c r="I80" i="41" s="1"/>
  <c r="J80" i="41" s="1"/>
  <c r="AO65" i="41"/>
  <c r="G80" i="41" s="1"/>
  <c r="H80" i="41" s="1"/>
  <c r="AN65" i="41"/>
  <c r="E80" i="41" s="1"/>
  <c r="F80" i="41" s="1"/>
  <c r="AM65" i="41"/>
  <c r="C80" i="41" s="1"/>
  <c r="D80" i="41" s="1"/>
  <c r="AG65" i="41"/>
  <c r="I79" i="41" s="1"/>
  <c r="J79" i="41" s="1"/>
  <c r="AF65" i="41"/>
  <c r="G79" i="41" s="1"/>
  <c r="H79" i="41" s="1"/>
  <c r="AE65" i="41"/>
  <c r="E79" i="41" s="1"/>
  <c r="F79" i="41" s="1"/>
  <c r="AD65" i="41"/>
  <c r="C79" i="41" s="1"/>
  <c r="D79" i="41" s="1"/>
  <c r="X65" i="41"/>
  <c r="I78" i="41" s="1"/>
  <c r="J78" i="41" s="1"/>
  <c r="W65" i="41"/>
  <c r="G78" i="41" s="1"/>
  <c r="H78" i="41" s="1"/>
  <c r="V65" i="41"/>
  <c r="E78" i="41" s="1"/>
  <c r="F78" i="41" s="1"/>
  <c r="U65" i="41"/>
  <c r="C78" i="41" s="1"/>
  <c r="D78" i="41" s="1"/>
  <c r="O65" i="41"/>
  <c r="I77" i="41" s="1"/>
  <c r="J77" i="41" s="1"/>
  <c r="N65" i="41"/>
  <c r="G77" i="41" s="1"/>
  <c r="H77" i="41" s="1"/>
  <c r="M65" i="41"/>
  <c r="E77" i="41" s="1"/>
  <c r="F77" i="41" s="1"/>
  <c r="L65" i="41"/>
  <c r="C77" i="41" s="1"/>
  <c r="D77" i="41" s="1"/>
  <c r="F65" i="41"/>
  <c r="I76" i="41" s="1"/>
  <c r="J76" i="41" s="1"/>
  <c r="E65" i="41"/>
  <c r="G76" i="41" s="1"/>
  <c r="H76" i="41" s="1"/>
  <c r="D65" i="41"/>
  <c r="E76" i="41" s="1"/>
  <c r="F76" i="41" s="1"/>
  <c r="C65" i="41"/>
  <c r="C76" i="41" s="1"/>
  <c r="D76" i="41" s="1"/>
  <c r="J82" i="42" l="1"/>
  <c r="D82" i="44"/>
  <c r="H82" i="44"/>
  <c r="J82" i="44"/>
  <c r="F82" i="44"/>
  <c r="H82" i="43"/>
  <c r="D82" i="43"/>
  <c r="F82" i="43"/>
  <c r="F82" i="42"/>
  <c r="D82" i="42"/>
  <c r="H82" i="42"/>
  <c r="J82" i="41"/>
  <c r="D82" i="41"/>
  <c r="F82" i="41"/>
  <c r="H82" i="41"/>
  <c r="AQ65" i="40" l="1"/>
  <c r="I80" i="40" s="1"/>
  <c r="J80" i="40" s="1"/>
  <c r="AO65" i="40"/>
  <c r="G80" i="40" s="1"/>
  <c r="H80" i="40" s="1"/>
  <c r="AN65" i="40"/>
  <c r="E80" i="40" s="1"/>
  <c r="F80" i="40" s="1"/>
  <c r="AM65" i="40"/>
  <c r="C80" i="40" s="1"/>
  <c r="D80" i="40" s="1"/>
  <c r="AG65" i="40"/>
  <c r="I79" i="40" s="1"/>
  <c r="J79" i="40" s="1"/>
  <c r="AF65" i="40"/>
  <c r="G79" i="40" s="1"/>
  <c r="H79" i="40" s="1"/>
  <c r="AE65" i="40"/>
  <c r="E79" i="40" s="1"/>
  <c r="F79" i="40" s="1"/>
  <c r="AD65" i="40"/>
  <c r="C79" i="40" s="1"/>
  <c r="D79" i="40" s="1"/>
  <c r="X65" i="40"/>
  <c r="I78" i="40" s="1"/>
  <c r="J78" i="40" s="1"/>
  <c r="V65" i="40"/>
  <c r="E78" i="40" s="1"/>
  <c r="F78" i="40" s="1"/>
  <c r="U65" i="40"/>
  <c r="C78" i="40" s="1"/>
  <c r="D78" i="40" s="1"/>
  <c r="O65" i="40"/>
  <c r="I77" i="40" s="1"/>
  <c r="J77" i="40" s="1"/>
  <c r="N65" i="40"/>
  <c r="G77" i="40" s="1"/>
  <c r="H77" i="40" s="1"/>
  <c r="M65" i="40"/>
  <c r="E77" i="40" s="1"/>
  <c r="F77" i="40" s="1"/>
  <c r="L65" i="40"/>
  <c r="C77" i="40" s="1"/>
  <c r="D77" i="40" s="1"/>
  <c r="F65" i="40"/>
  <c r="I76" i="40" s="1"/>
  <c r="J76" i="40" s="1"/>
  <c r="E65" i="40"/>
  <c r="G76" i="40" s="1"/>
  <c r="H76" i="40" s="1"/>
  <c r="D65" i="40"/>
  <c r="E76" i="40" s="1"/>
  <c r="F76" i="40" s="1"/>
  <c r="C65" i="40"/>
  <c r="C76" i="40" s="1"/>
  <c r="D76" i="40" s="1"/>
  <c r="W65" i="40"/>
  <c r="G78" i="40" s="1"/>
  <c r="H78" i="40" s="1"/>
  <c r="AF32" i="39"/>
  <c r="W17" i="39"/>
  <c r="E17" i="39"/>
  <c r="E13" i="39"/>
  <c r="E3" i="39"/>
  <c r="H82" i="40" l="1"/>
  <c r="D82" i="40"/>
  <c r="J82" i="40"/>
  <c r="F82" i="40"/>
  <c r="AQ65" i="39"/>
  <c r="I80" i="39" s="1"/>
  <c r="J80" i="39" s="1"/>
  <c r="AO65" i="39"/>
  <c r="G80" i="39" s="1"/>
  <c r="H80" i="39" s="1"/>
  <c r="AN65" i="39"/>
  <c r="E80" i="39" s="1"/>
  <c r="F80" i="39" s="1"/>
  <c r="AM65" i="39"/>
  <c r="C80" i="39" s="1"/>
  <c r="D80" i="39" s="1"/>
  <c r="AG65" i="39"/>
  <c r="I79" i="39" s="1"/>
  <c r="J79" i="39" s="1"/>
  <c r="AE65" i="39"/>
  <c r="E79" i="39" s="1"/>
  <c r="F79" i="39" s="1"/>
  <c r="AD65" i="39"/>
  <c r="C79" i="39" s="1"/>
  <c r="D79" i="39" s="1"/>
  <c r="X65" i="39"/>
  <c r="I78" i="39" s="1"/>
  <c r="J78" i="39" s="1"/>
  <c r="V65" i="39"/>
  <c r="E78" i="39" s="1"/>
  <c r="F78" i="39" s="1"/>
  <c r="U65" i="39"/>
  <c r="C78" i="39" s="1"/>
  <c r="D78" i="39" s="1"/>
  <c r="O65" i="39"/>
  <c r="I77" i="39" s="1"/>
  <c r="J77" i="39" s="1"/>
  <c r="N65" i="39"/>
  <c r="G77" i="39" s="1"/>
  <c r="H77" i="39" s="1"/>
  <c r="M65" i="39"/>
  <c r="E77" i="39" s="1"/>
  <c r="F77" i="39" s="1"/>
  <c r="L65" i="39"/>
  <c r="C77" i="39" s="1"/>
  <c r="D77" i="39" s="1"/>
  <c r="F65" i="39"/>
  <c r="I76" i="39" s="1"/>
  <c r="J76" i="39" s="1"/>
  <c r="D65" i="39"/>
  <c r="E76" i="39" s="1"/>
  <c r="F76" i="39" s="1"/>
  <c r="C65" i="39"/>
  <c r="C76" i="39" s="1"/>
  <c r="D76" i="39" s="1"/>
  <c r="W65" i="39"/>
  <c r="G78" i="39" s="1"/>
  <c r="H78" i="39" s="1"/>
  <c r="AF65" i="39"/>
  <c r="G79" i="39" s="1"/>
  <c r="H79" i="39" s="1"/>
  <c r="E65" i="39"/>
  <c r="G76" i="39" s="1"/>
  <c r="H76" i="39" s="1"/>
  <c r="AF60" i="37"/>
  <c r="W60" i="37"/>
  <c r="E60" i="37"/>
  <c r="E59" i="37"/>
  <c r="AF58" i="37"/>
  <c r="W58" i="37"/>
  <c r="E57" i="37"/>
  <c r="W57" i="37"/>
  <c r="E56" i="37"/>
  <c r="D82" i="39" l="1"/>
  <c r="H82" i="39"/>
  <c r="J82" i="39"/>
  <c r="F82" i="39"/>
  <c r="W46" i="37"/>
  <c r="W45" i="37"/>
  <c r="W40" i="37"/>
  <c r="E40" i="37"/>
  <c r="AF38" i="37"/>
  <c r="W38" i="37"/>
  <c r="E38" i="37"/>
  <c r="AO34" i="37"/>
  <c r="W30" i="37"/>
  <c r="W27" i="37"/>
  <c r="AF21" i="37"/>
  <c r="E4" i="37" l="1"/>
  <c r="E11" i="37"/>
  <c r="E9" i="37"/>
  <c r="W5" i="37"/>
  <c r="E5" i="37"/>
  <c r="W4" i="37"/>
  <c r="C80" i="36" l="1"/>
  <c r="AP65" i="36" l="1"/>
  <c r="I80" i="36" s="1"/>
  <c r="AQ65" i="37" l="1"/>
  <c r="AO65" i="37"/>
  <c r="G80" i="37" s="1"/>
  <c r="H80" i="37" s="1"/>
  <c r="AN65" i="37"/>
  <c r="E80" i="37" s="1"/>
  <c r="F80" i="37" s="1"/>
  <c r="AM65" i="37"/>
  <c r="C80" i="37" s="1"/>
  <c r="D80" i="37" s="1"/>
  <c r="AG65" i="37"/>
  <c r="I79" i="37" s="1"/>
  <c r="J79" i="37" s="1"/>
  <c r="AF65" i="37"/>
  <c r="G79" i="37" s="1"/>
  <c r="H79" i="37" s="1"/>
  <c r="AE65" i="37"/>
  <c r="E79" i="37" s="1"/>
  <c r="F79" i="37" s="1"/>
  <c r="AD65" i="37"/>
  <c r="C79" i="37" s="1"/>
  <c r="D79" i="37" s="1"/>
  <c r="X65" i="37"/>
  <c r="I78" i="37" s="1"/>
  <c r="J78" i="37" s="1"/>
  <c r="W65" i="37"/>
  <c r="G78" i="37" s="1"/>
  <c r="H78" i="37" s="1"/>
  <c r="V65" i="37"/>
  <c r="E78" i="37" s="1"/>
  <c r="F78" i="37" s="1"/>
  <c r="U65" i="37"/>
  <c r="C78" i="37" s="1"/>
  <c r="D78" i="37" s="1"/>
  <c r="O65" i="37"/>
  <c r="I77" i="37" s="1"/>
  <c r="J77" i="37" s="1"/>
  <c r="N65" i="37"/>
  <c r="G77" i="37" s="1"/>
  <c r="H77" i="37" s="1"/>
  <c r="M65" i="37"/>
  <c r="E77" i="37" s="1"/>
  <c r="F77" i="37" s="1"/>
  <c r="L65" i="37"/>
  <c r="C77" i="37" s="1"/>
  <c r="D77" i="37" s="1"/>
  <c r="F65" i="37"/>
  <c r="I76" i="37" s="1"/>
  <c r="J76" i="37" s="1"/>
  <c r="E65" i="37"/>
  <c r="G76" i="37" s="1"/>
  <c r="H76" i="37" s="1"/>
  <c r="D65" i="37"/>
  <c r="E76" i="37" s="1"/>
  <c r="F76" i="37" s="1"/>
  <c r="C65" i="37"/>
  <c r="C76" i="37" s="1"/>
  <c r="D76" i="37" s="1"/>
  <c r="AQ65" i="36"/>
  <c r="J80" i="36" s="1"/>
  <c r="AO65" i="36"/>
  <c r="G80" i="36" s="1"/>
  <c r="H80" i="36" s="1"/>
  <c r="AN65" i="36"/>
  <c r="E80" i="36" s="1"/>
  <c r="F80" i="36" s="1"/>
  <c r="AM65" i="36"/>
  <c r="D80" i="36" s="1"/>
  <c r="AG65" i="36"/>
  <c r="I79" i="36" s="1"/>
  <c r="J79" i="36" s="1"/>
  <c r="AF65" i="36"/>
  <c r="G79" i="36" s="1"/>
  <c r="H79" i="36" s="1"/>
  <c r="AE65" i="36"/>
  <c r="E79" i="36" s="1"/>
  <c r="F79" i="36" s="1"/>
  <c r="AD65" i="36"/>
  <c r="C79" i="36" s="1"/>
  <c r="D79" i="36" s="1"/>
  <c r="X65" i="36"/>
  <c r="I78" i="36" s="1"/>
  <c r="J78" i="36" s="1"/>
  <c r="W65" i="36"/>
  <c r="G78" i="36" s="1"/>
  <c r="H78" i="36" s="1"/>
  <c r="V65" i="36"/>
  <c r="E78" i="36" s="1"/>
  <c r="F78" i="36" s="1"/>
  <c r="U65" i="36"/>
  <c r="C78" i="36" s="1"/>
  <c r="D78" i="36" s="1"/>
  <c r="O65" i="36"/>
  <c r="I77" i="36" s="1"/>
  <c r="J77" i="36" s="1"/>
  <c r="N65" i="36"/>
  <c r="G77" i="36" s="1"/>
  <c r="H77" i="36" s="1"/>
  <c r="M65" i="36"/>
  <c r="E77" i="36" s="1"/>
  <c r="F77" i="36" s="1"/>
  <c r="L65" i="36"/>
  <c r="C77" i="36" s="1"/>
  <c r="D77" i="36" s="1"/>
  <c r="F65" i="36"/>
  <c r="I76" i="36" s="1"/>
  <c r="J76" i="36" s="1"/>
  <c r="D65" i="36"/>
  <c r="E76" i="36" s="1"/>
  <c r="F76" i="36" s="1"/>
  <c r="C65" i="36"/>
  <c r="C76" i="36" s="1"/>
  <c r="D76" i="36" s="1"/>
  <c r="E65" i="36"/>
  <c r="G76" i="36" s="1"/>
  <c r="H76" i="36" s="1"/>
  <c r="E25" i="35"/>
  <c r="J82" i="36" l="1"/>
  <c r="I80" i="37"/>
  <c r="J80" i="37" s="1"/>
  <c r="J82" i="37" s="1"/>
  <c r="H82" i="37"/>
  <c r="D82" i="37"/>
  <c r="F82" i="37"/>
  <c r="H82" i="36"/>
  <c r="D82" i="36"/>
  <c r="F82" i="36"/>
  <c r="AQ65" i="35"/>
  <c r="I80" i="35" s="1"/>
  <c r="J80" i="35" s="1"/>
  <c r="AO65" i="35"/>
  <c r="G80" i="35" s="1"/>
  <c r="H80" i="35" s="1"/>
  <c r="AN65" i="35"/>
  <c r="E80" i="35" s="1"/>
  <c r="F80" i="35" s="1"/>
  <c r="AM65" i="35"/>
  <c r="C80" i="35" s="1"/>
  <c r="D80" i="35" s="1"/>
  <c r="AG65" i="35"/>
  <c r="I79" i="35" s="1"/>
  <c r="J79" i="35" s="1"/>
  <c r="AF65" i="35"/>
  <c r="G79" i="35" s="1"/>
  <c r="H79" i="35" s="1"/>
  <c r="AE65" i="35"/>
  <c r="E79" i="35" s="1"/>
  <c r="F79" i="35" s="1"/>
  <c r="AD65" i="35"/>
  <c r="C79" i="35" s="1"/>
  <c r="D79" i="35" s="1"/>
  <c r="X65" i="35"/>
  <c r="I78" i="35" s="1"/>
  <c r="J78" i="35" s="1"/>
  <c r="V65" i="35"/>
  <c r="E78" i="35" s="1"/>
  <c r="F78" i="35" s="1"/>
  <c r="U65" i="35"/>
  <c r="C78" i="35" s="1"/>
  <c r="D78" i="35" s="1"/>
  <c r="O65" i="35"/>
  <c r="I77" i="35" s="1"/>
  <c r="J77" i="35" s="1"/>
  <c r="N65" i="35"/>
  <c r="G77" i="35" s="1"/>
  <c r="H77" i="35" s="1"/>
  <c r="M65" i="35"/>
  <c r="E77" i="35" s="1"/>
  <c r="F77" i="35" s="1"/>
  <c r="L65" i="35"/>
  <c r="C77" i="35" s="1"/>
  <c r="D77" i="35" s="1"/>
  <c r="F65" i="35"/>
  <c r="I76" i="35" s="1"/>
  <c r="J76" i="35" s="1"/>
  <c r="D65" i="35"/>
  <c r="E76" i="35" s="1"/>
  <c r="F76" i="35" s="1"/>
  <c r="W65" i="35"/>
  <c r="G78" i="35" s="1"/>
  <c r="H78" i="35" s="1"/>
  <c r="E65" i="35"/>
  <c r="G76" i="35" s="1"/>
  <c r="H76" i="35" s="1"/>
  <c r="C65" i="35"/>
  <c r="C76" i="35" s="1"/>
  <c r="D76" i="35" s="1"/>
  <c r="D82" i="35" l="1"/>
  <c r="F82" i="35"/>
  <c r="J82" i="35"/>
  <c r="H82" i="35"/>
  <c r="W55" i="34"/>
  <c r="W51" i="34"/>
  <c r="W50" i="34"/>
  <c r="W48" i="34"/>
  <c r="W38" i="34"/>
  <c r="D28" i="34"/>
  <c r="D26" i="34"/>
  <c r="E24" i="34" l="1"/>
  <c r="E23" i="34"/>
  <c r="E22" i="34"/>
  <c r="AF15" i="34" l="1"/>
  <c r="W15" i="34"/>
  <c r="E12" i="34"/>
  <c r="W12" i="34"/>
  <c r="W11" i="34"/>
  <c r="E11" i="34"/>
  <c r="C8" i="34"/>
  <c r="W8" i="34"/>
  <c r="AF6" i="34"/>
  <c r="AQ65" i="34" l="1"/>
  <c r="I80" i="34" s="1"/>
  <c r="J80" i="34" s="1"/>
  <c r="AO65" i="34"/>
  <c r="G80" i="34" s="1"/>
  <c r="H80" i="34" s="1"/>
  <c r="AN65" i="34"/>
  <c r="E80" i="34" s="1"/>
  <c r="F80" i="34" s="1"/>
  <c r="AM65" i="34"/>
  <c r="C80" i="34" s="1"/>
  <c r="D80" i="34" s="1"/>
  <c r="AG65" i="34"/>
  <c r="I79" i="34" s="1"/>
  <c r="J79" i="34" s="1"/>
  <c r="AF65" i="34"/>
  <c r="G79" i="34" s="1"/>
  <c r="H79" i="34" s="1"/>
  <c r="AE65" i="34"/>
  <c r="E79" i="34" s="1"/>
  <c r="F79" i="34" s="1"/>
  <c r="AD65" i="34"/>
  <c r="C79" i="34" s="1"/>
  <c r="D79" i="34" s="1"/>
  <c r="X65" i="34"/>
  <c r="I78" i="34" s="1"/>
  <c r="J78" i="34" s="1"/>
  <c r="W65" i="34"/>
  <c r="G78" i="34" s="1"/>
  <c r="H78" i="34" s="1"/>
  <c r="V65" i="34"/>
  <c r="E78" i="34" s="1"/>
  <c r="F78" i="34" s="1"/>
  <c r="U65" i="34"/>
  <c r="C78" i="34" s="1"/>
  <c r="D78" i="34" s="1"/>
  <c r="O65" i="34"/>
  <c r="I77" i="34" s="1"/>
  <c r="J77" i="34" s="1"/>
  <c r="N65" i="34"/>
  <c r="G77" i="34" s="1"/>
  <c r="H77" i="34" s="1"/>
  <c r="M65" i="34"/>
  <c r="E77" i="34" s="1"/>
  <c r="F77" i="34" s="1"/>
  <c r="L65" i="34"/>
  <c r="C77" i="34" s="1"/>
  <c r="D77" i="34" s="1"/>
  <c r="F65" i="34"/>
  <c r="I76" i="34" s="1"/>
  <c r="J76" i="34" s="1"/>
  <c r="E65" i="34"/>
  <c r="G76" i="34" s="1"/>
  <c r="H76" i="34" s="1"/>
  <c r="D65" i="34"/>
  <c r="E76" i="34" s="1"/>
  <c r="F76" i="34" s="1"/>
  <c r="C65" i="34"/>
  <c r="C76" i="34" s="1"/>
  <c r="D76" i="34" s="1"/>
  <c r="J82" i="34" l="1"/>
  <c r="D82" i="34"/>
  <c r="F82" i="34"/>
  <c r="H82" i="34"/>
  <c r="AQ65" i="33"/>
  <c r="I80" i="33" s="1"/>
  <c r="J80" i="33" s="1"/>
  <c r="AO65" i="33"/>
  <c r="G80" i="33" s="1"/>
  <c r="H80" i="33" s="1"/>
  <c r="AN65" i="33"/>
  <c r="E80" i="33" s="1"/>
  <c r="F80" i="33" s="1"/>
  <c r="AM65" i="33"/>
  <c r="C80" i="33" s="1"/>
  <c r="D80" i="33" s="1"/>
  <c r="AG65" i="33"/>
  <c r="I79" i="33" s="1"/>
  <c r="J79" i="33" s="1"/>
  <c r="AF65" i="33"/>
  <c r="G79" i="33" s="1"/>
  <c r="H79" i="33" s="1"/>
  <c r="AE65" i="33"/>
  <c r="E79" i="33" s="1"/>
  <c r="F79" i="33" s="1"/>
  <c r="AD65" i="33"/>
  <c r="C79" i="33" s="1"/>
  <c r="D79" i="33" s="1"/>
  <c r="X65" i="33"/>
  <c r="I78" i="33" s="1"/>
  <c r="J78" i="33" s="1"/>
  <c r="W65" i="33"/>
  <c r="G78" i="33" s="1"/>
  <c r="H78" i="33" s="1"/>
  <c r="V65" i="33"/>
  <c r="E78" i="33" s="1"/>
  <c r="F78" i="33" s="1"/>
  <c r="U65" i="33"/>
  <c r="C78" i="33" s="1"/>
  <c r="D78" i="33" s="1"/>
  <c r="O65" i="33"/>
  <c r="I77" i="33" s="1"/>
  <c r="J77" i="33" s="1"/>
  <c r="N65" i="33"/>
  <c r="G77" i="33" s="1"/>
  <c r="H77" i="33" s="1"/>
  <c r="M65" i="33"/>
  <c r="E77" i="33" s="1"/>
  <c r="F77" i="33" s="1"/>
  <c r="L65" i="33"/>
  <c r="C77" i="33" s="1"/>
  <c r="D77" i="33" s="1"/>
  <c r="F65" i="33"/>
  <c r="I76" i="33" s="1"/>
  <c r="J76" i="33" s="1"/>
  <c r="E65" i="33"/>
  <c r="G76" i="33" s="1"/>
  <c r="H76" i="33" s="1"/>
  <c r="D65" i="33"/>
  <c r="E76" i="33" s="1"/>
  <c r="F76" i="33" s="1"/>
  <c r="C65" i="33"/>
  <c r="C76" i="33" s="1"/>
  <c r="D76" i="33" s="1"/>
  <c r="AP65" i="32"/>
  <c r="I80" i="32" s="1"/>
  <c r="J80" i="32" s="1"/>
  <c r="AO65" i="32"/>
  <c r="G80" i="32" s="1"/>
  <c r="H80" i="32" s="1"/>
  <c r="AN65" i="32"/>
  <c r="E80" i="32" s="1"/>
  <c r="F80" i="32" s="1"/>
  <c r="AM65" i="32"/>
  <c r="C80" i="32" s="1"/>
  <c r="D80" i="32" s="1"/>
  <c r="AG65" i="32"/>
  <c r="I79" i="32" s="1"/>
  <c r="J79" i="32" s="1"/>
  <c r="AF65" i="32"/>
  <c r="G79" i="32" s="1"/>
  <c r="H79" i="32" s="1"/>
  <c r="AE65" i="32"/>
  <c r="E79" i="32" s="1"/>
  <c r="F79" i="32" s="1"/>
  <c r="AD65" i="32"/>
  <c r="C79" i="32" s="1"/>
  <c r="D79" i="32" s="1"/>
  <c r="X65" i="32"/>
  <c r="I78" i="32" s="1"/>
  <c r="J78" i="32" s="1"/>
  <c r="W65" i="32"/>
  <c r="G78" i="32" s="1"/>
  <c r="H78" i="32" s="1"/>
  <c r="V65" i="32"/>
  <c r="E78" i="32" s="1"/>
  <c r="F78" i="32" s="1"/>
  <c r="U65" i="32"/>
  <c r="C78" i="32" s="1"/>
  <c r="D78" i="32" s="1"/>
  <c r="O65" i="32"/>
  <c r="I77" i="32" s="1"/>
  <c r="J77" i="32" s="1"/>
  <c r="N65" i="32"/>
  <c r="G77" i="32" s="1"/>
  <c r="H77" i="32" s="1"/>
  <c r="M65" i="32"/>
  <c r="E77" i="32" s="1"/>
  <c r="F77" i="32" s="1"/>
  <c r="L65" i="32"/>
  <c r="C77" i="32" s="1"/>
  <c r="D77" i="32" s="1"/>
  <c r="F65" i="32"/>
  <c r="I76" i="32" s="1"/>
  <c r="J76" i="32" s="1"/>
  <c r="E65" i="32"/>
  <c r="G76" i="32" s="1"/>
  <c r="H76" i="32" s="1"/>
  <c r="D65" i="32"/>
  <c r="E76" i="32" s="1"/>
  <c r="F76" i="32" s="1"/>
  <c r="C65" i="32"/>
  <c r="C76" i="32" s="1"/>
  <c r="D76" i="32" s="1"/>
  <c r="D82" i="33" l="1"/>
  <c r="H82" i="33"/>
  <c r="J82" i="33"/>
  <c r="F82" i="33"/>
  <c r="J82" i="32"/>
  <c r="D82" i="32"/>
  <c r="H82" i="32"/>
  <c r="F82" i="32"/>
  <c r="AP65" i="31" l="1"/>
  <c r="I80" i="31" s="1"/>
  <c r="J80" i="31" s="1"/>
  <c r="AO65" i="31"/>
  <c r="G80" i="31" s="1"/>
  <c r="H80" i="31" s="1"/>
  <c r="AN65" i="31"/>
  <c r="E80" i="31" s="1"/>
  <c r="F80" i="31" s="1"/>
  <c r="AM65" i="31"/>
  <c r="C80" i="31" s="1"/>
  <c r="D80" i="31" s="1"/>
  <c r="AG65" i="31"/>
  <c r="I79" i="31" s="1"/>
  <c r="J79" i="31" s="1"/>
  <c r="AF65" i="31"/>
  <c r="G79" i="31" s="1"/>
  <c r="H79" i="31" s="1"/>
  <c r="AE65" i="31"/>
  <c r="E79" i="31" s="1"/>
  <c r="F79" i="31" s="1"/>
  <c r="AD65" i="31"/>
  <c r="C79" i="31" s="1"/>
  <c r="D79" i="31" s="1"/>
  <c r="X65" i="31"/>
  <c r="I78" i="31" s="1"/>
  <c r="J78" i="31" s="1"/>
  <c r="W65" i="31"/>
  <c r="G78" i="31" s="1"/>
  <c r="H78" i="31" s="1"/>
  <c r="V65" i="31"/>
  <c r="E78" i="31" s="1"/>
  <c r="F78" i="31" s="1"/>
  <c r="U65" i="31"/>
  <c r="C78" i="31" s="1"/>
  <c r="D78" i="31" s="1"/>
  <c r="O65" i="31"/>
  <c r="I77" i="31" s="1"/>
  <c r="J77" i="31" s="1"/>
  <c r="N65" i="31"/>
  <c r="G77" i="31" s="1"/>
  <c r="H77" i="31" s="1"/>
  <c r="M65" i="31"/>
  <c r="E77" i="31" s="1"/>
  <c r="F77" i="31" s="1"/>
  <c r="L65" i="31"/>
  <c r="C77" i="31" s="1"/>
  <c r="D77" i="31" s="1"/>
  <c r="F65" i="31"/>
  <c r="I76" i="31" s="1"/>
  <c r="J76" i="31" s="1"/>
  <c r="E65" i="31"/>
  <c r="G76" i="31" s="1"/>
  <c r="H76" i="31" s="1"/>
  <c r="D65" i="31"/>
  <c r="E76" i="31" s="1"/>
  <c r="F76" i="31" s="1"/>
  <c r="C65" i="31"/>
  <c r="C76" i="31" s="1"/>
  <c r="D76" i="31" s="1"/>
  <c r="J82" i="31" l="1"/>
  <c r="D82" i="31"/>
  <c r="F82" i="31"/>
  <c r="H82" i="31"/>
  <c r="AP65" i="30" l="1"/>
  <c r="I80" i="30" s="1"/>
  <c r="J80" i="30" s="1"/>
  <c r="AO65" i="30"/>
  <c r="G80" i="30" s="1"/>
  <c r="H80" i="30" s="1"/>
  <c r="AN65" i="30"/>
  <c r="E80" i="30" s="1"/>
  <c r="F80" i="30" s="1"/>
  <c r="AM65" i="30"/>
  <c r="C80" i="30" s="1"/>
  <c r="D80" i="30" s="1"/>
  <c r="AG65" i="30"/>
  <c r="I79" i="30" s="1"/>
  <c r="J79" i="30" s="1"/>
  <c r="AF65" i="30"/>
  <c r="G79" i="30" s="1"/>
  <c r="H79" i="30" s="1"/>
  <c r="AE65" i="30"/>
  <c r="E79" i="30" s="1"/>
  <c r="F79" i="30" s="1"/>
  <c r="AD65" i="30"/>
  <c r="C79" i="30" s="1"/>
  <c r="D79" i="30" s="1"/>
  <c r="X65" i="30"/>
  <c r="I78" i="30" s="1"/>
  <c r="J78" i="30" s="1"/>
  <c r="W65" i="30"/>
  <c r="G78" i="30" s="1"/>
  <c r="H78" i="30" s="1"/>
  <c r="V65" i="30"/>
  <c r="E78" i="30" s="1"/>
  <c r="F78" i="30" s="1"/>
  <c r="U65" i="30"/>
  <c r="C78" i="30" s="1"/>
  <c r="D78" i="30" s="1"/>
  <c r="O65" i="30"/>
  <c r="I77" i="30" s="1"/>
  <c r="J77" i="30" s="1"/>
  <c r="N65" i="30"/>
  <c r="G77" i="30" s="1"/>
  <c r="H77" i="30" s="1"/>
  <c r="M65" i="30"/>
  <c r="E77" i="30" s="1"/>
  <c r="F77" i="30" s="1"/>
  <c r="L65" i="30"/>
  <c r="C77" i="30" s="1"/>
  <c r="D77" i="30" s="1"/>
  <c r="F65" i="30"/>
  <c r="I76" i="30" s="1"/>
  <c r="J76" i="30" s="1"/>
  <c r="E65" i="30"/>
  <c r="G76" i="30" s="1"/>
  <c r="H76" i="30" s="1"/>
  <c r="D65" i="30"/>
  <c r="E76" i="30" s="1"/>
  <c r="F76" i="30" s="1"/>
  <c r="C65" i="30"/>
  <c r="C76" i="30" s="1"/>
  <c r="D76" i="30" s="1"/>
  <c r="D82" i="30" l="1"/>
  <c r="H82" i="30"/>
  <c r="J82" i="30"/>
  <c r="F82" i="30"/>
  <c r="AP65" i="29" l="1"/>
  <c r="I80" i="29" s="1"/>
  <c r="J80" i="29" s="1"/>
  <c r="AO65" i="29"/>
  <c r="G80" i="29" s="1"/>
  <c r="H80" i="29" s="1"/>
  <c r="AN65" i="29"/>
  <c r="E80" i="29" s="1"/>
  <c r="F80" i="29" s="1"/>
  <c r="AM65" i="29"/>
  <c r="C80" i="29" s="1"/>
  <c r="D80" i="29" s="1"/>
  <c r="AG65" i="29"/>
  <c r="I79" i="29" s="1"/>
  <c r="J79" i="29" s="1"/>
  <c r="AF65" i="29"/>
  <c r="G79" i="29" s="1"/>
  <c r="H79" i="29" s="1"/>
  <c r="AE65" i="29"/>
  <c r="E79" i="29" s="1"/>
  <c r="F79" i="29" s="1"/>
  <c r="AD65" i="29"/>
  <c r="C79" i="29" s="1"/>
  <c r="D79" i="29" s="1"/>
  <c r="X65" i="29"/>
  <c r="I78" i="29" s="1"/>
  <c r="J78" i="29" s="1"/>
  <c r="W65" i="29"/>
  <c r="G78" i="29" s="1"/>
  <c r="H78" i="29" s="1"/>
  <c r="V65" i="29"/>
  <c r="E78" i="29" s="1"/>
  <c r="F78" i="29" s="1"/>
  <c r="U65" i="29"/>
  <c r="C78" i="29" s="1"/>
  <c r="D78" i="29" s="1"/>
  <c r="O65" i="29"/>
  <c r="I77" i="29" s="1"/>
  <c r="J77" i="29" s="1"/>
  <c r="N65" i="29"/>
  <c r="G77" i="29" s="1"/>
  <c r="H77" i="29" s="1"/>
  <c r="M65" i="29"/>
  <c r="E77" i="29" s="1"/>
  <c r="F77" i="29" s="1"/>
  <c r="L65" i="29"/>
  <c r="C77" i="29" s="1"/>
  <c r="D77" i="29" s="1"/>
  <c r="F65" i="29"/>
  <c r="I76" i="29" s="1"/>
  <c r="J76" i="29" s="1"/>
  <c r="E65" i="29"/>
  <c r="G76" i="29" s="1"/>
  <c r="H76" i="29" s="1"/>
  <c r="D65" i="29"/>
  <c r="E76" i="29" s="1"/>
  <c r="F76" i="29" s="1"/>
  <c r="C65" i="29"/>
  <c r="C76" i="29" s="1"/>
  <c r="D76" i="29" s="1"/>
  <c r="AP65" i="28"/>
  <c r="I80" i="28" s="1"/>
  <c r="J80" i="28" s="1"/>
  <c r="AO65" i="28"/>
  <c r="G80" i="28" s="1"/>
  <c r="H80" i="28" s="1"/>
  <c r="AN65" i="28"/>
  <c r="E80" i="28" s="1"/>
  <c r="F80" i="28" s="1"/>
  <c r="AM65" i="28"/>
  <c r="C80" i="28" s="1"/>
  <c r="D80" i="28" s="1"/>
  <c r="AG65" i="28"/>
  <c r="I79" i="28" s="1"/>
  <c r="J79" i="28" s="1"/>
  <c r="AF65" i="28"/>
  <c r="G79" i="28" s="1"/>
  <c r="H79" i="28" s="1"/>
  <c r="AE65" i="28"/>
  <c r="E79" i="28" s="1"/>
  <c r="F79" i="28" s="1"/>
  <c r="AD65" i="28"/>
  <c r="C79" i="28" s="1"/>
  <c r="D79" i="28" s="1"/>
  <c r="X65" i="28"/>
  <c r="I78" i="28" s="1"/>
  <c r="J78" i="28" s="1"/>
  <c r="W65" i="28"/>
  <c r="G78" i="28" s="1"/>
  <c r="H78" i="28" s="1"/>
  <c r="V65" i="28"/>
  <c r="E78" i="28" s="1"/>
  <c r="F78" i="28" s="1"/>
  <c r="U65" i="28"/>
  <c r="C78" i="28" s="1"/>
  <c r="D78" i="28" s="1"/>
  <c r="O65" i="28"/>
  <c r="I77" i="28" s="1"/>
  <c r="J77" i="28" s="1"/>
  <c r="N65" i="28"/>
  <c r="G77" i="28" s="1"/>
  <c r="H77" i="28" s="1"/>
  <c r="M65" i="28"/>
  <c r="E77" i="28" s="1"/>
  <c r="F77" i="28" s="1"/>
  <c r="L65" i="28"/>
  <c r="C77" i="28" s="1"/>
  <c r="D77" i="28" s="1"/>
  <c r="F65" i="28"/>
  <c r="E65" i="28"/>
  <c r="G76" i="28" s="1"/>
  <c r="H76" i="28" s="1"/>
  <c r="D65" i="28"/>
  <c r="E76" i="28" s="1"/>
  <c r="F76" i="28" s="1"/>
  <c r="C65" i="28"/>
  <c r="C76" i="28" s="1"/>
  <c r="D76" i="28" s="1"/>
  <c r="AP65" i="27"/>
  <c r="I80" i="27" s="1"/>
  <c r="J80" i="27" s="1"/>
  <c r="AO65" i="27"/>
  <c r="G80" i="27" s="1"/>
  <c r="H80" i="27" s="1"/>
  <c r="AN65" i="27"/>
  <c r="E80" i="27" s="1"/>
  <c r="F80" i="27" s="1"/>
  <c r="AM65" i="27"/>
  <c r="C80" i="27" s="1"/>
  <c r="D80" i="27" s="1"/>
  <c r="AG65" i="27"/>
  <c r="I79" i="27" s="1"/>
  <c r="J79" i="27" s="1"/>
  <c r="AF65" i="27"/>
  <c r="G79" i="27" s="1"/>
  <c r="H79" i="27" s="1"/>
  <c r="AE65" i="27"/>
  <c r="E79" i="27" s="1"/>
  <c r="F79" i="27" s="1"/>
  <c r="AD65" i="27"/>
  <c r="C79" i="27" s="1"/>
  <c r="D79" i="27" s="1"/>
  <c r="X65" i="27"/>
  <c r="I78" i="27" s="1"/>
  <c r="J78" i="27" s="1"/>
  <c r="W65" i="27"/>
  <c r="G78" i="27" s="1"/>
  <c r="H78" i="27" s="1"/>
  <c r="V65" i="27"/>
  <c r="E78" i="27" s="1"/>
  <c r="F78" i="27" s="1"/>
  <c r="U65" i="27"/>
  <c r="C78" i="27" s="1"/>
  <c r="D78" i="27" s="1"/>
  <c r="O65" i="27"/>
  <c r="I77" i="27" s="1"/>
  <c r="J77" i="27" s="1"/>
  <c r="N65" i="27"/>
  <c r="G77" i="27" s="1"/>
  <c r="H77" i="27" s="1"/>
  <c r="M65" i="27"/>
  <c r="E77" i="27" s="1"/>
  <c r="F77" i="27" s="1"/>
  <c r="L65" i="27"/>
  <c r="C77" i="27" s="1"/>
  <c r="D77" i="27" s="1"/>
  <c r="F65" i="27"/>
  <c r="I76" i="27" s="1"/>
  <c r="J76" i="27" s="1"/>
  <c r="E65" i="27"/>
  <c r="G76" i="27" s="1"/>
  <c r="H76" i="27" s="1"/>
  <c r="D65" i="27"/>
  <c r="E76" i="27" s="1"/>
  <c r="F76" i="27" s="1"/>
  <c r="C65" i="27"/>
  <c r="C76" i="27" s="1"/>
  <c r="D76" i="27" s="1"/>
  <c r="AP65" i="26"/>
  <c r="I80" i="26" s="1"/>
  <c r="J80" i="26" s="1"/>
  <c r="AO65" i="26"/>
  <c r="G80" i="26" s="1"/>
  <c r="H80" i="26" s="1"/>
  <c r="AN65" i="26"/>
  <c r="E80" i="26" s="1"/>
  <c r="F80" i="26" s="1"/>
  <c r="AM65" i="26"/>
  <c r="C80" i="26" s="1"/>
  <c r="D80" i="26" s="1"/>
  <c r="AG65" i="26"/>
  <c r="I79" i="26" s="1"/>
  <c r="J79" i="26" s="1"/>
  <c r="AF65" i="26"/>
  <c r="G79" i="26" s="1"/>
  <c r="H79" i="26" s="1"/>
  <c r="AE65" i="26"/>
  <c r="E79" i="26" s="1"/>
  <c r="F79" i="26" s="1"/>
  <c r="AD65" i="26"/>
  <c r="C79" i="26" s="1"/>
  <c r="D79" i="26" s="1"/>
  <c r="X65" i="26"/>
  <c r="I78" i="26" s="1"/>
  <c r="J78" i="26" s="1"/>
  <c r="W65" i="26"/>
  <c r="G78" i="26" s="1"/>
  <c r="H78" i="26" s="1"/>
  <c r="V65" i="26"/>
  <c r="E78" i="26" s="1"/>
  <c r="F78" i="26" s="1"/>
  <c r="U65" i="26"/>
  <c r="C78" i="26" s="1"/>
  <c r="D78" i="26" s="1"/>
  <c r="O65" i="26"/>
  <c r="I77" i="26" s="1"/>
  <c r="J77" i="26" s="1"/>
  <c r="N65" i="26"/>
  <c r="G77" i="26" s="1"/>
  <c r="H77" i="26" s="1"/>
  <c r="M65" i="26"/>
  <c r="E77" i="26" s="1"/>
  <c r="F77" i="26" s="1"/>
  <c r="L65" i="26"/>
  <c r="C77" i="26" s="1"/>
  <c r="D77" i="26" s="1"/>
  <c r="F65" i="26"/>
  <c r="I76" i="26" s="1"/>
  <c r="J76" i="26" s="1"/>
  <c r="E65" i="26"/>
  <c r="G76" i="26" s="1"/>
  <c r="H76" i="26" s="1"/>
  <c r="D65" i="26"/>
  <c r="E76" i="26" s="1"/>
  <c r="F76" i="26" s="1"/>
  <c r="C65" i="26"/>
  <c r="C76" i="26" s="1"/>
  <c r="D76" i="26" s="1"/>
  <c r="AP65" i="25"/>
  <c r="I80" i="25" s="1"/>
  <c r="J80" i="25" s="1"/>
  <c r="AO65" i="25"/>
  <c r="G80" i="25" s="1"/>
  <c r="H80" i="25" s="1"/>
  <c r="AN65" i="25"/>
  <c r="E80" i="25" s="1"/>
  <c r="F80" i="25" s="1"/>
  <c r="AM65" i="25"/>
  <c r="C80" i="25" s="1"/>
  <c r="D80" i="25" s="1"/>
  <c r="I76" i="28" l="1"/>
  <c r="J76" i="28" s="1"/>
  <c r="J82" i="28" s="1"/>
  <c r="D82" i="29"/>
  <c r="H82" i="29"/>
  <c r="F82" i="29"/>
  <c r="J82" i="29"/>
  <c r="F82" i="28"/>
  <c r="D82" i="28"/>
  <c r="H82" i="28"/>
  <c r="F82" i="27"/>
  <c r="D82" i="27"/>
  <c r="J82" i="27"/>
  <c r="H82" i="27"/>
  <c r="D82" i="26"/>
  <c r="J82" i="26"/>
  <c r="H82" i="26"/>
  <c r="F82" i="26"/>
  <c r="AG65" i="25"/>
  <c r="I79" i="25" s="1"/>
  <c r="J79" i="25" s="1"/>
  <c r="AF65" i="25"/>
  <c r="G79" i="25" s="1"/>
  <c r="H79" i="25" s="1"/>
  <c r="AE65" i="25"/>
  <c r="E79" i="25" s="1"/>
  <c r="F79" i="25" s="1"/>
  <c r="AD65" i="25"/>
  <c r="X65" i="25"/>
  <c r="I78" i="25" s="1"/>
  <c r="J78" i="25" s="1"/>
  <c r="W65" i="25"/>
  <c r="G78" i="25" s="1"/>
  <c r="H78" i="25" s="1"/>
  <c r="V65" i="25"/>
  <c r="E78" i="25" s="1"/>
  <c r="F78" i="25" s="1"/>
  <c r="U65" i="25"/>
  <c r="C78" i="25" s="1"/>
  <c r="D78" i="25" s="1"/>
  <c r="O65" i="25"/>
  <c r="I77" i="25" s="1"/>
  <c r="J77" i="25" s="1"/>
  <c r="N65" i="25"/>
  <c r="G77" i="25" s="1"/>
  <c r="H77" i="25" s="1"/>
  <c r="M65" i="25"/>
  <c r="E77" i="25" s="1"/>
  <c r="F77" i="25" s="1"/>
  <c r="L65" i="25"/>
  <c r="C77" i="25" s="1"/>
  <c r="D77" i="25" s="1"/>
  <c r="F65" i="25"/>
  <c r="I76" i="25" s="1"/>
  <c r="J76" i="25" s="1"/>
  <c r="J82" i="25" s="1"/>
  <c r="E65" i="25"/>
  <c r="G76" i="25" s="1"/>
  <c r="H76" i="25" s="1"/>
  <c r="D65" i="25"/>
  <c r="E76" i="25" s="1"/>
  <c r="F76" i="25" s="1"/>
  <c r="C65" i="25"/>
  <c r="C76" i="25" s="1"/>
  <c r="D76" i="25" s="1"/>
  <c r="C65" i="23"/>
  <c r="AF65" i="24"/>
  <c r="G79" i="24" s="1"/>
  <c r="H79" i="24" s="1"/>
  <c r="AE65" i="24"/>
  <c r="E79" i="24" s="1"/>
  <c r="F79" i="24" s="1"/>
  <c r="AD65" i="24"/>
  <c r="C79" i="24" s="1"/>
  <c r="D79" i="24" s="1"/>
  <c r="W65" i="24"/>
  <c r="G78" i="24" s="1"/>
  <c r="H78" i="24" s="1"/>
  <c r="V65" i="24"/>
  <c r="E78" i="24" s="1"/>
  <c r="F78" i="24" s="1"/>
  <c r="U65" i="24"/>
  <c r="C78" i="24" s="1"/>
  <c r="D78" i="24" s="1"/>
  <c r="N65" i="24"/>
  <c r="G77" i="24" s="1"/>
  <c r="H77" i="24" s="1"/>
  <c r="M65" i="24"/>
  <c r="E77" i="24" s="1"/>
  <c r="F77" i="24" s="1"/>
  <c r="L65" i="24"/>
  <c r="C77" i="24" s="1"/>
  <c r="D77" i="24" s="1"/>
  <c r="E65" i="24"/>
  <c r="G76" i="24" s="1"/>
  <c r="H76" i="24" s="1"/>
  <c r="D65" i="24"/>
  <c r="E76" i="24" s="1"/>
  <c r="F76" i="24" s="1"/>
  <c r="C65" i="24"/>
  <c r="C76" i="24" s="1"/>
  <c r="D76" i="24" s="1"/>
  <c r="AG65" i="24"/>
  <c r="I79" i="24" s="1"/>
  <c r="J79" i="24" s="1"/>
  <c r="X65" i="24"/>
  <c r="I78" i="24" s="1"/>
  <c r="J78" i="24" s="1"/>
  <c r="O65" i="24"/>
  <c r="I77" i="24" s="1"/>
  <c r="J77" i="24" s="1"/>
  <c r="F65" i="24"/>
  <c r="I76" i="24" s="1"/>
  <c r="J76" i="24" s="1"/>
  <c r="F82" i="25" l="1"/>
  <c r="H82" i="25"/>
  <c r="C79" i="25"/>
  <c r="D79" i="25" s="1"/>
  <c r="D82" i="25" s="1"/>
  <c r="J81" i="24"/>
  <c r="H81" i="24"/>
  <c r="D81" i="24"/>
  <c r="F81" i="24"/>
  <c r="AG21" i="23"/>
  <c r="X21" i="23"/>
  <c r="O21" i="23"/>
  <c r="F21" i="23"/>
  <c r="AG65" i="23" l="1"/>
  <c r="I79" i="23" s="1"/>
  <c r="J79" i="23" s="1"/>
  <c r="AF65" i="23"/>
  <c r="G79" i="23" s="1"/>
  <c r="H79" i="23" s="1"/>
  <c r="AE65" i="23"/>
  <c r="E79" i="23" s="1"/>
  <c r="F79" i="23" s="1"/>
  <c r="AD65" i="23"/>
  <c r="C79" i="23" s="1"/>
  <c r="D79" i="23" s="1"/>
  <c r="X65" i="23"/>
  <c r="I78" i="23" s="1"/>
  <c r="J78" i="23" s="1"/>
  <c r="W65" i="23"/>
  <c r="G78" i="23" s="1"/>
  <c r="H78" i="23" s="1"/>
  <c r="V65" i="23"/>
  <c r="E78" i="23" s="1"/>
  <c r="F78" i="23" s="1"/>
  <c r="U65" i="23"/>
  <c r="C78" i="23" s="1"/>
  <c r="D78" i="23" s="1"/>
  <c r="O65" i="23"/>
  <c r="I77" i="23" s="1"/>
  <c r="J77" i="23" s="1"/>
  <c r="N65" i="23"/>
  <c r="G77" i="23" s="1"/>
  <c r="H77" i="23" s="1"/>
  <c r="M65" i="23"/>
  <c r="E77" i="23" s="1"/>
  <c r="F77" i="23" s="1"/>
  <c r="L65" i="23"/>
  <c r="C77" i="23" s="1"/>
  <c r="D77" i="23" s="1"/>
  <c r="F65" i="23"/>
  <c r="I76" i="23" s="1"/>
  <c r="J76" i="23" s="1"/>
  <c r="E65" i="23"/>
  <c r="G76" i="23" s="1"/>
  <c r="H76" i="23" s="1"/>
  <c r="D65" i="23"/>
  <c r="E76" i="23" s="1"/>
  <c r="F76" i="23" s="1"/>
  <c r="C76" i="23"/>
  <c r="D76" i="23" s="1"/>
  <c r="C65" i="22"/>
  <c r="AG65" i="22"/>
  <c r="I79" i="22" s="1"/>
  <c r="J79" i="22" s="1"/>
  <c r="AF65" i="22"/>
  <c r="G79" i="22" s="1"/>
  <c r="H79" i="22" s="1"/>
  <c r="AE65" i="22"/>
  <c r="E79" i="22" s="1"/>
  <c r="F79" i="22" s="1"/>
  <c r="AD65" i="22"/>
  <c r="C79" i="22" s="1"/>
  <c r="D79" i="22" s="1"/>
  <c r="X65" i="22"/>
  <c r="I78" i="22" s="1"/>
  <c r="J78" i="22" s="1"/>
  <c r="W65" i="22"/>
  <c r="G78" i="22" s="1"/>
  <c r="H78" i="22" s="1"/>
  <c r="V65" i="22"/>
  <c r="E78" i="22" s="1"/>
  <c r="F78" i="22" s="1"/>
  <c r="U65" i="22"/>
  <c r="C78" i="22" s="1"/>
  <c r="D78" i="22" s="1"/>
  <c r="O65" i="22"/>
  <c r="I77" i="22" s="1"/>
  <c r="J77" i="22" s="1"/>
  <c r="N65" i="22"/>
  <c r="G77" i="22" s="1"/>
  <c r="H77" i="22" s="1"/>
  <c r="M65" i="22"/>
  <c r="E77" i="22" s="1"/>
  <c r="F77" i="22" s="1"/>
  <c r="L65" i="22"/>
  <c r="C77" i="22" s="1"/>
  <c r="D77" i="22" s="1"/>
  <c r="F65" i="22"/>
  <c r="I76" i="22" s="1"/>
  <c r="J76" i="22" s="1"/>
  <c r="E65" i="22"/>
  <c r="G76" i="22" s="1"/>
  <c r="H76" i="22" s="1"/>
  <c r="D65" i="22"/>
  <c r="E76" i="22" s="1"/>
  <c r="F76" i="22" s="1"/>
  <c r="C76" i="22"/>
  <c r="D76" i="22" s="1"/>
  <c r="E65" i="21"/>
  <c r="G76" i="21" s="1"/>
  <c r="H76" i="21" s="1"/>
  <c r="AG65" i="21"/>
  <c r="I79" i="21" s="1"/>
  <c r="J79" i="21" s="1"/>
  <c r="AF65" i="21"/>
  <c r="G79" i="21" s="1"/>
  <c r="H79" i="21" s="1"/>
  <c r="AE65" i="21"/>
  <c r="E79" i="21" s="1"/>
  <c r="F79" i="21" s="1"/>
  <c r="AD65" i="21"/>
  <c r="C79" i="21" s="1"/>
  <c r="D79" i="21" s="1"/>
  <c r="X65" i="21"/>
  <c r="I78" i="21" s="1"/>
  <c r="J78" i="21" s="1"/>
  <c r="W65" i="21"/>
  <c r="G78" i="21" s="1"/>
  <c r="H78" i="21" s="1"/>
  <c r="V65" i="21"/>
  <c r="E78" i="21" s="1"/>
  <c r="F78" i="21" s="1"/>
  <c r="U65" i="21"/>
  <c r="C78" i="21" s="1"/>
  <c r="D78" i="21" s="1"/>
  <c r="O65" i="21"/>
  <c r="I77" i="21" s="1"/>
  <c r="J77" i="21" s="1"/>
  <c r="N65" i="21"/>
  <c r="G77" i="21" s="1"/>
  <c r="H77" i="21" s="1"/>
  <c r="M65" i="21"/>
  <c r="E77" i="21" s="1"/>
  <c r="F77" i="21" s="1"/>
  <c r="L65" i="21"/>
  <c r="C77" i="21" s="1"/>
  <c r="D77" i="21" s="1"/>
  <c r="F65" i="21"/>
  <c r="I76" i="21" s="1"/>
  <c r="J76" i="21" s="1"/>
  <c r="D65" i="21"/>
  <c r="E76" i="21" s="1"/>
  <c r="F76" i="21" s="1"/>
  <c r="C65" i="21"/>
  <c r="C76" i="21" s="1"/>
  <c r="D76" i="21" s="1"/>
  <c r="F81" i="23" l="1"/>
  <c r="J81" i="23"/>
  <c r="H81" i="23"/>
  <c r="D81" i="23"/>
  <c r="J81" i="22"/>
  <c r="D81" i="22"/>
  <c r="H81" i="22"/>
  <c r="F81" i="22"/>
  <c r="H81" i="21"/>
  <c r="D81" i="21"/>
  <c r="J81" i="21"/>
  <c r="F81" i="21"/>
  <c r="AG65" i="20"/>
  <c r="I79" i="20" s="1"/>
  <c r="J79" i="20" s="1"/>
  <c r="AF65" i="20"/>
  <c r="G79" i="20" s="1"/>
  <c r="H79" i="20" s="1"/>
  <c r="AE65" i="20"/>
  <c r="E79" i="20" s="1"/>
  <c r="F79" i="20" s="1"/>
  <c r="AD65" i="20"/>
  <c r="C79" i="20" s="1"/>
  <c r="D79" i="20" s="1"/>
  <c r="X65" i="20"/>
  <c r="I78" i="20" s="1"/>
  <c r="J78" i="20" s="1"/>
  <c r="W65" i="20"/>
  <c r="G78" i="20" s="1"/>
  <c r="H78" i="20" s="1"/>
  <c r="V65" i="20"/>
  <c r="E78" i="20" s="1"/>
  <c r="F78" i="20" s="1"/>
  <c r="U65" i="20"/>
  <c r="C78" i="20" s="1"/>
  <c r="D78" i="20" s="1"/>
  <c r="O65" i="20"/>
  <c r="I77" i="20" s="1"/>
  <c r="J77" i="20" s="1"/>
  <c r="N65" i="20"/>
  <c r="G77" i="20" s="1"/>
  <c r="H77" i="20" s="1"/>
  <c r="M65" i="20"/>
  <c r="E77" i="20" s="1"/>
  <c r="F77" i="20" s="1"/>
  <c r="L65" i="20"/>
  <c r="C77" i="20" s="1"/>
  <c r="D77" i="20" s="1"/>
  <c r="F65" i="20"/>
  <c r="I76" i="20" s="1"/>
  <c r="J76" i="20" s="1"/>
  <c r="E65" i="20"/>
  <c r="D65" i="20"/>
  <c r="E76" i="20" s="1"/>
  <c r="F76" i="20" s="1"/>
  <c r="C65" i="20"/>
  <c r="C76" i="20" s="1"/>
  <c r="D76" i="20" s="1"/>
  <c r="AG63" i="19"/>
  <c r="I77" i="19" s="1"/>
  <c r="J77" i="19" s="1"/>
  <c r="AF63" i="19"/>
  <c r="G77" i="19" s="1"/>
  <c r="H77" i="19" s="1"/>
  <c r="AE63" i="19"/>
  <c r="E77" i="19" s="1"/>
  <c r="F77" i="19" s="1"/>
  <c r="AD63" i="19"/>
  <c r="C77" i="19" s="1"/>
  <c r="D77" i="19" s="1"/>
  <c r="X63" i="19"/>
  <c r="I76" i="19" s="1"/>
  <c r="J76" i="19" s="1"/>
  <c r="W63" i="19"/>
  <c r="G76" i="19" s="1"/>
  <c r="H76" i="19" s="1"/>
  <c r="V63" i="19"/>
  <c r="E76" i="19" s="1"/>
  <c r="F76" i="19" s="1"/>
  <c r="U63" i="19"/>
  <c r="C76" i="19" s="1"/>
  <c r="D76" i="19" s="1"/>
  <c r="O63" i="19"/>
  <c r="I75" i="19" s="1"/>
  <c r="J75" i="19" s="1"/>
  <c r="N63" i="19"/>
  <c r="G75" i="19" s="1"/>
  <c r="H75" i="19" s="1"/>
  <c r="M63" i="19"/>
  <c r="E75" i="19" s="1"/>
  <c r="F75" i="19" s="1"/>
  <c r="L63" i="19"/>
  <c r="C75" i="19" s="1"/>
  <c r="D75" i="19" s="1"/>
  <c r="F63" i="19"/>
  <c r="I74" i="19" s="1"/>
  <c r="J74" i="19" s="1"/>
  <c r="E63" i="19"/>
  <c r="G74" i="19" s="1"/>
  <c r="H74" i="19" s="1"/>
  <c r="D63" i="19"/>
  <c r="E74" i="19" s="1"/>
  <c r="F74" i="19" s="1"/>
  <c r="C63" i="19"/>
  <c r="C74" i="19" s="1"/>
  <c r="D74" i="19" s="1"/>
  <c r="AG65" i="17"/>
  <c r="I79" i="17" s="1"/>
  <c r="J79" i="17" s="1"/>
  <c r="AF65" i="17"/>
  <c r="G79" i="17" s="1"/>
  <c r="H79" i="17" s="1"/>
  <c r="AE65" i="17"/>
  <c r="E79" i="17" s="1"/>
  <c r="F79" i="17" s="1"/>
  <c r="AD65" i="17"/>
  <c r="C79" i="17" s="1"/>
  <c r="D79" i="17" s="1"/>
  <c r="X65" i="17"/>
  <c r="I78" i="17" s="1"/>
  <c r="J78" i="17" s="1"/>
  <c r="W65" i="17"/>
  <c r="G78" i="17" s="1"/>
  <c r="H78" i="17" s="1"/>
  <c r="V65" i="17"/>
  <c r="E78" i="17" s="1"/>
  <c r="F78" i="17" s="1"/>
  <c r="U65" i="17"/>
  <c r="C78" i="17" s="1"/>
  <c r="D78" i="17" s="1"/>
  <c r="O65" i="17"/>
  <c r="I77" i="17" s="1"/>
  <c r="J77" i="17" s="1"/>
  <c r="N65" i="17"/>
  <c r="G77" i="17" s="1"/>
  <c r="H77" i="17" s="1"/>
  <c r="M65" i="17"/>
  <c r="E77" i="17" s="1"/>
  <c r="F77" i="17" s="1"/>
  <c r="L65" i="17"/>
  <c r="C77" i="17" s="1"/>
  <c r="D77" i="17" s="1"/>
  <c r="F65" i="17"/>
  <c r="I76" i="17" s="1"/>
  <c r="J76" i="17" s="1"/>
  <c r="E65" i="17"/>
  <c r="G76" i="17" s="1"/>
  <c r="H76" i="17" s="1"/>
  <c r="D65" i="17"/>
  <c r="E76" i="17" s="1"/>
  <c r="F76" i="17" s="1"/>
  <c r="C65" i="17"/>
  <c r="C76" i="17" s="1"/>
  <c r="D76" i="17" s="1"/>
  <c r="AG65" i="16"/>
  <c r="I79" i="16" s="1"/>
  <c r="J79" i="16" s="1"/>
  <c r="AF65" i="16"/>
  <c r="G79" i="16" s="1"/>
  <c r="H79" i="16" s="1"/>
  <c r="AE65" i="16"/>
  <c r="E79" i="16" s="1"/>
  <c r="F79" i="16" s="1"/>
  <c r="AD65" i="16"/>
  <c r="C79" i="16" s="1"/>
  <c r="D79" i="16" s="1"/>
  <c r="X65" i="16"/>
  <c r="I78" i="16" s="1"/>
  <c r="J78" i="16" s="1"/>
  <c r="W65" i="16"/>
  <c r="G78" i="16" s="1"/>
  <c r="H78" i="16" s="1"/>
  <c r="U65" i="16"/>
  <c r="C78" i="16" s="1"/>
  <c r="D78" i="16" s="1"/>
  <c r="O65" i="16"/>
  <c r="I77" i="16" s="1"/>
  <c r="J77" i="16" s="1"/>
  <c r="N65" i="16"/>
  <c r="G77" i="16" s="1"/>
  <c r="H77" i="16" s="1"/>
  <c r="L65" i="16"/>
  <c r="C77" i="16" s="1"/>
  <c r="D77" i="16" s="1"/>
  <c r="F65" i="16"/>
  <c r="I76" i="16" s="1"/>
  <c r="J76" i="16" s="1"/>
  <c r="E65" i="16"/>
  <c r="G76" i="16" s="1"/>
  <c r="H76" i="16" s="1"/>
  <c r="D65" i="16"/>
  <c r="E76" i="16" s="1"/>
  <c r="F76" i="16" s="1"/>
  <c r="C65" i="16"/>
  <c r="C76" i="16" s="1"/>
  <c r="D76" i="16" s="1"/>
  <c r="M65" i="16"/>
  <c r="E77" i="16" s="1"/>
  <c r="F77" i="16" s="1"/>
  <c r="V65" i="16"/>
  <c r="E78" i="16" s="1"/>
  <c r="F78" i="16" s="1"/>
  <c r="G76" i="20" l="1"/>
  <c r="H76" i="20" s="1"/>
  <c r="H81" i="20" s="1"/>
  <c r="F81" i="20"/>
  <c r="D81" i="20"/>
  <c r="J81" i="20"/>
  <c r="D79" i="19"/>
  <c r="H79" i="19"/>
  <c r="F79" i="19"/>
  <c r="J79" i="19"/>
  <c r="D81" i="17"/>
  <c r="F81" i="17"/>
  <c r="J81" i="17"/>
  <c r="H81" i="17"/>
  <c r="D81" i="16"/>
  <c r="J81" i="16"/>
  <c r="H81" i="16"/>
  <c r="F81" i="16"/>
  <c r="M36" i="15"/>
  <c r="V20" i="15" l="1"/>
  <c r="AG65" i="15" l="1"/>
  <c r="I79" i="15" s="1"/>
  <c r="J79" i="15" s="1"/>
  <c r="AF65" i="15"/>
  <c r="G79" i="15" s="1"/>
  <c r="H79" i="15" s="1"/>
  <c r="AE65" i="15"/>
  <c r="E79" i="15" s="1"/>
  <c r="F79" i="15" s="1"/>
  <c r="AD65" i="15"/>
  <c r="C79" i="15" s="1"/>
  <c r="D79" i="15" s="1"/>
  <c r="X65" i="15"/>
  <c r="I78" i="15" s="1"/>
  <c r="J78" i="15" s="1"/>
  <c r="W65" i="15"/>
  <c r="G78" i="15" s="1"/>
  <c r="H78" i="15" s="1"/>
  <c r="V65" i="15"/>
  <c r="E78" i="15" s="1"/>
  <c r="F78" i="15" s="1"/>
  <c r="U65" i="15"/>
  <c r="C78" i="15" s="1"/>
  <c r="D78" i="15" s="1"/>
  <c r="O65" i="15"/>
  <c r="I77" i="15" s="1"/>
  <c r="J77" i="15" s="1"/>
  <c r="N65" i="15"/>
  <c r="G77" i="15" s="1"/>
  <c r="H77" i="15" s="1"/>
  <c r="M65" i="15"/>
  <c r="E77" i="15" s="1"/>
  <c r="F77" i="15" s="1"/>
  <c r="L65" i="15"/>
  <c r="C77" i="15" s="1"/>
  <c r="D77" i="15" s="1"/>
  <c r="F65" i="15"/>
  <c r="I76" i="15" s="1"/>
  <c r="J76" i="15" s="1"/>
  <c r="E65" i="15"/>
  <c r="G76" i="15" s="1"/>
  <c r="H76" i="15" s="1"/>
  <c r="D65" i="15"/>
  <c r="E76" i="15" s="1"/>
  <c r="F76" i="15" s="1"/>
  <c r="C65" i="15"/>
  <c r="C76" i="15" s="1"/>
  <c r="D76" i="15" s="1"/>
  <c r="D81" i="15" l="1"/>
  <c r="H81" i="15"/>
  <c r="F81" i="15"/>
  <c r="J81" i="15"/>
  <c r="AG65" i="14"/>
  <c r="I79" i="14" s="1"/>
  <c r="J79" i="14" s="1"/>
  <c r="AF65" i="14"/>
  <c r="G79" i="14" s="1"/>
  <c r="H79" i="14" s="1"/>
  <c r="AE65" i="14"/>
  <c r="E79" i="14" s="1"/>
  <c r="F79" i="14" s="1"/>
  <c r="AD65" i="14"/>
  <c r="C79" i="14" s="1"/>
  <c r="D79" i="14" s="1"/>
  <c r="X65" i="14"/>
  <c r="I78" i="14" s="1"/>
  <c r="J78" i="14" s="1"/>
  <c r="W65" i="14"/>
  <c r="G78" i="14" s="1"/>
  <c r="H78" i="14" s="1"/>
  <c r="V65" i="14"/>
  <c r="E78" i="14" s="1"/>
  <c r="F78" i="14" s="1"/>
  <c r="U65" i="14"/>
  <c r="C78" i="14" s="1"/>
  <c r="D78" i="14" s="1"/>
  <c r="O65" i="14"/>
  <c r="I77" i="14" s="1"/>
  <c r="J77" i="14" s="1"/>
  <c r="N65" i="14"/>
  <c r="G77" i="14" s="1"/>
  <c r="H77" i="14" s="1"/>
  <c r="M65" i="14"/>
  <c r="E77" i="14" s="1"/>
  <c r="F77" i="14" s="1"/>
  <c r="L65" i="14"/>
  <c r="C77" i="14" s="1"/>
  <c r="D77" i="14" s="1"/>
  <c r="F65" i="14"/>
  <c r="I76" i="14" s="1"/>
  <c r="J76" i="14" s="1"/>
  <c r="E65" i="14"/>
  <c r="G76" i="14" s="1"/>
  <c r="H76" i="14" s="1"/>
  <c r="D65" i="14"/>
  <c r="E76" i="14" s="1"/>
  <c r="F76" i="14" s="1"/>
  <c r="C65" i="14"/>
  <c r="C76" i="14" s="1"/>
  <c r="D76" i="14" s="1"/>
  <c r="H81" i="14" l="1"/>
  <c r="F81" i="14"/>
  <c r="D81" i="14"/>
  <c r="J81" i="14"/>
  <c r="AG65" i="13"/>
  <c r="I79" i="13" s="1"/>
  <c r="J79" i="13" s="1"/>
  <c r="AF65" i="13"/>
  <c r="G79" i="13" s="1"/>
  <c r="H79" i="13" s="1"/>
  <c r="AE65" i="13"/>
  <c r="E79" i="13" s="1"/>
  <c r="F79" i="13" s="1"/>
  <c r="AD65" i="13"/>
  <c r="C79" i="13" s="1"/>
  <c r="D79" i="13" s="1"/>
  <c r="X65" i="13"/>
  <c r="I78" i="13" s="1"/>
  <c r="J78" i="13" s="1"/>
  <c r="W65" i="13"/>
  <c r="G78" i="13" s="1"/>
  <c r="H78" i="13" s="1"/>
  <c r="V65" i="13"/>
  <c r="E78" i="13" s="1"/>
  <c r="F78" i="13" s="1"/>
  <c r="U65" i="13"/>
  <c r="C78" i="13" s="1"/>
  <c r="D78" i="13" s="1"/>
  <c r="O65" i="13"/>
  <c r="I77" i="13" s="1"/>
  <c r="J77" i="13" s="1"/>
  <c r="N65" i="13"/>
  <c r="G77" i="13" s="1"/>
  <c r="H77" i="13" s="1"/>
  <c r="M65" i="13"/>
  <c r="E77" i="13" s="1"/>
  <c r="F77" i="13" s="1"/>
  <c r="L65" i="13"/>
  <c r="C77" i="13" s="1"/>
  <c r="D77" i="13" s="1"/>
  <c r="F65" i="13"/>
  <c r="I76" i="13" s="1"/>
  <c r="J76" i="13" s="1"/>
  <c r="E65" i="13"/>
  <c r="G76" i="13" s="1"/>
  <c r="H76" i="13" s="1"/>
  <c r="D65" i="13"/>
  <c r="E76" i="13" s="1"/>
  <c r="F76" i="13" s="1"/>
  <c r="C65" i="13"/>
  <c r="C76" i="13" s="1"/>
  <c r="D76" i="13" s="1"/>
  <c r="AG65" i="12"/>
  <c r="I79" i="12" s="1"/>
  <c r="J79" i="12" s="1"/>
  <c r="AF65" i="12"/>
  <c r="G79" i="12" s="1"/>
  <c r="H79" i="12" s="1"/>
  <c r="AE65" i="12"/>
  <c r="E79" i="12" s="1"/>
  <c r="F79" i="12" s="1"/>
  <c r="AD65" i="12"/>
  <c r="C79" i="12" s="1"/>
  <c r="D79" i="12" s="1"/>
  <c r="X65" i="12"/>
  <c r="I78" i="12" s="1"/>
  <c r="J78" i="12" s="1"/>
  <c r="W65" i="12"/>
  <c r="G78" i="12" s="1"/>
  <c r="H78" i="12" s="1"/>
  <c r="V65" i="12"/>
  <c r="E78" i="12" s="1"/>
  <c r="F78" i="12" s="1"/>
  <c r="U65" i="12"/>
  <c r="C78" i="12" s="1"/>
  <c r="D78" i="12" s="1"/>
  <c r="O65" i="12"/>
  <c r="I77" i="12" s="1"/>
  <c r="J77" i="12" s="1"/>
  <c r="N65" i="12"/>
  <c r="G77" i="12" s="1"/>
  <c r="H77" i="12" s="1"/>
  <c r="M65" i="12"/>
  <c r="E77" i="12" s="1"/>
  <c r="F77" i="12" s="1"/>
  <c r="L65" i="12"/>
  <c r="C77" i="12" s="1"/>
  <c r="D77" i="12" s="1"/>
  <c r="F65" i="12"/>
  <c r="I76" i="12" s="1"/>
  <c r="J76" i="12" s="1"/>
  <c r="E65" i="12"/>
  <c r="G76" i="12" s="1"/>
  <c r="H76" i="12" s="1"/>
  <c r="D65" i="12"/>
  <c r="E76" i="12" s="1"/>
  <c r="F76" i="12" s="1"/>
  <c r="C65" i="12"/>
  <c r="C76" i="12" s="1"/>
  <c r="D76" i="12" s="1"/>
  <c r="E64" i="3"/>
  <c r="G75" i="3" s="1"/>
  <c r="H75" i="3" s="1"/>
  <c r="F64" i="3"/>
  <c r="D64" i="3"/>
  <c r="E75" i="3" s="1"/>
  <c r="F75" i="3" s="1"/>
  <c r="C64" i="3"/>
  <c r="C75" i="3" s="1"/>
  <c r="D75" i="3" s="1"/>
  <c r="D80" i="3" s="1"/>
  <c r="I75" i="3"/>
  <c r="J75" i="3" s="1"/>
  <c r="AG64" i="3"/>
  <c r="I78" i="3" s="1"/>
  <c r="J78" i="3" s="1"/>
  <c r="AF64" i="3"/>
  <c r="G78" i="3" s="1"/>
  <c r="H78" i="3" s="1"/>
  <c r="AE64" i="3"/>
  <c r="E78" i="3" s="1"/>
  <c r="F78" i="3" s="1"/>
  <c r="AD64" i="3"/>
  <c r="C78" i="3" s="1"/>
  <c r="D78" i="3" s="1"/>
  <c r="X64" i="3"/>
  <c r="I77" i="3" s="1"/>
  <c r="J77" i="3" s="1"/>
  <c r="W64" i="3"/>
  <c r="G77" i="3" s="1"/>
  <c r="H77" i="3" s="1"/>
  <c r="V64" i="3"/>
  <c r="E77" i="3" s="1"/>
  <c r="F77" i="3" s="1"/>
  <c r="U64" i="3"/>
  <c r="C77" i="3" s="1"/>
  <c r="D77" i="3" s="1"/>
  <c r="O64" i="3"/>
  <c r="I76" i="3" s="1"/>
  <c r="J76" i="3" s="1"/>
  <c r="N64" i="3"/>
  <c r="G76" i="3" s="1"/>
  <c r="H76" i="3" s="1"/>
  <c r="M64" i="3"/>
  <c r="E76" i="3" s="1"/>
  <c r="F76" i="3" s="1"/>
  <c r="L64" i="3"/>
  <c r="C76" i="3" s="1"/>
  <c r="D76" i="3" s="1"/>
  <c r="J46" i="10"/>
  <c r="G64" i="10"/>
  <c r="F64" i="10"/>
  <c r="E64" i="10"/>
  <c r="D64" i="10"/>
  <c r="K48" i="10"/>
  <c r="J48" i="10"/>
  <c r="I48" i="10"/>
  <c r="H48" i="10"/>
  <c r="K47" i="10"/>
  <c r="K46" i="10"/>
  <c r="K45" i="10"/>
  <c r="J47" i="10"/>
  <c r="J45" i="10"/>
  <c r="I46" i="10"/>
  <c r="I45" i="10"/>
  <c r="H47" i="10"/>
  <c r="H46" i="10"/>
  <c r="H45" i="10"/>
  <c r="H81" i="13" l="1"/>
  <c r="F81" i="13"/>
  <c r="D81" i="13"/>
  <c r="J81" i="13"/>
  <c r="D81" i="12"/>
  <c r="H81" i="12"/>
  <c r="J81" i="12"/>
  <c r="F81" i="12"/>
  <c r="F80" i="3"/>
  <c r="J80" i="3"/>
  <c r="H80" i="3"/>
  <c r="K42" i="8"/>
  <c r="K41" i="8"/>
  <c r="K40" i="8"/>
  <c r="J42" i="8"/>
  <c r="J41" i="8"/>
  <c r="J40" i="8"/>
  <c r="I41" i="8"/>
  <c r="I40" i="8"/>
  <c r="H41" i="8"/>
  <c r="H42" i="8"/>
  <c r="H40" i="8"/>
  <c r="J38" i="8" l="1"/>
  <c r="J39" i="8" s="1"/>
  <c r="I38" i="8"/>
  <c r="I39" i="8" s="1"/>
  <c r="E51" i="8"/>
  <c r="G58" i="10"/>
  <c r="F59" i="10"/>
  <c r="E59" i="10"/>
  <c r="G59" i="10"/>
  <c r="D59" i="10"/>
  <c r="D63" i="10" s="1"/>
  <c r="M47" i="10"/>
  <c r="L47" i="10"/>
  <c r="F58" i="10"/>
  <c r="E58" i="10"/>
  <c r="D58" i="10"/>
  <c r="M46" i="10"/>
  <c r="L46" i="10"/>
  <c r="F57" i="10"/>
  <c r="E57" i="10"/>
  <c r="G57" i="10"/>
  <c r="D57" i="10"/>
  <c r="M45" i="10"/>
  <c r="L45" i="10"/>
  <c r="F56" i="10"/>
  <c r="E56" i="10"/>
  <c r="G56" i="10"/>
  <c r="D56" i="10"/>
  <c r="M43" i="10"/>
  <c r="M44" i="10" s="1"/>
  <c r="L43" i="10"/>
  <c r="L44" i="10" s="1"/>
  <c r="K43" i="10"/>
  <c r="K44" i="10" s="1"/>
  <c r="J43" i="10"/>
  <c r="J44" i="10" s="1"/>
  <c r="I43" i="10"/>
  <c r="I44" i="10" s="1"/>
  <c r="H43" i="10"/>
  <c r="H44" i="10" s="1"/>
  <c r="F43" i="10"/>
  <c r="F44" i="10" s="1"/>
  <c r="G49" i="9"/>
  <c r="K39" i="9"/>
  <c r="F50" i="9" s="1"/>
  <c r="J39" i="9"/>
  <c r="E50" i="9" s="1"/>
  <c r="I39" i="9"/>
  <c r="G50" i="9" s="1"/>
  <c r="H39" i="9"/>
  <c r="D50" i="9" s="1"/>
  <c r="D54" i="9" s="1"/>
  <c r="M38" i="9"/>
  <c r="L38" i="9"/>
  <c r="K38" i="9"/>
  <c r="F49" i="9" s="1"/>
  <c r="J38" i="9"/>
  <c r="E49" i="9" s="1"/>
  <c r="H38" i="9"/>
  <c r="D49" i="9" s="1"/>
  <c r="M37" i="9"/>
  <c r="L37" i="9"/>
  <c r="K37" i="9"/>
  <c r="F48" i="9" s="1"/>
  <c r="J37" i="9"/>
  <c r="E48" i="9" s="1"/>
  <c r="I37" i="9"/>
  <c r="G48" i="9" s="1"/>
  <c r="H37" i="9"/>
  <c r="D48" i="9" s="1"/>
  <c r="M36" i="9"/>
  <c r="L36" i="9"/>
  <c r="K36" i="9"/>
  <c r="F47" i="9" s="1"/>
  <c r="J36" i="9"/>
  <c r="E47" i="9" s="1"/>
  <c r="I36" i="9"/>
  <c r="G47" i="9" s="1"/>
  <c r="H36" i="9"/>
  <c r="D47" i="9" s="1"/>
  <c r="M34" i="9"/>
  <c r="M35" i="9" s="1"/>
  <c r="L34" i="9"/>
  <c r="L35" i="9" s="1"/>
  <c r="K34" i="9"/>
  <c r="K35" i="9" s="1"/>
  <c r="J34" i="9"/>
  <c r="J35" i="9" s="1"/>
  <c r="I34" i="9"/>
  <c r="I35" i="9" s="1"/>
  <c r="H34" i="9"/>
  <c r="H35" i="9" s="1"/>
  <c r="F34" i="9"/>
  <c r="F35" i="9" s="1"/>
  <c r="G53" i="8"/>
  <c r="F54" i="8"/>
  <c r="E54" i="8"/>
  <c r="G54" i="8"/>
  <c r="D54" i="8"/>
  <c r="M42" i="8"/>
  <c r="L42" i="8"/>
  <c r="F53" i="8"/>
  <c r="E53" i="8"/>
  <c r="D53" i="8"/>
  <c r="M41" i="8"/>
  <c r="L41" i="8"/>
  <c r="F52" i="8"/>
  <c r="E52" i="8"/>
  <c r="G52" i="8"/>
  <c r="D52" i="8"/>
  <c r="M40" i="8"/>
  <c r="L40" i="8"/>
  <c r="F51" i="8"/>
  <c r="G51" i="8"/>
  <c r="D51" i="8"/>
  <c r="M38" i="8"/>
  <c r="M39" i="8" s="1"/>
  <c r="L38" i="8"/>
  <c r="L39" i="8" s="1"/>
  <c r="K38" i="8"/>
  <c r="K39" i="8" s="1"/>
  <c r="H38" i="8"/>
  <c r="H39" i="8" s="1"/>
  <c r="F38" i="8"/>
  <c r="F39" i="8" s="1"/>
  <c r="J50" i="7"/>
  <c r="E61" i="7" s="1"/>
  <c r="J51" i="7"/>
  <c r="E62" i="7" s="1"/>
  <c r="J49" i="7"/>
  <c r="E60" i="7" s="1"/>
  <c r="K51" i="7"/>
  <c r="F62" i="7" s="1"/>
  <c r="K50" i="7"/>
  <c r="F61" i="7" s="1"/>
  <c r="K49" i="7"/>
  <c r="F60" i="7" s="1"/>
  <c r="I50" i="7"/>
  <c r="G61" i="7" s="1"/>
  <c r="H51" i="7"/>
  <c r="D62" i="7" s="1"/>
  <c r="H50" i="7"/>
  <c r="D61" i="7" s="1"/>
  <c r="H49" i="7"/>
  <c r="D60" i="7" s="1"/>
  <c r="K49" i="6"/>
  <c r="J49" i="6"/>
  <c r="G62" i="7"/>
  <c r="K52" i="7"/>
  <c r="F63" i="7" s="1"/>
  <c r="J52" i="7"/>
  <c r="E63" i="7" s="1"/>
  <c r="I52" i="7"/>
  <c r="G63" i="7" s="1"/>
  <c r="H52" i="7"/>
  <c r="D63" i="7" s="1"/>
  <c r="M51" i="7"/>
  <c r="L51" i="7"/>
  <c r="M50" i="7"/>
  <c r="L50" i="7"/>
  <c r="M49" i="7"/>
  <c r="L49" i="7"/>
  <c r="I49" i="7"/>
  <c r="G60" i="7" s="1"/>
  <c r="M47" i="7"/>
  <c r="M48" i="7" s="1"/>
  <c r="L47" i="7"/>
  <c r="L48" i="7" s="1"/>
  <c r="K47" i="7"/>
  <c r="K48" i="7" s="1"/>
  <c r="J47" i="7"/>
  <c r="J48" i="7" s="1"/>
  <c r="I47" i="7"/>
  <c r="I48" i="7" s="1"/>
  <c r="H47" i="7"/>
  <c r="H48" i="7" s="1"/>
  <c r="F47" i="7"/>
  <c r="F48" i="7" s="1"/>
  <c r="I49" i="6"/>
  <c r="H49" i="6"/>
  <c r="K50" i="6"/>
  <c r="F61" i="6" s="1"/>
  <c r="J50" i="6"/>
  <c r="E61" i="6" s="1"/>
  <c r="D51" i="9" l="1"/>
  <c r="D66" i="7"/>
  <c r="D57" i="8"/>
  <c r="G51" i="9"/>
  <c r="D62" i="10"/>
  <c r="E60" i="10"/>
  <c r="D60" i="10"/>
  <c r="G60" i="10"/>
  <c r="F60" i="10"/>
  <c r="F51" i="9"/>
  <c r="E51" i="9"/>
  <c r="D53" i="9"/>
  <c r="E55" i="8"/>
  <c r="D55" i="8"/>
  <c r="G55" i="8"/>
  <c r="D58" i="8"/>
  <c r="F55" i="8"/>
  <c r="G64" i="7"/>
  <c r="D67" i="7"/>
  <c r="E64" i="7"/>
  <c r="F64" i="7"/>
  <c r="D64" i="7"/>
  <c r="G60" i="6" l="1"/>
  <c r="D60" i="6"/>
  <c r="K48" i="6"/>
  <c r="K51" i="6"/>
  <c r="F62" i="6" s="1"/>
  <c r="J51" i="6"/>
  <c r="E62" i="6" s="1"/>
  <c r="J48" i="6"/>
  <c r="E59" i="6" s="1"/>
  <c r="I51" i="6"/>
  <c r="G62" i="6" s="1"/>
  <c r="I48" i="6"/>
  <c r="G59" i="6" s="1"/>
  <c r="H50" i="6"/>
  <c r="D61" i="6" s="1"/>
  <c r="H51" i="6"/>
  <c r="D62" i="6" s="1"/>
  <c r="H48" i="6"/>
  <c r="D59" i="6" s="1"/>
  <c r="D66" i="6" l="1"/>
  <c r="D63" i="6"/>
  <c r="L48" i="6"/>
  <c r="M48" i="6"/>
  <c r="M49" i="6"/>
  <c r="M50" i="6"/>
  <c r="L50" i="6"/>
  <c r="I46" i="6"/>
  <c r="I47" i="6" s="1"/>
  <c r="G61" i="6"/>
  <c r="G63" i="6" s="1"/>
  <c r="L49" i="6"/>
  <c r="F60" i="6"/>
  <c r="E60" i="6"/>
  <c r="F59" i="6"/>
  <c r="M46" i="6"/>
  <c r="M47" i="6" s="1"/>
  <c r="L46" i="6"/>
  <c r="L47" i="6" s="1"/>
  <c r="K46" i="6"/>
  <c r="K47" i="6" s="1"/>
  <c r="J46" i="6"/>
  <c r="J47" i="6" s="1"/>
  <c r="H46" i="6"/>
  <c r="H47" i="6" s="1"/>
  <c r="F46" i="6"/>
  <c r="F47" i="6" s="1"/>
  <c r="J47" i="5"/>
  <c r="E58" i="5" s="1"/>
  <c r="J46" i="5"/>
  <c r="E57" i="5" s="1"/>
  <c r="K48" i="5"/>
  <c r="F59" i="5" s="1"/>
  <c r="K47" i="5"/>
  <c r="F58" i="5" s="1"/>
  <c r="J48" i="5"/>
  <c r="E59" i="5" s="1"/>
  <c r="H46" i="5"/>
  <c r="D57" i="5" s="1"/>
  <c r="I47" i="5"/>
  <c r="G58" i="5" s="1"/>
  <c r="H48" i="5"/>
  <c r="D59" i="5" s="1"/>
  <c r="H47" i="5"/>
  <c r="D58" i="5" s="1"/>
  <c r="D61" i="4"/>
  <c r="I48" i="5"/>
  <c r="G59" i="5" s="1"/>
  <c r="L47" i="5"/>
  <c r="M46" i="5"/>
  <c r="K46" i="5"/>
  <c r="F57" i="5" s="1"/>
  <c r="I46" i="5"/>
  <c r="G57" i="5" s="1"/>
  <c r="M44" i="5"/>
  <c r="M45" i="5" s="1"/>
  <c r="L44" i="5"/>
  <c r="L45" i="5" s="1"/>
  <c r="K44" i="5"/>
  <c r="K45" i="5" s="1"/>
  <c r="J44" i="5"/>
  <c r="J45" i="5" s="1"/>
  <c r="I44" i="5"/>
  <c r="I45" i="5" s="1"/>
  <c r="H44" i="5"/>
  <c r="H45" i="5" s="1"/>
  <c r="F44" i="5"/>
  <c r="F45" i="5" s="1"/>
  <c r="K42" i="4"/>
  <c r="K44" i="4"/>
  <c r="D65" i="6" l="1"/>
  <c r="D63" i="5"/>
  <c r="E63" i="6"/>
  <c r="F63" i="6"/>
  <c r="F61" i="5"/>
  <c r="E61" i="5"/>
  <c r="G61" i="5"/>
  <c r="D61" i="5"/>
  <c r="E59" i="4"/>
  <c r="K45" i="4"/>
  <c r="H45" i="4"/>
  <c r="G59" i="4"/>
  <c r="F59" i="4"/>
  <c r="D59" i="4"/>
  <c r="K46" i="4"/>
  <c r="J46" i="4"/>
  <c r="J44" i="4"/>
  <c r="I45" i="4"/>
  <c r="I44" i="4"/>
  <c r="L42" i="4"/>
  <c r="J45" i="4" l="1"/>
  <c r="H44" i="4"/>
  <c r="H46" i="4" l="1"/>
  <c r="H42" i="4"/>
  <c r="H43" i="4" s="1"/>
  <c r="F42" i="4" l="1"/>
  <c r="F43" i="4" s="1"/>
  <c r="I46" i="4"/>
  <c r="L45" i="4"/>
  <c r="M44" i="4"/>
  <c r="M42" i="4"/>
  <c r="M43" i="4" s="1"/>
  <c r="L43" i="4"/>
  <c r="K43" i="4"/>
  <c r="J42" i="4"/>
  <c r="J43" i="4" s="1"/>
  <c r="I42" i="4"/>
  <c r="I43" i="4" s="1"/>
  <c r="H39" i="2"/>
  <c r="L37" i="2" l="1"/>
  <c r="L38" i="2" s="1"/>
  <c r="M37" i="2"/>
  <c r="M38" i="2" s="1"/>
  <c r="K37" i="2"/>
  <c r="K38" i="2" s="1"/>
  <c r="J37" i="2"/>
  <c r="J38" i="2" s="1"/>
  <c r="I37" i="2"/>
  <c r="I38" i="2" s="1"/>
  <c r="H37" i="2"/>
  <c r="H38" i="2" s="1"/>
  <c r="J41" i="2"/>
  <c r="I41" i="2"/>
  <c r="H41" i="2"/>
  <c r="L40" i="2"/>
  <c r="K40" i="2"/>
  <c r="J40" i="2"/>
  <c r="I40" i="2"/>
  <c r="H40" i="2"/>
  <c r="M39" i="2"/>
  <c r="K39" i="2"/>
  <c r="J39" i="2"/>
  <c r="I39" i="2"/>
  <c r="M37" i="1"/>
  <c r="L38" i="1"/>
  <c r="L35" i="1"/>
  <c r="L36" i="1" s="1"/>
  <c r="J39" i="1"/>
  <c r="I39" i="1"/>
  <c r="H39" i="1"/>
  <c r="K38" i="1"/>
  <c r="J38" i="1"/>
  <c r="I38" i="1"/>
  <c r="H38" i="1"/>
  <c r="K37" i="1"/>
  <c r="J37" i="1"/>
  <c r="I37" i="1"/>
  <c r="H37" i="1"/>
  <c r="H35" i="1"/>
  <c r="H36" i="1" s="1"/>
  <c r="M35" i="1"/>
  <c r="M36" i="1" s="1"/>
  <c r="K35" i="1"/>
  <c r="K36" i="1" s="1"/>
  <c r="J35" i="1"/>
  <c r="J36" i="1" s="1"/>
  <c r="I35" i="1"/>
  <c r="I36" i="1" s="1"/>
  <c r="C65" i="59"/>
  <c r="C76" i="59" s="1"/>
  <c r="D76" i="59" s="1"/>
  <c r="D82" i="59" s="1"/>
  <c r="C63" i="63"/>
  <c r="C74" i="63" s="1"/>
  <c r="D74" i="63" s="1"/>
  <c r="D80" i="63" s="1"/>
</calcChain>
</file>

<file path=xl/sharedStrings.xml><?xml version="1.0" encoding="utf-8"?>
<sst xmlns="http://schemas.openxmlformats.org/spreadsheetml/2006/main" count="10157" uniqueCount="1186">
  <si>
    <t>Дата</t>
  </si>
  <si>
    <t>МШР №1</t>
  </si>
  <si>
    <t>МШР №3</t>
  </si>
  <si>
    <t>Причины простоя</t>
  </si>
  <si>
    <t>МШЦ №2</t>
  </si>
  <si>
    <t>МШЦ №4</t>
  </si>
  <si>
    <t>Время простоя, мин</t>
  </si>
  <si>
    <t>Э</t>
  </si>
  <si>
    <t>М</t>
  </si>
  <si>
    <t>Т</t>
  </si>
  <si>
    <t>механическая</t>
  </si>
  <si>
    <t>электричесая</t>
  </si>
  <si>
    <t>технологическая</t>
  </si>
  <si>
    <t>Классификация простоя, М/Э/Т.</t>
  </si>
  <si>
    <t>Центровка венца</t>
  </si>
  <si>
    <t>Не запускается</t>
  </si>
  <si>
    <t>Подтяжка анкерного болта</t>
  </si>
  <si>
    <t>Замена пускателя на конв-ре</t>
  </si>
  <si>
    <t>Латка и подтяжка болтов</t>
  </si>
  <si>
    <t>ДСК</t>
  </si>
  <si>
    <t>Итого мин:</t>
  </si>
  <si>
    <t>Итого час:</t>
  </si>
  <si>
    <t>Замена вала на питателе</t>
  </si>
  <si>
    <t>Замена футеровки торцевой</t>
  </si>
  <si>
    <t xml:space="preserve">Подтяжка болтов </t>
  </si>
  <si>
    <t>Запесочалась хвосты МЖЦ</t>
  </si>
  <si>
    <t>ОФ</t>
  </si>
  <si>
    <t>Перегруз</t>
  </si>
  <si>
    <t>Замена камеры</t>
  </si>
  <si>
    <t xml:space="preserve">   Демонтаж двигателя медленного хода</t>
  </si>
  <si>
    <t>Частичная замена футеровочных болтов,замена решетки, сварочные работы на загрузочной течке</t>
  </si>
  <si>
    <t>Подтяжка футеровочных болтов</t>
  </si>
  <si>
    <t>Замена электродвигателя,пускателя,реле</t>
  </si>
  <si>
    <t>Сработало автомат КТП 1,МТЗ на подстанции,замена камеры</t>
  </si>
  <si>
    <t>Устранение вибрации коренного подшипника на разгрузке</t>
  </si>
  <si>
    <t>Заменили подшипник на грохоте инерционный легкого типа</t>
  </si>
  <si>
    <t>остановка по электрочасти</t>
  </si>
  <si>
    <t>НС13, ПС 220_35_6,  отсутствия электроэнергии и за погодных условий</t>
  </si>
  <si>
    <t>Установка уплотнения на загрузке,нож на питающем конвейере</t>
  </si>
  <si>
    <t>Замена футеровок, замена решеток, монтаж трассы воды на разгрузочный короб, переход на питающий конвейер</t>
  </si>
  <si>
    <t>Заменили подшипник  на приводном вале  питателя пластинчатый КК-15</t>
  </si>
  <si>
    <t xml:space="preserve">по мех части </t>
  </si>
  <si>
    <t xml:space="preserve">по электрочасти </t>
  </si>
  <si>
    <t>по техчасти</t>
  </si>
  <si>
    <t>Датчик маслостанции</t>
  </si>
  <si>
    <t>ППР</t>
  </si>
  <si>
    <t>Обтяжка болтов</t>
  </si>
  <si>
    <t>По электро части</t>
  </si>
  <si>
    <t>Обтяжка болтов анкерных</t>
  </si>
  <si>
    <t>По электро. Части (маслостанция)</t>
  </si>
  <si>
    <t>0:40-14:50</t>
  </si>
  <si>
    <t>погодные условия</t>
  </si>
  <si>
    <t>Погодные условия(буран) отключения линии 35 ВЛ</t>
  </si>
  <si>
    <t>9:48-17:46</t>
  </si>
  <si>
    <t>остановка 6:20:00</t>
  </si>
  <si>
    <t>запуск 1:51:00</t>
  </si>
  <si>
    <t>10.02.2021 см 2</t>
  </si>
  <si>
    <t>10.02.2021 см 1</t>
  </si>
  <si>
    <t>Прохудилась труба</t>
  </si>
  <si>
    <t>Обтяжка болтов, латка</t>
  </si>
  <si>
    <t>Врезка ГЦ (360) и увеличение щелей на решетке разгрузки</t>
  </si>
  <si>
    <t>Замена пускателя</t>
  </si>
  <si>
    <t>03:45-10:00</t>
  </si>
  <si>
    <t>Замена и подтяжка болтов на замке венцевой шестерни</t>
  </si>
  <si>
    <t>Замена сливной трубы</t>
  </si>
  <si>
    <t>Замена пускателя, замена блока управления</t>
  </si>
  <si>
    <t>Сработало МТЗ на подстанции</t>
  </si>
  <si>
    <t>Замена13 футеровочных болтов,</t>
  </si>
  <si>
    <t>01.03.2021 см 2</t>
  </si>
  <si>
    <t>Стык ленты (оборвалась)</t>
  </si>
  <si>
    <t>Забилась разгрузочная решетка, щебнем</t>
  </si>
  <si>
    <t>П</t>
  </si>
  <si>
    <t>Авария КИГОК</t>
  </si>
  <si>
    <t>ППР (замена футеровок)</t>
  </si>
  <si>
    <t>ППР(замена футеровок)</t>
  </si>
  <si>
    <t xml:space="preserve">05.03.2021 см 1 </t>
  </si>
  <si>
    <t>05.03.2021 см 2</t>
  </si>
  <si>
    <t>Протяжка болтов</t>
  </si>
  <si>
    <t xml:space="preserve">Рев-я анкерного </t>
  </si>
  <si>
    <t>Перегруз мельницы</t>
  </si>
  <si>
    <t>Центровка синхронника</t>
  </si>
  <si>
    <t>Анкерные болты</t>
  </si>
  <si>
    <t>Подтяжка болтов</t>
  </si>
  <si>
    <t>Замена пускателя на ЛК №15</t>
  </si>
  <si>
    <t xml:space="preserve">Замена загрузочной трубы </t>
  </si>
  <si>
    <t>Замена обратного клапана</t>
  </si>
  <si>
    <t>Сварка зумфа нс, замена сегмента</t>
  </si>
  <si>
    <t>Сварочные работы на барабане</t>
  </si>
  <si>
    <t>Сварочные работы на торцевой крышке</t>
  </si>
  <si>
    <t>Плавление баббитного вкладыша скользящего подшипника синхронного двигателя</t>
  </si>
  <si>
    <t>Демонтаж подшипника синхронного двигателя, замена на МШР №3</t>
  </si>
  <si>
    <t xml:space="preserve">Отключение электроэнергии, ревизия Вл 35кВ </t>
  </si>
  <si>
    <t>замена автомата на щите управления флотации, заменили три автомата</t>
  </si>
  <si>
    <t>отключение  электроэнергии, сработало защита МТЗ на подстанции</t>
  </si>
  <si>
    <t>частичная замена футеровки</t>
  </si>
  <si>
    <t>замена анкерного болта вал шестерни</t>
  </si>
  <si>
    <t>замена камеры</t>
  </si>
  <si>
    <t>подтяжка болтов</t>
  </si>
  <si>
    <t>м</t>
  </si>
  <si>
    <t>по погодным условиям</t>
  </si>
  <si>
    <t>Итого:</t>
  </si>
  <si>
    <t>МШР№ 3</t>
  </si>
  <si>
    <t>МШЦ № 4</t>
  </si>
  <si>
    <t>МШЦ№ 2</t>
  </si>
  <si>
    <t>п</t>
  </si>
  <si>
    <t>Простои по ОФ за МАРТ 2021 года</t>
  </si>
  <si>
    <t>Простои по мельницам</t>
  </si>
  <si>
    <t>Простои ОФ</t>
  </si>
  <si>
    <t>по мех части, час</t>
  </si>
  <si>
    <t>по электрочасти, час</t>
  </si>
  <si>
    <t>по тех.части, час</t>
  </si>
  <si>
    <t>по погодным условиям ОФ, час</t>
  </si>
  <si>
    <t>по электро части</t>
  </si>
  <si>
    <t>сварочные работы</t>
  </si>
  <si>
    <t>Перегруз (крупная руда)</t>
  </si>
  <si>
    <t>Перефутеровка</t>
  </si>
  <si>
    <t>Перефутеровка/подтяжка болтов</t>
  </si>
  <si>
    <t>Перегруз подтяжка болтов</t>
  </si>
  <si>
    <t>сварочные работы зумф насоса</t>
  </si>
  <si>
    <t>сварочные работы болт</t>
  </si>
  <si>
    <t xml:space="preserve">по электро части обратный клапан, муфта </t>
  </si>
  <si>
    <t>Перегруз (крупная руда) /сварочные работы</t>
  </si>
  <si>
    <t>по мех(сварочные торцевой)</t>
  </si>
  <si>
    <t>подтяжка болтов, сварочные работы</t>
  </si>
  <si>
    <t>сварочные КСН течка</t>
  </si>
  <si>
    <t xml:space="preserve">аварийное отключение электроэнергии </t>
  </si>
  <si>
    <t>центровка син/дв</t>
  </si>
  <si>
    <t>Сработало МТЗ</t>
  </si>
  <si>
    <t>Протяжка болтов, сварочные работы на желобе КСН1</t>
  </si>
  <si>
    <t xml:space="preserve">замена анкерного болта вал шестерни </t>
  </si>
  <si>
    <t>Подключение кабеля КСД КТПН №1</t>
  </si>
  <si>
    <t>замена двигателя на маслостанции</t>
  </si>
  <si>
    <t>сварочные работы и подтяжка замка венцевой шестерни</t>
  </si>
  <si>
    <t>Простои по ОФ за МАЙ 2021 года</t>
  </si>
  <si>
    <t>Простои по ОФ за Апрель 2021 года</t>
  </si>
  <si>
    <t>выломало часть решетки на разгрузке</t>
  </si>
  <si>
    <t>отключение электроэнергии. Испытание трансформаторов 2 и 3</t>
  </si>
  <si>
    <t xml:space="preserve">Перегруз </t>
  </si>
  <si>
    <t xml:space="preserve">По электрочасти </t>
  </si>
  <si>
    <t xml:space="preserve">Ревизия подшипников </t>
  </si>
  <si>
    <t xml:space="preserve">подтяжка болтов </t>
  </si>
  <si>
    <t xml:space="preserve">  по погодным условиям</t>
  </si>
  <si>
    <t>по мехчасти</t>
  </si>
  <si>
    <t>Простои по ОФ за Июнь 2021 года</t>
  </si>
  <si>
    <t>Отключение КЕГОК</t>
  </si>
  <si>
    <t>переключение на КЕГОК</t>
  </si>
  <si>
    <t>ППР (мех и энергетики)</t>
  </si>
  <si>
    <t>Забилась загрузочная течка</t>
  </si>
  <si>
    <t>По мех.части (замена насоса и сварочные работы)</t>
  </si>
  <si>
    <t xml:space="preserve">По мех.части </t>
  </si>
  <si>
    <t>сварочные работы на конвейерной ленте</t>
  </si>
  <si>
    <t>сварочные работы КСН №1</t>
  </si>
  <si>
    <t>перегруз</t>
  </si>
  <si>
    <t>нехватка руды по эл/части</t>
  </si>
  <si>
    <t xml:space="preserve">замены камеры </t>
  </si>
  <si>
    <t>замена редуктора КСН №3</t>
  </si>
  <si>
    <t>замена мягкого соед редуктора</t>
  </si>
  <si>
    <t>КСН №3</t>
  </si>
  <si>
    <t>переггруз</t>
  </si>
  <si>
    <t xml:space="preserve">замена камеры </t>
  </si>
  <si>
    <t xml:space="preserve">перегруз </t>
  </si>
  <si>
    <t>замена стыка конвейерной ленты</t>
  </si>
  <si>
    <t>сварочные работы на песковом желобе КСН №3, ревизия черпака</t>
  </si>
  <si>
    <t>по э/ч</t>
  </si>
  <si>
    <t>по м/ч</t>
  </si>
  <si>
    <t>заклепка ленты</t>
  </si>
  <si>
    <t xml:space="preserve">сварочные работы </t>
  </si>
  <si>
    <t>завал питателя</t>
  </si>
  <si>
    <t>Простои по ОФ за Июль 2021 года</t>
  </si>
  <si>
    <t>забился желоб</t>
  </si>
  <si>
    <t>перегруз КСН</t>
  </si>
  <si>
    <t xml:space="preserve">ревизия решетки </t>
  </si>
  <si>
    <t>Отключение электоэнергии ВЛ-35кВ  КИГОК</t>
  </si>
  <si>
    <t>Замена трансформатора</t>
  </si>
  <si>
    <t>по м/ч сварочные работы на желобе КСН</t>
  </si>
  <si>
    <t>сварочные работы на замке венцевой шестерни</t>
  </si>
  <si>
    <t>по отключению электоэнергии ВЛ-35кВ  КИГОК составляет простои 12,83 часов</t>
  </si>
  <si>
    <t>Простои по ОФ за август 2021 года</t>
  </si>
  <si>
    <t>по эл/ч</t>
  </si>
  <si>
    <t>замена камеры по э/ч</t>
  </si>
  <si>
    <t>загрузка шаров ч/з люк</t>
  </si>
  <si>
    <t xml:space="preserve">клепка ленты </t>
  </si>
  <si>
    <t xml:space="preserve">отключение электроэнергии </t>
  </si>
  <si>
    <t>по мех/части, сварочные работы</t>
  </si>
  <si>
    <t xml:space="preserve">по тех/ службе </t>
  </si>
  <si>
    <t>мех работы питатель</t>
  </si>
  <si>
    <t>по мех/части</t>
  </si>
  <si>
    <t xml:space="preserve">Сработало МТЗ </t>
  </si>
  <si>
    <t>Замена болта на замке венцевой шестерни</t>
  </si>
  <si>
    <t>отключение электроэнергии на ВЛ 35 кВт</t>
  </si>
  <si>
    <t>подтяжка и замена болта на замке венцевой шестерни</t>
  </si>
  <si>
    <t>отсутствие руды</t>
  </si>
  <si>
    <t>выбило автомат на ШР 5</t>
  </si>
  <si>
    <t>подтяжка болтов на замке венцевой шестерни</t>
  </si>
  <si>
    <t>Примечание: из-за отключения электроэнергии на ВЛ 35 кВт, количество часов составляет:</t>
  </si>
  <si>
    <t>Простои ОФ по погодным условиям</t>
  </si>
  <si>
    <t>,</t>
  </si>
  <si>
    <t>Сработала защита на ШР №3</t>
  </si>
  <si>
    <t>Смена</t>
  </si>
  <si>
    <t>Мех</t>
  </si>
  <si>
    <t>Элек</t>
  </si>
  <si>
    <t>Тех</t>
  </si>
  <si>
    <t>МШР №2</t>
  </si>
  <si>
    <t>МШР №4</t>
  </si>
  <si>
    <t>Другие</t>
  </si>
  <si>
    <t>Посадка</t>
  </si>
  <si>
    <t>Пояснение</t>
  </si>
  <si>
    <t>заклепали ленту</t>
  </si>
  <si>
    <t>посадка</t>
  </si>
  <si>
    <t>маслостанция</t>
  </si>
  <si>
    <t>по линии 35 квт</t>
  </si>
  <si>
    <t>остановка питателя</t>
  </si>
  <si>
    <t>некачал насос№1</t>
  </si>
  <si>
    <t>мтз</t>
  </si>
  <si>
    <t>обратный клапан</t>
  </si>
  <si>
    <t>латка на загрузочном тарцев.крышке</t>
  </si>
  <si>
    <t>свар.раб на течке</t>
  </si>
  <si>
    <t>ИТОГО:</t>
  </si>
  <si>
    <t>МШР№1</t>
  </si>
  <si>
    <t>МШЦ№2</t>
  </si>
  <si>
    <t>МШР№3</t>
  </si>
  <si>
    <t>МШЦ№4</t>
  </si>
  <si>
    <t>мин</t>
  </si>
  <si>
    <t>час</t>
  </si>
  <si>
    <t>тумблер в пыли на питателе</t>
  </si>
  <si>
    <t>Итого сумма:</t>
  </si>
  <si>
    <t xml:space="preserve">свар.работы на течке </t>
  </si>
  <si>
    <t>свар.работы на КСН1</t>
  </si>
  <si>
    <t>переподключение 220 Вт Кегог</t>
  </si>
  <si>
    <t>Свар.раб КСН3, зумпф, течка</t>
  </si>
  <si>
    <t>подтяжка болтов на барабане, вскрытие люка</t>
  </si>
  <si>
    <t>подтяжка болтов на барабане, вскрытие люка, прогрузка шаров</t>
  </si>
  <si>
    <t>перегруз, подтяжка болтов</t>
  </si>
  <si>
    <t>забилась бункерная течка</t>
  </si>
  <si>
    <t>КСН(11ч)</t>
  </si>
  <si>
    <t>размывка деревянного подшипника</t>
  </si>
  <si>
    <t>КСН(5ч)</t>
  </si>
  <si>
    <t>замена подшипника</t>
  </si>
  <si>
    <t>замена футеровок</t>
  </si>
  <si>
    <t>загрузка шаров</t>
  </si>
  <si>
    <t>свар.работы венец</t>
  </si>
  <si>
    <t>сварочные работы (загрузочная труба)</t>
  </si>
  <si>
    <t>ост.питателя пл эл.части</t>
  </si>
  <si>
    <t>свар.работы КСН1 и пртяжка болтов</t>
  </si>
  <si>
    <t>замена прокладки на загрузочной трубе</t>
  </si>
  <si>
    <t>насосы не в резерве</t>
  </si>
  <si>
    <t>Сработала защита маслостанции</t>
  </si>
  <si>
    <t>сварочные работы на течке загрузки, песковой зумпф, ванна ксн</t>
  </si>
  <si>
    <t>сварочные работы на песковом желобе КСН</t>
  </si>
  <si>
    <t>Подтяжка болтов на барабане, торцевой крышке</t>
  </si>
  <si>
    <t xml:space="preserve">Сварочные работы на рудной течке </t>
  </si>
  <si>
    <t>ППР-замена футеровки барабана</t>
  </si>
  <si>
    <t>ППР-замена футеровок барабана</t>
  </si>
  <si>
    <t>Сортировка и загрузка шаров</t>
  </si>
  <si>
    <t xml:space="preserve"> Загрузка шаров, закрытие люка</t>
  </si>
  <si>
    <t>Замена датчика (поплавок) маслостанции</t>
  </si>
  <si>
    <t>Сварочные работы зумпфа 5-6 насосов</t>
  </si>
  <si>
    <t>Обтяжка болтов на торцевом крышке</t>
  </si>
  <si>
    <t>Обтяжка болтов на барабане</t>
  </si>
  <si>
    <t>Замена подшипника №5 насоса</t>
  </si>
  <si>
    <t>Замена футеровок</t>
  </si>
  <si>
    <t>Загрузка шаров</t>
  </si>
  <si>
    <t>Недостаток воды</t>
  </si>
  <si>
    <t>Сварочные работы на течке</t>
  </si>
  <si>
    <t>Перегруз и очистка желоба</t>
  </si>
  <si>
    <t>Очистка желоба</t>
  </si>
  <si>
    <t>Замена ротационной полумуфты</t>
  </si>
  <si>
    <t>Замена патрубки</t>
  </si>
  <si>
    <t>Забивка щебнем  флотации</t>
  </si>
  <si>
    <t xml:space="preserve"> </t>
  </si>
  <si>
    <t>Сварочные работы</t>
  </si>
  <si>
    <t>Перегруз и протяжка болтов</t>
  </si>
  <si>
    <t>оторван стык ленты №3 ДСК</t>
  </si>
  <si>
    <t>замена шпильки на люке</t>
  </si>
  <si>
    <t>замена прокладки на люке</t>
  </si>
  <si>
    <t xml:space="preserve">отсутствие руды </t>
  </si>
  <si>
    <t>замена пускателя</t>
  </si>
  <si>
    <t>замена болта, вскрытие люка</t>
  </si>
  <si>
    <t>свар.раб на торцевой крышке</t>
  </si>
  <si>
    <t>Отключение  ВЛ 220 кВ КИГОГ</t>
  </si>
  <si>
    <t>ревизия обратного клапана,компрессора</t>
  </si>
  <si>
    <t>Отключение водовода по эл части</t>
  </si>
  <si>
    <t>Замена футеровки</t>
  </si>
  <si>
    <t>Замены камеры и центровка</t>
  </si>
  <si>
    <t>Изменения схемы флотации</t>
  </si>
  <si>
    <t>Заклепка ленты</t>
  </si>
  <si>
    <t>Ревизия и уборка флотомашин</t>
  </si>
  <si>
    <t>Токовая отсчека линии Евразия Куперс, сбои электричества в 35 кВ</t>
  </si>
  <si>
    <t>сварочные работы на течке</t>
  </si>
  <si>
    <t>МТЗ</t>
  </si>
  <si>
    <t>МТЗ, регулировка и настройка МТЗ</t>
  </si>
  <si>
    <t>Замена пускателя и проверка системы охлажения ЩУ</t>
  </si>
  <si>
    <t>Замена пускателя и проверка диодного моста, замена прокладки на загрузочной течке</t>
  </si>
  <si>
    <t>Продувка, очистка и проверка воздушной системы</t>
  </si>
  <si>
    <t>Перегруз, отст руды, забивка бункера</t>
  </si>
  <si>
    <t>Проверка воздушной системы</t>
  </si>
  <si>
    <t>забиваются бункра</t>
  </si>
  <si>
    <t>сгорел эл/дв на питательном конвейере 17</t>
  </si>
  <si>
    <t>демонтаж и монтаж эл/дв на питательном конвейере 17</t>
  </si>
  <si>
    <t>Сработала защита на преобразователе частотника</t>
  </si>
  <si>
    <t>подтяжка анкерных болтов коренных подшипников</t>
  </si>
  <si>
    <t xml:space="preserve"> отключение на линии 35 кВ KEGOC</t>
  </si>
  <si>
    <t>сварочные работы на коробе улиткового питателя</t>
  </si>
  <si>
    <t>ревизия камеры и компрессора</t>
  </si>
  <si>
    <t>забился бункер</t>
  </si>
  <si>
    <t>сварочные работы на улитковом коробе</t>
  </si>
  <si>
    <t>Регулировка контрапривода.</t>
  </si>
  <si>
    <t>поменяли  воздушную патрубок</t>
  </si>
  <si>
    <t>замена футеровки</t>
  </si>
  <si>
    <t>забился бункер, перегруз</t>
  </si>
  <si>
    <t>выбил автомат</t>
  </si>
  <si>
    <t xml:space="preserve">сгорела электродвигатель питателя </t>
  </si>
  <si>
    <t>замена теплового реле</t>
  </si>
  <si>
    <t>выдавила решетку в мельнице на выходе</t>
  </si>
  <si>
    <t>замена контактора (пускатель), центровка электродвигателя</t>
  </si>
  <si>
    <t>подтяжка анкерных болтов</t>
  </si>
  <si>
    <t xml:space="preserve"> отключение на линии 35 кВ, погодные условия</t>
  </si>
  <si>
    <t>самопроизвольная остановка</t>
  </si>
  <si>
    <t>замена камеры, самопроизвольная остановка</t>
  </si>
  <si>
    <t>перегруз, забился бункер</t>
  </si>
  <si>
    <t>замена реле</t>
  </si>
  <si>
    <t>прохудилась труба и залило маслостанцию пульпой, сработала датчик масло</t>
  </si>
  <si>
    <t>ревизия барабана</t>
  </si>
  <si>
    <t>замена пускателей возбуждения</t>
  </si>
  <si>
    <t>подтяжка болтов, сварочные работы, шуровка бункера</t>
  </si>
  <si>
    <t>шуровка бункера</t>
  </si>
  <si>
    <t>шуровка бункера, переход с насосов с 7 на 8</t>
  </si>
  <si>
    <t>Ревизя щит управления, продувка</t>
  </si>
  <si>
    <t>перегруз, шуровка бункера</t>
  </si>
  <si>
    <t>ППР-замена футеровок</t>
  </si>
  <si>
    <t>Шуровка бункера</t>
  </si>
  <si>
    <t>протяжка болтов</t>
  </si>
  <si>
    <t>Забился желоб</t>
  </si>
  <si>
    <t>перегруз, шуровка</t>
  </si>
  <si>
    <t>по эл/части</t>
  </si>
  <si>
    <t>перегруз,протяжка болтов</t>
  </si>
  <si>
    <t>забилась течка</t>
  </si>
  <si>
    <t>протяжка болтов, забился бункер</t>
  </si>
  <si>
    <t>сварочные работы на торцевой крышке барабана</t>
  </si>
  <si>
    <t>замена болтов на торцевой крышке, вскрытие люка, установка датчика реле давления, блок управления датчика на маслостанции</t>
  </si>
  <si>
    <t>протяжка болтов на барабане</t>
  </si>
  <si>
    <t>замена сегментов на  КСН №3</t>
  </si>
  <si>
    <t>МТЗ  маслостанция</t>
  </si>
  <si>
    <t>МТЗ подстанция</t>
  </si>
  <si>
    <t>перегруз,выработка мельницы,вскрытие люка, выгрузка шаров, подготовка к ППР</t>
  </si>
  <si>
    <t>Замена торцевой футеровки на загрузочной крышке барабана</t>
  </si>
  <si>
    <t>Авария на 17 насосной линии Кегок</t>
  </si>
  <si>
    <t>замена камеры, самопроизвольное отключение</t>
  </si>
  <si>
    <t>замена блока управления возбуждения</t>
  </si>
  <si>
    <t>перегрев компрессора</t>
  </si>
  <si>
    <t>перегруз (крупная руда)</t>
  </si>
  <si>
    <t>замена футеровок, подтяжка</t>
  </si>
  <si>
    <t>замена пускателя блока возбуждения ШУ</t>
  </si>
  <si>
    <t>доливка масла в трансформатор 220 В, насосной №13</t>
  </si>
  <si>
    <t>подтяжка болтов, перегруз</t>
  </si>
  <si>
    <t>выбило ячейку 1</t>
  </si>
  <si>
    <t>подтжка болтов</t>
  </si>
  <si>
    <t>замена пускателя на питателе ЛК №12</t>
  </si>
  <si>
    <t>замена пускателя возбуждения ШУ</t>
  </si>
  <si>
    <t>сработала защита на маслостанции</t>
  </si>
  <si>
    <t>посадка напряжения ВЛ-6 кв Евразия Купер</t>
  </si>
  <si>
    <t>частичная замена футеровок в кол-ве 9 штук,подтяжка болтов</t>
  </si>
  <si>
    <t>Заменили манометры ресивера воздушной системы</t>
  </si>
  <si>
    <t xml:space="preserve"> замена песковой трубы на водяной системе разгрузки мельниц</t>
  </si>
  <si>
    <t>срыв мягкого соединения на питатале эл/дв</t>
  </si>
  <si>
    <t>отключение электроэнергии на линии 35 кВ из-за погодных условии</t>
  </si>
  <si>
    <t>замена камеры сцепления</t>
  </si>
  <si>
    <t>Подготовка к ППР</t>
  </si>
  <si>
    <t>сварочная работа торцевой болт</t>
  </si>
  <si>
    <t>забился желоб,перегруз</t>
  </si>
  <si>
    <t>чистили желоб</t>
  </si>
  <si>
    <t>корректировка конв весов</t>
  </si>
  <si>
    <t>стакан заклинило КМД1, остановка ДО, нет руды в бункере, запас руды закончился</t>
  </si>
  <si>
    <t>перегруз (руда крупная )</t>
  </si>
  <si>
    <t>замена пускателя,ревизия маслостанции</t>
  </si>
  <si>
    <t>перегруз, протяжка болтов</t>
  </si>
  <si>
    <t>перегруз, протяжка болтов на крышке барабана</t>
  </si>
  <si>
    <t>замена болтов на торцевой крышке барабана</t>
  </si>
  <si>
    <t>оторвало стык на конвейерной ленте №17 (питатель)</t>
  </si>
  <si>
    <t>подтяжка болтов на барабане мельницы</t>
  </si>
  <si>
    <t>оторвало стык на конвейерной ленте</t>
  </si>
  <si>
    <t>замеры венцевой шестерни, протяжка болтов на барабане мельницы, протяжка сегментов на КСН-3</t>
  </si>
  <si>
    <t xml:space="preserve">сработало МТЗ </t>
  </si>
  <si>
    <t>шуровка бункера, перегруз</t>
  </si>
  <si>
    <t>оторвало болт на торцевой крышке барабана,подтяжка болтов на барабане, ревизия маслостанции</t>
  </si>
  <si>
    <t xml:space="preserve">шуровка бункера </t>
  </si>
  <si>
    <t>перегеруз</t>
  </si>
  <si>
    <t>свар.работы</t>
  </si>
  <si>
    <t>шуровка</t>
  </si>
  <si>
    <t>замена компрессора</t>
  </si>
  <si>
    <t>Отключение по линии 220 кВ</t>
  </si>
  <si>
    <t>маслодачик</t>
  </si>
  <si>
    <t>заклинило насос</t>
  </si>
  <si>
    <t xml:space="preserve">Замена камеры </t>
  </si>
  <si>
    <t>замена ротационной муфты</t>
  </si>
  <si>
    <t>аварийное отключение ВЛ-35 кВ из-за погодных условии</t>
  </si>
  <si>
    <t>аварийное отключение ВЛ-35 кВ</t>
  </si>
  <si>
    <t>ревизия улиткового питателя,черпака, футеровок барабана, замена деревянного подшипника на КСН, ревизия сегментов на КСН</t>
  </si>
  <si>
    <t>ревизия электронных весов, продувка щита управления</t>
  </si>
  <si>
    <t>вскрытие люка и замеры шаров, протяжка болтов на барабане</t>
  </si>
  <si>
    <t>сварочные работы на течке загрузки</t>
  </si>
  <si>
    <t>нехватка руды</t>
  </si>
  <si>
    <t>аварийное отключение ячейки,самопроизвольная остановка</t>
  </si>
  <si>
    <t>замена 9 болтов на барабане, замена 1-ой футеровки</t>
  </si>
  <si>
    <t>вскрыли люк, догрузили 2 тонны шаров, протяжка болтов</t>
  </si>
  <si>
    <t>замена пускателей на насосе №3, №4</t>
  </si>
  <si>
    <t>ревизия маслостанции</t>
  </si>
  <si>
    <t>замена пускателя на конв ленте №15</t>
  </si>
  <si>
    <t>замена автомата конв лента №15</t>
  </si>
  <si>
    <t>очистка желоба, подтяжка болтов</t>
  </si>
  <si>
    <t>по электрочасти</t>
  </si>
  <si>
    <t>замена торцевой футеровки 16 шт, футеровка вычерпывателя 16 шт, решетки 16 шт, футеровка барабана 15 шт</t>
  </si>
  <si>
    <t>вскрытие люка и выгрузка шаров и загрузка шаров, протяжка болтов</t>
  </si>
  <si>
    <t>вскрытие люка и замеры шаров, догрузили 2 тонны d-30мм</t>
  </si>
  <si>
    <t xml:space="preserve">  ПЕРЕГРУЗ </t>
  </si>
  <si>
    <t>подтяжка болтов венцевой шестерни, перегруз</t>
  </si>
  <si>
    <t>отключение эл энергии на линии 35 кВт</t>
  </si>
  <si>
    <t>замена ратационной муфты</t>
  </si>
  <si>
    <t>Ревизия насоса №3 № 4, замена трассы.</t>
  </si>
  <si>
    <t>замена прокладки 4 насоса,замена мягкого соединения 3 насоса</t>
  </si>
  <si>
    <t>переключение по линии Вл 220 кв</t>
  </si>
  <si>
    <t>подготовка к ППР</t>
  </si>
  <si>
    <t>закрытие люка, загрузка шаров</t>
  </si>
  <si>
    <t>открутился болт барабана.</t>
  </si>
  <si>
    <t>перегруз,забился зумф насоса № 5-6</t>
  </si>
  <si>
    <t>подтяжка болтов после перефутировки</t>
  </si>
  <si>
    <t xml:space="preserve"> отключение эл энергии связи погодными условиями</t>
  </si>
  <si>
    <t>Отключение эл энергии на линии 35 кВт.</t>
  </si>
  <si>
    <t>Запуск</t>
  </si>
  <si>
    <t xml:space="preserve"> Причина открутилась гайка на венцевой шестерне,шуровка бункера</t>
  </si>
  <si>
    <t>отстуствие руды в бункере</t>
  </si>
  <si>
    <t>грелся кабель</t>
  </si>
  <si>
    <t xml:space="preserve">подтяжка болтов, прочистка течки </t>
  </si>
  <si>
    <t>отстуствие руды в бункере, шуровка бункера</t>
  </si>
  <si>
    <t>забился Г/ц 7</t>
  </si>
  <si>
    <t>отключение по линии ВЛ 220 кВ</t>
  </si>
  <si>
    <t>замена вал привода</t>
  </si>
  <si>
    <t>из-за пускателя маслонасоса</t>
  </si>
  <si>
    <t>замена пускателя на маслонасосе</t>
  </si>
  <si>
    <t>из-за маслостанции</t>
  </si>
  <si>
    <t>вскрытие люка, выгрузка шаров</t>
  </si>
  <si>
    <t>демонтаж фетеровки</t>
  </si>
  <si>
    <t>монтаж футеровки</t>
  </si>
  <si>
    <t xml:space="preserve">загрузка шаров </t>
  </si>
  <si>
    <t>демонтаж футеровки</t>
  </si>
  <si>
    <t>корректировка весов</t>
  </si>
  <si>
    <t>упал уровень на маслостанции</t>
  </si>
  <si>
    <t>отключение электоэнергии НС-13-аварийное переключение Кегок</t>
  </si>
  <si>
    <t>отключение ВЛ-35 кВ из-за погодных условии</t>
  </si>
  <si>
    <t>аварийное переключение Кегок,отключение ВЛ-35 кВ из-за погодных условии,</t>
  </si>
  <si>
    <t>МТЗ на подстанции</t>
  </si>
  <si>
    <t>Вывели из схемы КМД 3 и ГИС-52, ремонт КМД-3, руда крупная</t>
  </si>
  <si>
    <t>посадка напряжения на ПС 35/6 кВ</t>
  </si>
  <si>
    <t>замена поддерживающего ролика на питающей ленте №15</t>
  </si>
  <si>
    <t>отсутствие руды в бункерах, сварочные работы на комбайне тележки</t>
  </si>
  <si>
    <t>выработка мельниц</t>
  </si>
  <si>
    <t>регулировка ЗН (заземляющего ножа) ШР 35 кВ на ОРУ НС-13</t>
  </si>
  <si>
    <t>регулировка ЗН (заземляющего ножа) ШР 35 кВ на ОРУ НС-13, сработало МТЗ на подстанции</t>
  </si>
  <si>
    <t>замена футеровочной решетки на торцевой стороне барабана</t>
  </si>
  <si>
    <t>упало давление масла на насосе маслостанции</t>
  </si>
  <si>
    <t>упало давление масла на насосе маслостанции, ревизия маслостанции</t>
  </si>
  <si>
    <t>ремонт 3 насоса</t>
  </si>
  <si>
    <t>сварочные работы на колене насоса №7</t>
  </si>
  <si>
    <t>очистка желоба</t>
  </si>
  <si>
    <t>очистили желоб, перегруз</t>
  </si>
  <si>
    <t>возбуждение</t>
  </si>
  <si>
    <t>Отключение электро- энергии Кегок</t>
  </si>
  <si>
    <t>центровка привода и коренных подшипников</t>
  </si>
  <si>
    <t>отключение ячейки</t>
  </si>
  <si>
    <t>перегруз, очистка желоба</t>
  </si>
  <si>
    <t>ревизия анкерных болтов</t>
  </si>
  <si>
    <t>выбило автомат</t>
  </si>
  <si>
    <t>протяжка болтов на барабане, перегруз</t>
  </si>
  <si>
    <t>замена загрузочной трубы</t>
  </si>
  <si>
    <t>аварийное отключение насосной НС-13, устранение утечки масла силового трансформатора</t>
  </si>
  <si>
    <t>замена камеры сцепления барабана</t>
  </si>
  <si>
    <t>подтяжка гайки вала шестерни</t>
  </si>
  <si>
    <t>аварийное отключение насосной НС-13, устранение утечки масла с фазы В силового трансформатора</t>
  </si>
  <si>
    <t>переключение по линии 220 кВ Кегок</t>
  </si>
  <si>
    <t>выработка мельницы, перегруз</t>
  </si>
  <si>
    <t>забились насосы, перегруз</t>
  </si>
  <si>
    <t xml:space="preserve">перегруз, шуровка, свар.работы </t>
  </si>
  <si>
    <t>МШР №5</t>
  </si>
  <si>
    <t>перебои в маслостанции</t>
  </si>
  <si>
    <t>ППР, замена решетки</t>
  </si>
  <si>
    <t>переруз</t>
  </si>
  <si>
    <t>сработала бликер МТЗ</t>
  </si>
  <si>
    <t>залито пульпой клеммный шкаф, отключился насос, сработал датчик давления</t>
  </si>
  <si>
    <t>МШР№5</t>
  </si>
  <si>
    <t>ревизия торцевой решетки, прокладки</t>
  </si>
  <si>
    <t>сварочные работы трещины на крышке барабана</t>
  </si>
  <si>
    <t>замена улиткового питателя</t>
  </si>
  <si>
    <t>откл.маслотсанция</t>
  </si>
  <si>
    <t xml:space="preserve">откл.маслостанция </t>
  </si>
  <si>
    <t>сварочные работы болта торцевой крышки</t>
  </si>
  <si>
    <t>сломался колосник подрешетный</t>
  </si>
  <si>
    <t>оторвано воздушный патрубок</t>
  </si>
  <si>
    <t>замена патрубка барабана</t>
  </si>
  <si>
    <t>замена загрузочной трубы, прокладки, сварочные работы на разгрузочном патрубке, замена шпильки люка</t>
  </si>
  <si>
    <t>самопроизвольное отключение, упало давление на маслостанции</t>
  </si>
  <si>
    <t>замена прокладки на маслостанции</t>
  </si>
  <si>
    <t>сработало МТЗ на подстанции</t>
  </si>
  <si>
    <t>замена мягкого соединения на лк№12</t>
  </si>
  <si>
    <t>сбой частотника на ЛК №18</t>
  </si>
  <si>
    <t>нехватка напряжения</t>
  </si>
  <si>
    <t>почистили желоб</t>
  </si>
  <si>
    <t>перегруз, забилась течка</t>
  </si>
  <si>
    <t>сорваны болты улиткового питателя</t>
  </si>
  <si>
    <t>забился течка</t>
  </si>
  <si>
    <t>поставили на выработку</t>
  </si>
  <si>
    <t>замена улиткового питателя и ревизия</t>
  </si>
  <si>
    <t>выбила ячейка</t>
  </si>
  <si>
    <t>сварочные работы на загрузочной течке, ревизия</t>
  </si>
  <si>
    <t>ревизия</t>
  </si>
  <si>
    <t>перегруз, калибровка весов</t>
  </si>
  <si>
    <t>подстанция</t>
  </si>
  <si>
    <t>протяжка болтов, ревизия</t>
  </si>
  <si>
    <t>протяжка болтов, перегруз</t>
  </si>
  <si>
    <t>переключение технических систем</t>
  </si>
  <si>
    <t>самопроизвольная остановка маслостанции</t>
  </si>
  <si>
    <t>калибровка весов</t>
  </si>
  <si>
    <t>подтяжка болтов на барабане</t>
  </si>
  <si>
    <t>переход насоса</t>
  </si>
  <si>
    <t>перегруз, отсутствие руды</t>
  </si>
  <si>
    <t>замена переключателя на ШУ зумпфовых насосов</t>
  </si>
  <si>
    <t>сработала МТЗ</t>
  </si>
  <si>
    <t>демонтаж фильтра маслостанции</t>
  </si>
  <si>
    <t>перегруз, забился желоб</t>
  </si>
  <si>
    <t>замена анкерного болта</t>
  </si>
  <si>
    <t>выработка и запуск мельниц</t>
  </si>
  <si>
    <t>замена барабана муфты сцепления</t>
  </si>
  <si>
    <t>подтяжка болтов, отсутствие руды и шуровка перегруз</t>
  </si>
  <si>
    <t xml:space="preserve">шуровка бункера, отсутствие руды, </t>
  </si>
  <si>
    <t>шуровка бункера, отсутствие руды, протяжка болтов</t>
  </si>
  <si>
    <t>ревизия улиткового питателя, подтяжка болтов на барабане</t>
  </si>
  <si>
    <t>нехватка руды в бункерах</t>
  </si>
  <si>
    <t>крупная руда (перегруз)</t>
  </si>
  <si>
    <t>устранение перегруза по причине крупной фракции руды</t>
  </si>
  <si>
    <t>крупная руда (перегруз), выработка мельниц, выгрузка шаров</t>
  </si>
  <si>
    <t>отключение эл.энергии</t>
  </si>
  <si>
    <t>замена переключателя насоса</t>
  </si>
  <si>
    <t>переключатель насоса</t>
  </si>
  <si>
    <t>переход схемы</t>
  </si>
  <si>
    <t>КЕГОК</t>
  </si>
  <si>
    <t>разгрузка шаров и перегруз</t>
  </si>
  <si>
    <t>заварили латку, аменили уплотнения</t>
  </si>
  <si>
    <t>перегруз и подтяжка болтов</t>
  </si>
  <si>
    <t>сработал датчик давления</t>
  </si>
  <si>
    <t>перергруз</t>
  </si>
  <si>
    <t>переход схемы и перегруз</t>
  </si>
  <si>
    <t>отключение маслостанции</t>
  </si>
  <si>
    <t>сварочные работы и подтяжка болтов</t>
  </si>
  <si>
    <t>залило пульпой маслостанцию</t>
  </si>
  <si>
    <t>низкое давление масла</t>
  </si>
  <si>
    <t xml:space="preserve">перегруз рудой </t>
  </si>
  <si>
    <t>перегруз, вывод из схемы КСН</t>
  </si>
  <si>
    <t>сварочные работы на распред коробе насоса №7,№8</t>
  </si>
  <si>
    <t>забилась течка питания мельницы</t>
  </si>
  <si>
    <t>перегруз, чистка желоба</t>
  </si>
  <si>
    <t>чистка течки</t>
  </si>
  <si>
    <t>чистка желоба и переход насоса</t>
  </si>
  <si>
    <t>забился Гц и течка</t>
  </si>
  <si>
    <t>выработка мельницы</t>
  </si>
  <si>
    <t>ревизия КСН</t>
  </si>
  <si>
    <t>замена ремня на ремневой передачи на электродвигателе ЛК№18</t>
  </si>
  <si>
    <t>сварочные работы на барабане, перегруз мельницы</t>
  </si>
  <si>
    <t>замена барабана сцепления муфты</t>
  </si>
  <si>
    <t>подтяжка болтов на торцевой крышке барабана</t>
  </si>
  <si>
    <t>частичная замена футеревки 4 шт. на барабане, подтяжка болтов, частичная замена сегментов на спирали 3 шт и 1 шт на спирали КСН</t>
  </si>
  <si>
    <t>замена барабана муфты сцепления воздушной системы</t>
  </si>
  <si>
    <t>забилась загрузочная течка</t>
  </si>
  <si>
    <t>сломался воздушный патрубок</t>
  </si>
  <si>
    <t>нехватка руды в бункере, сварочнные работы по ДО</t>
  </si>
  <si>
    <t>из-за погодных условии</t>
  </si>
  <si>
    <t>самопроизвольная остановка мельницы</t>
  </si>
  <si>
    <t>перегруз, переход на другой бункер</t>
  </si>
  <si>
    <t>чистка желоба</t>
  </si>
  <si>
    <t>переход на другой бункер</t>
  </si>
  <si>
    <t>переход бункера</t>
  </si>
  <si>
    <t>отключение ВЛ 220 кВ Кегок</t>
  </si>
  <si>
    <t>промышленные испытания</t>
  </si>
  <si>
    <t>перенруз мельницы рудой</t>
  </si>
  <si>
    <t>перегруз, выработка мельницы</t>
  </si>
  <si>
    <t>ТО</t>
  </si>
  <si>
    <t>замена тормозной колодки на барабане</t>
  </si>
  <si>
    <t>переход насоса, замена тумблера</t>
  </si>
  <si>
    <t>ревизия э/дв на КСН-3, выводили из схемы</t>
  </si>
  <si>
    <t>из-за воздушной системы</t>
  </si>
  <si>
    <t>ревизия редуктора на КСН-3, выводили из схемы</t>
  </si>
  <si>
    <t>забилась течка шарами</t>
  </si>
  <si>
    <t>по э/части</t>
  </si>
  <si>
    <t>мех/части</t>
  </si>
  <si>
    <t>выработка мельницы, шуровка бункера</t>
  </si>
  <si>
    <t>забилась течка шарами, шуровка бункера</t>
  </si>
  <si>
    <t>выработка мельницы, шуровка течки</t>
  </si>
  <si>
    <t>вырвботка мельницы</t>
  </si>
  <si>
    <t xml:space="preserve">ревизия </t>
  </si>
  <si>
    <t>выработка мельницы, протяжка болтов</t>
  </si>
  <si>
    <t>посадка напряжения 35 кВ от НС-13</t>
  </si>
  <si>
    <t>замена масла на маслостанции</t>
  </si>
  <si>
    <t>прогрузка шаров 3 тонны</t>
  </si>
  <si>
    <t>сработало МТЗ</t>
  </si>
  <si>
    <t>сварочные работы на сливе ГЦ-2</t>
  </si>
  <si>
    <t>прохудилось колено насоса №7</t>
  </si>
  <si>
    <t>аварийная остановка, посадка напряжения 35 кВ от НС-13</t>
  </si>
  <si>
    <t>сварочные работы на ГЦ-3, замена вала на насосе №4</t>
  </si>
  <si>
    <t>аварийная остановка, посадка напряжения 35 кВ от НС-13, по погодным условиям</t>
  </si>
  <si>
    <t>замена реле на конвейере №15</t>
  </si>
  <si>
    <t>оторвался барабан на питателе ЛК 18</t>
  </si>
  <si>
    <t xml:space="preserve">перегруз, замена роликов, замена юбки на питателе </t>
  </si>
  <si>
    <t>замена улиткового питаттеля</t>
  </si>
  <si>
    <t xml:space="preserve">замена песочной трубы </t>
  </si>
  <si>
    <t>ревизия цепей управления, замена контакторов песковых насадок 3,4</t>
  </si>
  <si>
    <t>отключение электроэнергии</t>
  </si>
  <si>
    <t>ревизия вакуумного выключателя, замена отключающей катушки, замена платы управления</t>
  </si>
  <si>
    <t xml:space="preserve">замена решетки </t>
  </si>
  <si>
    <t>Посадка напряжения из-за насоса №3 НС 13</t>
  </si>
  <si>
    <t>наладка релейной защиты ввода 35кВ, ввода 6кВ и мельниц 1,2,3,4.</t>
  </si>
  <si>
    <t>перегруз и переход насоса</t>
  </si>
  <si>
    <t>переход насоса,почистили течку</t>
  </si>
  <si>
    <t>замена контакторов песковых насадок 1,2</t>
  </si>
  <si>
    <t>ревизия решетки</t>
  </si>
  <si>
    <t>Демонтаж компрессора МШР-1, подключение к компрессору МШЦ-2</t>
  </si>
  <si>
    <t xml:space="preserve">замена ролика на конвейере </t>
  </si>
  <si>
    <t xml:space="preserve">перегруз, КСН-5 забился </t>
  </si>
  <si>
    <t>забился КСН-5</t>
  </si>
  <si>
    <t>демонтаж решетки</t>
  </si>
  <si>
    <t>монтаж решетки</t>
  </si>
  <si>
    <t>переход на вторую секцию флотации</t>
  </si>
  <si>
    <t>сварочные работы течки</t>
  </si>
  <si>
    <t>нехватка руды из-за нестабильной подачи руды ДО по погодынм условиям</t>
  </si>
  <si>
    <t>выработка мельницы, подготовка к замене решетки</t>
  </si>
  <si>
    <t>замена решетки-ППР</t>
  </si>
  <si>
    <t>подготовка к запуску, подтяжка болтов</t>
  </si>
  <si>
    <t>замена анкерных болтов</t>
  </si>
  <si>
    <t>хамена подшипника электродвигателя</t>
  </si>
  <si>
    <t>замена масляной трубы под крышкой коренного подшипника</t>
  </si>
  <si>
    <t>выработка и подтяжка болтов на барабане</t>
  </si>
  <si>
    <t>отключение ВЛ-35</t>
  </si>
  <si>
    <t>замена всасывающих флтоблоков на основной флотации флотоблок №1 и к контрольный флотоблок №1 на 1-ой секции флотации</t>
  </si>
  <si>
    <t>самопроизвльная остановка, низкий уровень масла на маслостанции</t>
  </si>
  <si>
    <t>самопроизвльная остановка, низкий уровень масла на маслостанции, замена фильра</t>
  </si>
  <si>
    <t>отключение Вл 220 кВ. Замена опорного изолятор разъединителя ЛР-220 кВ в насосной НС-13</t>
  </si>
  <si>
    <t>замена пускателя, низкое давление масла</t>
  </si>
  <si>
    <t>перегруз, забивалась течка</t>
  </si>
  <si>
    <t>Выработка мельниц, выгрузка мельниц</t>
  </si>
  <si>
    <t>ревизия КТП №2</t>
  </si>
  <si>
    <t>вскрытие люка и замер уровней шаров</t>
  </si>
  <si>
    <t>выработка мельниц, перегруз</t>
  </si>
  <si>
    <t>прогрузка шаров</t>
  </si>
  <si>
    <t>ревизия улиткового питателя</t>
  </si>
  <si>
    <t>Ревизия 1 КСН, ревизия улиткового питателя</t>
  </si>
  <si>
    <t>ревизия воздушной сисемы</t>
  </si>
  <si>
    <t>сварочные работы на барабане</t>
  </si>
  <si>
    <t>чистка течки, переход насоса</t>
  </si>
  <si>
    <t>выработка мельниц, подтяжка болтов</t>
  </si>
  <si>
    <t>выработка мельниц, протяжка болтов</t>
  </si>
  <si>
    <t>забилась течка, перегруз</t>
  </si>
  <si>
    <t>ревизия замка венцевой шестерни</t>
  </si>
  <si>
    <t>ревизия э/д и замена э/д конвейера №23</t>
  </si>
  <si>
    <t>выработка мельницы,подтяжка болтов на торцевой крышке</t>
  </si>
  <si>
    <t>выработка мельницы, сварочные работы на замке венцевой шестерни</t>
  </si>
  <si>
    <t>ревизия замка на венцевой шестерни</t>
  </si>
  <si>
    <t>замена болта на замке венцевой шестерни</t>
  </si>
  <si>
    <t>замена барабана</t>
  </si>
  <si>
    <t>ревизия по э/ч</t>
  </si>
  <si>
    <t xml:space="preserve">выработка мельницы, протяжка болтов </t>
  </si>
  <si>
    <t>замена болта на барабане</t>
  </si>
  <si>
    <t>аварийное отключение 220 кВт Кегок</t>
  </si>
  <si>
    <t>из-за дробильного отделения, вышел из строя редуктор, заклинил вал щековой дробилки</t>
  </si>
  <si>
    <t>выработка мельницы, подтяжка болтов на барабане</t>
  </si>
  <si>
    <t>из-за дробильного отделения, вышел из строя редуктор на конвейере, заклинил вал щековой дробилки</t>
  </si>
  <si>
    <t>низкое давление на маслостанции</t>
  </si>
  <si>
    <t>ревизия мельницы</t>
  </si>
  <si>
    <t>перегрев электродвигателя</t>
  </si>
  <si>
    <t>замена болтов на замке венцевой шестерни</t>
  </si>
  <si>
    <t>выработка мельницы, подготовка к замене крышке венцевой шестерни</t>
  </si>
  <si>
    <t>монтаж подрешетной и решетной футеровки</t>
  </si>
  <si>
    <t>монтаж подрешетной и решетной футеровки, монтаж торцевой крышки</t>
  </si>
  <si>
    <t>ОРУ-35кВ насосной станции №13</t>
  </si>
  <si>
    <t>ОРУ-35кВ насосной станции №14</t>
  </si>
  <si>
    <t>ОРУ-35кВ насосной станции №15</t>
  </si>
  <si>
    <t>ОРУ-35кВ насосной станции №16</t>
  </si>
  <si>
    <t>ОРУ-35кВ насосной станции №17</t>
  </si>
  <si>
    <t>ОРУ-35кВ насосной станции №18</t>
  </si>
  <si>
    <t>ОРУ-35кВ насосной станции №19</t>
  </si>
  <si>
    <t>ОРУ-35кВ насосной станции №20</t>
  </si>
  <si>
    <t>ОРУ-35кВ насосной станции №21</t>
  </si>
  <si>
    <t xml:space="preserve">Прогрузка шаров </t>
  </si>
  <si>
    <t>центровка электродвигателя</t>
  </si>
  <si>
    <t>поверка и отключение по погодным условиям</t>
  </si>
  <si>
    <t xml:space="preserve">самопроизвольная остановка </t>
  </si>
  <si>
    <t>монтаж датчика температуры</t>
  </si>
  <si>
    <t>подтяжка болтов на торцевой крышке</t>
  </si>
  <si>
    <t>нагрелся охлаждающий вентилятор</t>
  </si>
  <si>
    <t>лопнула магистраль, перегруз</t>
  </si>
  <si>
    <t>выработка мельницы, забился желоб</t>
  </si>
  <si>
    <t>нагрелся вкладыш СД</t>
  </si>
  <si>
    <t>ТО, вскрытие люка</t>
  </si>
  <si>
    <t>выработка мельницы,подтяжка болтов,перегруз</t>
  </si>
  <si>
    <t>перегруз,шуровка бункера, отсутствие руды</t>
  </si>
  <si>
    <t>промышленные испытания,2 стадия измельчения</t>
  </si>
  <si>
    <t>перешли на рудную стадию измельчения</t>
  </si>
  <si>
    <t>свар на зумпфе</t>
  </si>
  <si>
    <t>свар работы</t>
  </si>
  <si>
    <t xml:space="preserve">выработка мельницы, подтяжка болтов </t>
  </si>
  <si>
    <t>низкое давление масла нагрелся СД</t>
  </si>
  <si>
    <t>нагрев СД</t>
  </si>
  <si>
    <t>срыв крепления натяжного барабана</t>
  </si>
  <si>
    <t>сбой компрессора</t>
  </si>
  <si>
    <t xml:space="preserve">выработка мельницы и подтяжка болтов </t>
  </si>
  <si>
    <t>шуровка бункера, забилась течка</t>
  </si>
  <si>
    <t>шуровка бункера, забилась течка, перегруз</t>
  </si>
  <si>
    <t>выработка мельницы и шуровка бункера</t>
  </si>
  <si>
    <t xml:space="preserve">выработка мельниц, подтяжка болтов </t>
  </si>
  <si>
    <t xml:space="preserve">по мех/части </t>
  </si>
  <si>
    <t xml:space="preserve">срыв заднего барабана </t>
  </si>
  <si>
    <t>аварийная остановка из-ха хвостовых насосов</t>
  </si>
  <si>
    <t>свар работы на течке питания</t>
  </si>
  <si>
    <t xml:space="preserve">самопроизльная остановка </t>
  </si>
  <si>
    <t>нехватка руды из-за погодных условии</t>
  </si>
  <si>
    <t>вырвало футеровочный болт на барабане, протяжка болтов на торцевой крышке барабана</t>
  </si>
  <si>
    <t>выработка мельницы, протяжка болтов на барабане, шуровка бункера</t>
  </si>
  <si>
    <t>выработка мельницы, вскрытие люка</t>
  </si>
  <si>
    <t>выработка мельницы, подтяжка болтов</t>
  </si>
  <si>
    <t>Отключение ОФ 220 Квт Кегог</t>
  </si>
  <si>
    <t>сгорел э/дв питателя мельницы</t>
  </si>
  <si>
    <t>замена роликов, перегруз</t>
  </si>
  <si>
    <t>переключение электроэнергии КЕГОГ</t>
  </si>
  <si>
    <t>выработка мельниц, сварочные работы</t>
  </si>
  <si>
    <t>выработка мельниц, подтяжка болтов, чистка желоба</t>
  </si>
  <si>
    <t>оторвалась шпилька на люке барабана</t>
  </si>
  <si>
    <t>отключение электроэнергии ВЛ-35 кВ КЕГОГ из-за погодных условии</t>
  </si>
  <si>
    <t>Установка нового шкафа управления на насос №4</t>
  </si>
  <si>
    <t>утечка воздушной системы</t>
  </si>
  <si>
    <t>сварочные работы на люке барабана</t>
  </si>
  <si>
    <t>скачок напряжения</t>
  </si>
  <si>
    <t>перегруз, выработка мельниц,подтяжка болтов</t>
  </si>
  <si>
    <t>перегруз, забилась течка, забился гидроциклон, переход насоса</t>
  </si>
  <si>
    <t>Остановка ОФ  отключение на линии ВЛ - 35 Кв KEGOG</t>
  </si>
  <si>
    <t>Подтяжка анкерных болтов, ревизия улиткового питателя</t>
  </si>
  <si>
    <t>сгорел предохранитель на КТП №2</t>
  </si>
  <si>
    <t>забился ГЦ-9</t>
  </si>
  <si>
    <t>замена роликов</t>
  </si>
  <si>
    <t>перегруз, замена роликов</t>
  </si>
  <si>
    <t>переход насоса 7 на 8, перегруз</t>
  </si>
  <si>
    <t>сварочные работы по мехчасти</t>
  </si>
  <si>
    <t>ревизия и замер уровней шаров</t>
  </si>
  <si>
    <t>перегруз, шуровка бункера, чистка течки</t>
  </si>
  <si>
    <t>Заменили две решетки нижние,заменили 5 сломанных футеровок, сварочные работы трещины на барабане</t>
  </si>
  <si>
    <t xml:space="preserve">прогрузка шаров </t>
  </si>
  <si>
    <t>прогрузка шаров, перегруз, шуровка бункера</t>
  </si>
  <si>
    <t>вырботка мельницы</t>
  </si>
  <si>
    <t>замена барабана на э/двигателе</t>
  </si>
  <si>
    <t>шуровка бункера, выработка мельницы</t>
  </si>
  <si>
    <t>пропускает воздух на барабане</t>
  </si>
  <si>
    <t>утечка масла на маслостанции</t>
  </si>
  <si>
    <t>из-за нехватки электроэнергии, запуск 2 секции флотации</t>
  </si>
  <si>
    <t>пропускает воздух, самоостановка</t>
  </si>
  <si>
    <t>протечка воздуха в барабане</t>
  </si>
  <si>
    <t>из-за нехватки электроэнергии</t>
  </si>
  <si>
    <t>шуровка бункера, перегруз, выработка мельницы, выгрузка шаров</t>
  </si>
  <si>
    <t>Ремонт насосной станции №13</t>
  </si>
  <si>
    <t>Ремонт насосной станции №14</t>
  </si>
  <si>
    <t>подтяжка болтов на барабане, шуровка бункера, перегруз</t>
  </si>
  <si>
    <t>сварочные работы на разгрузочной решетки</t>
  </si>
  <si>
    <t>замена решетки</t>
  </si>
  <si>
    <t>подтяжка болтов на барабане, перегруз</t>
  </si>
  <si>
    <t>выработка мельницы, выгрузка шаров</t>
  </si>
  <si>
    <t>подтяжка болтов на барабане, шуровка бункера</t>
  </si>
  <si>
    <t>перегруз,  шуровка бункера</t>
  </si>
  <si>
    <t>прогрузка шаров, протяжка болтов на барабане</t>
  </si>
  <si>
    <t>выработка мельницы, сварочные работы на течке</t>
  </si>
  <si>
    <t>перегруз, забился гидроциклон</t>
  </si>
  <si>
    <t>перегруз, шуровка бункера, переход насоса</t>
  </si>
  <si>
    <t>перегруз, шуровка руды</t>
  </si>
  <si>
    <t>выработка мельниц, сварочные работы на загрузочной течки, протяжка болтов</t>
  </si>
  <si>
    <t>загрузка шаров, подтяжка болтов на барабане, перегруз</t>
  </si>
  <si>
    <t>заимена роликов на конвейере</t>
  </si>
  <si>
    <t>отключение электроэнергии по погодным условиям, 35 кВ НС-13</t>
  </si>
  <si>
    <t>отключение электроэнергии по погодным условиям, 35 кВ НС-14</t>
  </si>
  <si>
    <t>перегруз, забился ГЦ, забивка течки</t>
  </si>
  <si>
    <t>замена э/двигателя на маслостанции</t>
  </si>
  <si>
    <t>подтяжка болтов на люке барабана</t>
  </si>
  <si>
    <t>замена пускателя на питателе</t>
  </si>
  <si>
    <t>калибровка эл.счетчика</t>
  </si>
  <si>
    <t>Перегруз,шуровка</t>
  </si>
  <si>
    <t>замена контакторов ЩУ конвейера №15</t>
  </si>
  <si>
    <t>Переггруз, чистка течки</t>
  </si>
  <si>
    <t>по мех.части</t>
  </si>
  <si>
    <t>Чистка течки</t>
  </si>
  <si>
    <t>Забился гидрациклон, чистка течки</t>
  </si>
  <si>
    <t>Сбой по эл.части</t>
  </si>
  <si>
    <t>перегруз,чистка течки и нехватка руды</t>
  </si>
  <si>
    <t>нехватка руды в бункере</t>
  </si>
  <si>
    <t>большая нагрузка по эл.сети</t>
  </si>
  <si>
    <t>перегруз,чистка течки</t>
  </si>
  <si>
    <t>В связи погодными условиями</t>
  </si>
  <si>
    <t>Выбило ленту, корректировка эл.весов</t>
  </si>
  <si>
    <t>забилась течка, установка фартука</t>
  </si>
  <si>
    <t>Забивание течки, перегруз</t>
  </si>
  <si>
    <t>Забивание течки, бункера, перегруз</t>
  </si>
  <si>
    <t>Забивание течки, нехватка руды</t>
  </si>
  <si>
    <t>Забивание течки, отсутствие руды</t>
  </si>
  <si>
    <t>аварийное отлючение</t>
  </si>
  <si>
    <t>аварийное отключение</t>
  </si>
  <si>
    <t>Замена автомата</t>
  </si>
  <si>
    <t>нехватка руды, перегруз</t>
  </si>
  <si>
    <t>шуровка течки</t>
  </si>
  <si>
    <t xml:space="preserve">ревизия улиткового питателя </t>
  </si>
  <si>
    <t>сбой эл.счетчика</t>
  </si>
  <si>
    <t>по эл.части</t>
  </si>
  <si>
    <t>по мех части. Ревизия</t>
  </si>
  <si>
    <t>Ревизия</t>
  </si>
  <si>
    <t>по эл части маслостанции</t>
  </si>
  <si>
    <t>Замена ролика</t>
  </si>
  <si>
    <t>Забилась течка</t>
  </si>
  <si>
    <t>перегруз, переход насоса</t>
  </si>
  <si>
    <t>Калибровка весов</t>
  </si>
  <si>
    <t xml:space="preserve">Остановка ОФ  отключение на линии ВЛ - 35 Кв </t>
  </si>
  <si>
    <t>замена электродвигателя</t>
  </si>
  <si>
    <t>Забился ГЦ, Отсутствие руды</t>
  </si>
  <si>
    <t>упала торцевая футеровка. Замена</t>
  </si>
  <si>
    <t>перегруз, забивание течки</t>
  </si>
  <si>
    <t>остановка маслостанции</t>
  </si>
  <si>
    <t>перегруз,забилась течка</t>
  </si>
  <si>
    <t>Замена пускателя, калибровка весов</t>
  </si>
  <si>
    <t>переход насоса, забилась течка</t>
  </si>
  <si>
    <t>Замена приводного вала</t>
  </si>
  <si>
    <t>Замена контактора на ленте</t>
  </si>
  <si>
    <t>Перегруз, шуровка бункера</t>
  </si>
  <si>
    <t>перегруз, нехватка руды</t>
  </si>
  <si>
    <t>Замена контактора</t>
  </si>
  <si>
    <t>замена контактора</t>
  </si>
  <si>
    <t>шуровка бункера, клепка ленты</t>
  </si>
  <si>
    <t>ревизия ленты по эл.части</t>
  </si>
  <si>
    <t>Самопроизвольная остановка</t>
  </si>
  <si>
    <t>нехватка эл.энергии</t>
  </si>
  <si>
    <t>Вышел из строя трансформатор №2</t>
  </si>
  <si>
    <t>подключение трансформатора №2</t>
  </si>
  <si>
    <t>низкое давление маслостанции</t>
  </si>
  <si>
    <t>Замена контатора и калибровка весов</t>
  </si>
  <si>
    <t>замена ролика</t>
  </si>
  <si>
    <t>Забивание течки</t>
  </si>
  <si>
    <t>Забился гидрациклон</t>
  </si>
  <si>
    <t>Забиласт течка, переход бункера</t>
  </si>
  <si>
    <t>Выбило пускатель</t>
  </si>
  <si>
    <t>демонтаж бутары</t>
  </si>
  <si>
    <t>клепка ленты</t>
  </si>
  <si>
    <t>сортировка шаров</t>
  </si>
  <si>
    <t>обтяжка анкерных болтов</t>
  </si>
  <si>
    <t>обтяжка синхронного двигателя</t>
  </si>
  <si>
    <t>повреждение высоковольтног кабеля АСВ</t>
  </si>
  <si>
    <t>сортировка,загрузка шаров</t>
  </si>
  <si>
    <t>Замена приставки, чистка контакта</t>
  </si>
  <si>
    <t>Замена реле</t>
  </si>
  <si>
    <t>Самопроизвольная остановка, замена реле</t>
  </si>
  <si>
    <t>Забился бункер</t>
  </si>
  <si>
    <t>нехватка руды, выработка мельницы, подтяжка болтов</t>
  </si>
  <si>
    <t>нехватка руды, забился бункер</t>
  </si>
  <si>
    <t>нехватка руды,забился бункер</t>
  </si>
  <si>
    <t>сварочные работы на решетке</t>
  </si>
  <si>
    <t>замена пускателя на конвейере</t>
  </si>
  <si>
    <t>забилась течка,промывка течки, замена роликов</t>
  </si>
  <si>
    <t>греется подшипник эл/двигателя</t>
  </si>
  <si>
    <t>Сломан зуб шестерни на приводе мельницы</t>
  </si>
  <si>
    <t>калибровка счетчика</t>
  </si>
  <si>
    <t>Сломан зуб шестерни на приводе мельницы и самопроизвольная остановка</t>
  </si>
  <si>
    <t>Самопроизвольная остановка (баббитовый подшипник)</t>
  </si>
  <si>
    <t>подтяжка сегмента КСН, забивание бункера</t>
  </si>
  <si>
    <t>замена ремня на барабане</t>
  </si>
  <si>
    <t>забилась бункер</t>
  </si>
  <si>
    <t>Самопроизвольная остановка ( греется баббитовый подшипник)</t>
  </si>
  <si>
    <t>Замена вкладыша (баббитовый подшипник)</t>
  </si>
  <si>
    <t>Остановка мельницы по мех части</t>
  </si>
  <si>
    <t>ревизия по эл.части</t>
  </si>
  <si>
    <t>ревизия по мех.части</t>
  </si>
  <si>
    <t>нехватка руды, перегруз, переход бункера</t>
  </si>
  <si>
    <t>перегруз, нехватка руды, замена  фартука</t>
  </si>
  <si>
    <t>замена ролика и ножа</t>
  </si>
  <si>
    <t>шуровка бункера, замена ножа</t>
  </si>
  <si>
    <t>замена контактора и приставки</t>
  </si>
  <si>
    <t>самопроизвольная остановка, Низкое давление масла</t>
  </si>
  <si>
    <t>подтяжка анкерных болтов синхроника</t>
  </si>
  <si>
    <t xml:space="preserve">шуровка бункера, замена ролика </t>
  </si>
  <si>
    <t>шуровка бункера, замена роликов</t>
  </si>
  <si>
    <t>свар работы на загрузочной течки</t>
  </si>
  <si>
    <t>разрыв гидроциклона</t>
  </si>
  <si>
    <t>пропускает камера</t>
  </si>
  <si>
    <t>сварочные работы улиткового питателя</t>
  </si>
  <si>
    <t>Подтяжка анкерных болтов привода</t>
  </si>
  <si>
    <t>смещение полумуфты медленного хода</t>
  </si>
  <si>
    <t>замена футеровочного болта барабана</t>
  </si>
  <si>
    <t>замена барабана сцепления</t>
  </si>
  <si>
    <t>греется барабан сцепления</t>
  </si>
  <si>
    <t>отключение электроэнергии ВЛ-35кВт</t>
  </si>
  <si>
    <t>отсутствие руды (порвался лента №11)</t>
  </si>
  <si>
    <t>обтяжка шпильки привода</t>
  </si>
  <si>
    <t>встал насос №3и №4</t>
  </si>
  <si>
    <t>ревизия компрессора</t>
  </si>
  <si>
    <t>вышли из строя два насоса ПБ 315/40</t>
  </si>
  <si>
    <t>ревизия барабана, самопроизвольная остановка</t>
  </si>
  <si>
    <t>сварочные работы на зумпфе насосов 5-6</t>
  </si>
  <si>
    <t>ППР,замена конвейерной ленты№18, вскрытите люка и замер уровней шаров, замена шкафа управления конвейеров</t>
  </si>
  <si>
    <t>самопроизвольная остановка, низкий уровнеь маслостанции</t>
  </si>
  <si>
    <t>Переход на короткую схему,оторваны сегменты на КСН№1</t>
  </si>
  <si>
    <t>Замена конвейерной ленты</t>
  </si>
  <si>
    <t>замена возудной камеры</t>
  </si>
  <si>
    <t xml:space="preserve">подтяжка болтов на торцевой крышке барабана </t>
  </si>
  <si>
    <t>замена пускателя питательной ленты №17</t>
  </si>
  <si>
    <t>загрузка шаров, закрытие люка</t>
  </si>
  <si>
    <t>сварочные работы на зумпфе</t>
  </si>
  <si>
    <t>переподключение силового кабеля</t>
  </si>
  <si>
    <t>Ремонт течки</t>
  </si>
  <si>
    <t>замена барабана на питателе</t>
  </si>
  <si>
    <t>замена электрдвигателя тр.ленты</t>
  </si>
  <si>
    <t>подтяжка болта венца</t>
  </si>
  <si>
    <t>сломался корпус подшипника барабана конвейера</t>
  </si>
  <si>
    <t>ремонт корпуса подшипника барабана конвейера</t>
  </si>
  <si>
    <t>подтяжка анкерных болтов привода мельницы</t>
  </si>
  <si>
    <t>замена вентилятора</t>
  </si>
  <si>
    <t>Замена решетки</t>
  </si>
  <si>
    <t>самопризвольная остановка</t>
  </si>
  <si>
    <t>забился гидрациклон</t>
  </si>
  <si>
    <t>выработка мельница, выгрузка шаров</t>
  </si>
  <si>
    <t>Перефутеровка Решетки и торца</t>
  </si>
  <si>
    <t xml:space="preserve"> вскрытие люка, замер уровней шаров</t>
  </si>
  <si>
    <t>подготовка к запуску мельницы</t>
  </si>
  <si>
    <t>сварочные работы на зумпфе, улитковый питатель</t>
  </si>
  <si>
    <t xml:space="preserve">сварочные работы на загрузочной трубе </t>
  </si>
  <si>
    <t>сварочные работы на улитковом питателе</t>
  </si>
  <si>
    <t xml:space="preserve">низкое давление масла </t>
  </si>
  <si>
    <t>ревизия решетки барабана</t>
  </si>
  <si>
    <t>сварочные работы на цапфе мельницы</t>
  </si>
  <si>
    <t>самопроизвольная остановка по эл.части</t>
  </si>
  <si>
    <t>самопризвольная остановка по эл.части</t>
  </si>
  <si>
    <t>самопрроизвольня остановка</t>
  </si>
  <si>
    <t>самопроизвольня остановка</t>
  </si>
  <si>
    <t>чистка под венцом</t>
  </si>
  <si>
    <t>самопроизвольня остановка змена датчика давления</t>
  </si>
  <si>
    <t>забилась загрузочный жеолоб</t>
  </si>
  <si>
    <t>самопроизвольня остановка по эл.части</t>
  </si>
  <si>
    <t>замена ратоционной муфты</t>
  </si>
  <si>
    <t>сварочные работы на зумпфе насоса 3,4</t>
  </si>
  <si>
    <t>сварочные работы на песковом желобе КСН №3</t>
  </si>
  <si>
    <t>Аварийное отключение ВЛ-35 кВ по погодным условиям</t>
  </si>
  <si>
    <t>Отключение ВЛ-35 кВ</t>
  </si>
  <si>
    <t>замена автоматического выключателя</t>
  </si>
  <si>
    <t>забита песковый короб</t>
  </si>
  <si>
    <t>подтяжка эл.двигателя</t>
  </si>
  <si>
    <t>не включался компрессор</t>
  </si>
  <si>
    <t>из-за нехватки руды ( ремонт грохота ГИТ-52 №1)</t>
  </si>
  <si>
    <t>448</t>
  </si>
  <si>
    <t>720</t>
  </si>
  <si>
    <t>посадка напряжения</t>
  </si>
  <si>
    <t>154</t>
  </si>
  <si>
    <t>Заменна ратационной муфты</t>
  </si>
  <si>
    <t>замена болтов футеровки и замер футеровки</t>
  </si>
  <si>
    <t>сварочные работы на загрузочной течке</t>
  </si>
  <si>
    <t>сварочные работы на жеолобе</t>
  </si>
  <si>
    <t>отключение эл энергии на линии ВЛ 35 кВ.</t>
  </si>
  <si>
    <t>замена бутары</t>
  </si>
  <si>
    <t>нехватка руды на бункерах</t>
  </si>
  <si>
    <t xml:space="preserve">отключение эл энергии на линии ВЛ 35 кВ. </t>
  </si>
  <si>
    <t>Ручной замер сбой эл уч</t>
  </si>
  <si>
    <t>Калибровка эл счетчика</t>
  </si>
  <si>
    <t>обтяжка балтов</t>
  </si>
  <si>
    <t>Остановка по эл части</t>
  </si>
  <si>
    <t>Замена бабитного подшипника</t>
  </si>
  <si>
    <t>Центровка синхронного двигателя и замена камеры</t>
  </si>
  <si>
    <t>подтяжка торцевых болтов</t>
  </si>
  <si>
    <t>Замена ротационной муфты</t>
  </si>
  <si>
    <t>ост по мех части</t>
  </si>
  <si>
    <t>перегруз шуровка</t>
  </si>
  <si>
    <t>сварочные работа</t>
  </si>
  <si>
    <t>Отключение ВЛ-35 КВТ</t>
  </si>
  <si>
    <t>265</t>
  </si>
  <si>
    <t>536</t>
  </si>
  <si>
    <t>258</t>
  </si>
  <si>
    <t>перегруз. шуровка бункера</t>
  </si>
  <si>
    <t>шуровка. обтяжка болтов</t>
  </si>
  <si>
    <t>Ревизия. Замер урвень шаров</t>
  </si>
  <si>
    <t>75</t>
  </si>
  <si>
    <t>проверка ддатчика мельницы</t>
  </si>
  <si>
    <t>замена маслы</t>
  </si>
  <si>
    <t>Обтяжка  болтов</t>
  </si>
  <si>
    <t xml:space="preserve">перегруз. </t>
  </si>
  <si>
    <t>перегруз.</t>
  </si>
  <si>
    <t>перегрев подчепника</t>
  </si>
  <si>
    <t>замена подчепника</t>
  </si>
  <si>
    <t>забилось желоба КСН</t>
  </si>
  <si>
    <t xml:space="preserve">сентровка двигателя </t>
  </si>
  <si>
    <t>Выбило элетродвигатель маслонасоса</t>
  </si>
  <si>
    <t>Забился течка бункера</t>
  </si>
  <si>
    <t>подтяжка болтов привода</t>
  </si>
  <si>
    <t>забилась песковая насадка</t>
  </si>
  <si>
    <t>перегруз,шуровка бункера</t>
  </si>
  <si>
    <t>утечка масла</t>
  </si>
  <si>
    <t xml:space="preserve"> по эл.части - проверка вводного кабеля от ПС - 35/6 до КТП - 1</t>
  </si>
  <si>
    <t xml:space="preserve">                                                                                            шуровка бункера</t>
  </si>
  <si>
    <t>снинжение давления масла</t>
  </si>
  <si>
    <t>выход из строя насоса</t>
  </si>
  <si>
    <t>25</t>
  </si>
  <si>
    <t>ревизия шить управления</t>
  </si>
  <si>
    <t>ост насос по эл часть</t>
  </si>
  <si>
    <t>забилься трасса №1,2 насос</t>
  </si>
  <si>
    <t>ост по электро части</t>
  </si>
  <si>
    <t>остановка по эл части</t>
  </si>
  <si>
    <t>нехватка эл энергии</t>
  </si>
  <si>
    <t>то</t>
  </si>
  <si>
    <t>Посадка поэл частии</t>
  </si>
  <si>
    <t>замена камеры сцепление</t>
  </si>
  <si>
    <t>сварочный работа</t>
  </si>
  <si>
    <t>Ост по эл частей</t>
  </si>
  <si>
    <t>Посадка по эл частии</t>
  </si>
  <si>
    <t>смазка подшипниква</t>
  </si>
  <si>
    <t>замена колодки камеры сцепления</t>
  </si>
  <si>
    <t>центровка эл.двигателя</t>
  </si>
  <si>
    <t>сортировка и загрузка шаров</t>
  </si>
  <si>
    <t>центровка венца, подтяжка болтов нв люке барабана</t>
  </si>
  <si>
    <t>замена сливной трубы</t>
  </si>
  <si>
    <t>самопроизвольная остановка, низкое давление масла на маслостанций</t>
  </si>
  <si>
    <t>Ремонт ленты</t>
  </si>
  <si>
    <t>22</t>
  </si>
  <si>
    <t>Замена ленты №15</t>
  </si>
  <si>
    <t>сварочное работы</t>
  </si>
  <si>
    <t>утечка воздуха</t>
  </si>
  <si>
    <t>протяжка болтов синхронного двиг</t>
  </si>
  <si>
    <t>Замена сцепление барабана</t>
  </si>
  <si>
    <t>ревизия по мех час</t>
  </si>
  <si>
    <t>ревизя</t>
  </si>
  <si>
    <t>обтяжка</t>
  </si>
  <si>
    <t>замена колены загруз трубы</t>
  </si>
  <si>
    <t>по мех части</t>
  </si>
  <si>
    <t>пртяжка болтов</t>
  </si>
  <si>
    <t>обтяжка болтов</t>
  </si>
  <si>
    <t>12ч</t>
  </si>
  <si>
    <t>перефутеровка торцевых крышек</t>
  </si>
  <si>
    <t xml:space="preserve">          по эл части </t>
  </si>
  <si>
    <t xml:space="preserve">     Замена двигателя</t>
  </si>
  <si>
    <t>Набивка сальника и ревизия</t>
  </si>
  <si>
    <t>ревизия масло насосы</t>
  </si>
  <si>
    <t>ревизия ГЦ</t>
  </si>
  <si>
    <t>690</t>
  </si>
  <si>
    <t>замена кантактра</t>
  </si>
  <si>
    <t>30</t>
  </si>
  <si>
    <t>подклучение кабеля</t>
  </si>
  <si>
    <t xml:space="preserve">обтяжка болтов </t>
  </si>
  <si>
    <t>ревизия подчебника привода</t>
  </si>
  <si>
    <t>протяжка тартцовых болтов</t>
  </si>
  <si>
    <t>протяжка анкерной болты</t>
  </si>
  <si>
    <t>замена вал шестерни</t>
  </si>
  <si>
    <t>протяжка болтов цинхроника</t>
  </si>
  <si>
    <t>забилос течка</t>
  </si>
  <si>
    <t>протяжка болтов вал шестерны</t>
  </si>
  <si>
    <t>сварочной работы</t>
  </si>
  <si>
    <t>Сварка решотки</t>
  </si>
  <si>
    <t>сентровка промвал</t>
  </si>
  <si>
    <t>переделка гипки схемы</t>
  </si>
  <si>
    <t>Забился ГЦ№2</t>
  </si>
  <si>
    <t xml:space="preserve"> шуровка бункера</t>
  </si>
  <si>
    <t>Нехватка руды и перегруз</t>
  </si>
  <si>
    <t>по эл частей</t>
  </si>
  <si>
    <t>нехватка воды</t>
  </si>
  <si>
    <t>замена пускателья</t>
  </si>
  <si>
    <t>Замена роликов</t>
  </si>
  <si>
    <t>сварочное работа</t>
  </si>
  <si>
    <t>18</t>
  </si>
  <si>
    <t>расшерение решотки на разгрузке</t>
  </si>
  <si>
    <t>,ТОО</t>
  </si>
  <si>
    <t>, шуровка бункера</t>
  </si>
  <si>
    <t>отключение энергии ВЛ35кВт</t>
  </si>
  <si>
    <t>замена вводной шины</t>
  </si>
  <si>
    <t>замена вамного выключателя,замена вводной шины</t>
  </si>
  <si>
    <t>забился гц</t>
  </si>
  <si>
    <t>замена шины</t>
  </si>
  <si>
    <t>замена пневматической шланги</t>
  </si>
  <si>
    <t>ппр</t>
  </si>
  <si>
    <t>шуровка бункера,перегруз</t>
  </si>
  <si>
    <t>посадка электроэнергии</t>
  </si>
  <si>
    <t>аврийная остановка ксн</t>
  </si>
  <si>
    <t xml:space="preserve">шуровка </t>
  </si>
  <si>
    <t>подтяжка анкерных</t>
  </si>
  <si>
    <t>Шуровка и перегруз</t>
  </si>
  <si>
    <t>Замена ремни редуктора</t>
  </si>
  <si>
    <t>Шуровка</t>
  </si>
  <si>
    <t>ремонт редукторе</t>
  </si>
  <si>
    <t>Замена масло сьемника</t>
  </si>
  <si>
    <t>центровка двигателя</t>
  </si>
  <si>
    <t>проверка насоса</t>
  </si>
  <si>
    <t>колибровка</t>
  </si>
  <si>
    <t>переход бункер</t>
  </si>
  <si>
    <t>переход бункер, перегруз</t>
  </si>
  <si>
    <t>протяжка анкерных болтов</t>
  </si>
  <si>
    <t>замена реле компресора</t>
  </si>
  <si>
    <t>забилась насадка</t>
  </si>
  <si>
    <t>ЗАМЕНА ПРИВОДА</t>
  </si>
  <si>
    <t>ПЕРЕГРУЗ</t>
  </si>
  <si>
    <t xml:space="preserve">САМОПРОИЗВОЛЬНАЯ </t>
  </si>
  <si>
    <t>Замена реле,икамеры на барабане</t>
  </si>
  <si>
    <t>подтяжка болтов люка</t>
  </si>
  <si>
    <t xml:space="preserve">замена ролика </t>
  </si>
  <si>
    <t>29</t>
  </si>
  <si>
    <t>шуровка течки и перегруз</t>
  </si>
  <si>
    <t>Перегрев двигателья</t>
  </si>
  <si>
    <t>сварочное работ</t>
  </si>
  <si>
    <t xml:space="preserve">шуровка течки </t>
  </si>
  <si>
    <t xml:space="preserve">обтяжка привода </t>
  </si>
  <si>
    <t>ремонт кабеля синхроного двигателя</t>
  </si>
  <si>
    <t>переключение  KEGOG</t>
  </si>
  <si>
    <t>переключение  KEGOG самопризвольная остановка</t>
  </si>
  <si>
    <t>переключение  KEGOG калибровка счетчика</t>
  </si>
  <si>
    <t>разрыв мягкого соединения</t>
  </si>
  <si>
    <t>перегруз,забился гидроциклон</t>
  </si>
  <si>
    <t>10</t>
  </si>
  <si>
    <t>Подтяжка анкерных болтов</t>
  </si>
  <si>
    <t>нехватка воздуха</t>
  </si>
  <si>
    <t>12</t>
  </si>
  <si>
    <t>нехватка эл энерии</t>
  </si>
  <si>
    <t>замена датчик маслы</t>
  </si>
  <si>
    <t>забилась песковой короба ГЦ</t>
  </si>
  <si>
    <t>шуровка и перегруз</t>
  </si>
  <si>
    <t>Сварочной работа</t>
  </si>
  <si>
    <t xml:space="preserve">самопроизвольная </t>
  </si>
  <si>
    <t>отключение 35кВ</t>
  </si>
  <si>
    <t>замена переключателя</t>
  </si>
  <si>
    <t>ВЛ-220кв</t>
  </si>
  <si>
    <t>шуровка перегруз</t>
  </si>
  <si>
    <t>35Вл</t>
  </si>
  <si>
    <t>забилась трасса</t>
  </si>
  <si>
    <t>регулировка плотности</t>
  </si>
  <si>
    <t>замена трубы на заг</t>
  </si>
  <si>
    <t>перегруз и шуровка</t>
  </si>
  <si>
    <t>РЕВИЗИЯ</t>
  </si>
  <si>
    <t>отключение энергии ВЛ220кВт КEGOC</t>
  </si>
  <si>
    <t>плановый ремонт на линии ВЛ220кВт КEGOC</t>
  </si>
  <si>
    <t>система возбуждения</t>
  </si>
  <si>
    <t>замена блокауправления возбуждения</t>
  </si>
  <si>
    <t>отключение энергии</t>
  </si>
  <si>
    <t>Столбец2</t>
  </si>
  <si>
    <t>Столбец3</t>
  </si>
  <si>
    <t>обтяжка торцевой крышки</t>
  </si>
  <si>
    <t>замена ножа</t>
  </si>
  <si>
    <t>переход новая схема</t>
  </si>
  <si>
    <t>новая схема</t>
  </si>
  <si>
    <t>ревизия песковой трубы</t>
  </si>
  <si>
    <t>САМОПРОИЗВОЛЬНАЯ ОСТАНОВКА</t>
  </si>
  <si>
    <t>ПОДТЯЖКА БОЛТОВ</t>
  </si>
  <si>
    <t>двигатель синхронник</t>
  </si>
  <si>
    <t>Замена маслы</t>
  </si>
  <si>
    <t>замена воздушный камер</t>
  </si>
  <si>
    <t>сварочной работ</t>
  </si>
  <si>
    <t>датчик температура</t>
  </si>
  <si>
    <t>замена ролик</t>
  </si>
  <si>
    <t>замена шкаф управления</t>
  </si>
  <si>
    <t>самопроизволбнаяостановка</t>
  </si>
  <si>
    <t>подтяжка привода</t>
  </si>
  <si>
    <t>замена датчика давления</t>
  </si>
  <si>
    <t>замена черпаков</t>
  </si>
  <si>
    <t>шурока,перегруз</t>
  </si>
  <si>
    <t>замена реле давления масла</t>
  </si>
  <si>
    <t xml:space="preserve">самопроизвольная  </t>
  </si>
  <si>
    <t>подтяжка болтов барабана</t>
  </si>
  <si>
    <t xml:space="preserve">посадка напряжения </t>
  </si>
  <si>
    <t>по эл части</t>
  </si>
  <si>
    <t>Ревизя</t>
  </si>
  <si>
    <t>13</t>
  </si>
  <si>
    <t>протяжка анкерных болт</t>
  </si>
  <si>
    <t>переход на лению</t>
  </si>
  <si>
    <t>протяжка барабана</t>
  </si>
  <si>
    <t>Замена решотки</t>
  </si>
  <si>
    <t>неисправность компрессора</t>
  </si>
  <si>
    <t>самопроизвольное остановка</t>
  </si>
  <si>
    <t>датчик давления воздуха</t>
  </si>
  <si>
    <t>шуровка,перегруз</t>
  </si>
  <si>
    <t>самопроизвольная остновка</t>
  </si>
  <si>
    <t>забилсяпесковая насадка</t>
  </si>
  <si>
    <t>подтяжка  болтов</t>
  </si>
  <si>
    <t>центровка привода</t>
  </si>
  <si>
    <t>обрыв конвейера</t>
  </si>
  <si>
    <t>замена болта улиткового питателя</t>
  </si>
  <si>
    <t xml:space="preserve">     замена обратного клапана</t>
  </si>
  <si>
    <t>центровка эл. двигатель</t>
  </si>
  <si>
    <t>замена ленты</t>
  </si>
  <si>
    <t>ревизия весов</t>
  </si>
  <si>
    <t>датчик давления маслы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</si>
</sst>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[$-F400]h:mm:ss\ AM/PM"/>
  </numFmts>
  <fonts count="2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4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2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/>
      <diagonal/>
    </border>
    <border>
      <left style="dotted">
        <color indexed="64"/>
      </left>
      <right style="thick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dashed">
        <color indexed="64"/>
      </bottom>
      <diagonal/>
    </border>
    <border>
      <left/>
      <right style="thick">
        <color indexed="64"/>
      </right>
      <top style="dashed">
        <color indexed="64"/>
      </top>
      <bottom style="dashed">
        <color indexed="64"/>
      </bottom>
      <diagonal/>
    </border>
    <border>
      <left/>
      <right style="thick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thick">
        <color indexed="64"/>
      </right>
      <top/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dotted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ashed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ott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ash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/>
      <top style="dotted">
        <color indexed="64"/>
      </top>
      <bottom style="dashed">
        <color indexed="64"/>
      </bottom>
      <diagonal/>
    </border>
    <border>
      <left style="dott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ashed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54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20" fontId="0" fillId="0" borderId="0" xfId="0" applyNumberFormat="1"/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/>
    <xf numFmtId="0" fontId="2" fillId="0" borderId="20" xfId="0" applyFont="1" applyBorder="1"/>
    <xf numFmtId="14" fontId="1" fillId="0" borderId="20" xfId="0" applyNumberFormat="1" applyFon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2" fillId="0" borderId="39" xfId="0" applyFon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3" borderId="44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" fillId="0" borderId="48" xfId="0" applyFont="1" applyBorder="1"/>
    <xf numFmtId="0" fontId="2" fillId="0" borderId="56" xfId="0" applyFont="1" applyBorder="1" applyAlignment="1">
      <alignment horizontal="center"/>
    </xf>
    <xf numFmtId="14" fontId="1" fillId="0" borderId="57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2" fillId="0" borderId="58" xfId="0" applyFont="1" applyBorder="1"/>
    <xf numFmtId="0" fontId="1" fillId="0" borderId="5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" fillId="0" borderId="64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6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0" fillId="0" borderId="67" xfId="0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69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4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3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0" borderId="40" xfId="0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166" fontId="0" fillId="0" borderId="0" xfId="0" applyNumberFormat="1"/>
    <xf numFmtId="0" fontId="0" fillId="6" borderId="0" xfId="0" applyFill="1"/>
    <xf numFmtId="0" fontId="0" fillId="0" borderId="0" xfId="0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70" xfId="0" applyFont="1" applyFill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4" fillId="0" borderId="7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7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0" fillId="5" borderId="0" xfId="0" applyFill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0" xfId="0" applyFill="1" applyBorder="1" applyAlignment="1">
      <alignment horizontal="center" vertical="center"/>
    </xf>
    <xf numFmtId="0" fontId="4" fillId="0" borderId="30" xfId="0" applyFont="1" applyBorder="1" applyAlignment="1">
      <alignment vertical="top" wrapText="1"/>
    </xf>
    <xf numFmtId="4" fontId="0" fillId="0" borderId="0" xfId="0" applyNumberFormat="1" applyAlignment="1">
      <alignment horizontal="center"/>
    </xf>
    <xf numFmtId="0" fontId="0" fillId="0" borderId="87" xfId="0" applyBorder="1" applyAlignment="1">
      <alignment horizontal="center"/>
    </xf>
    <xf numFmtId="4" fontId="0" fillId="0" borderId="88" xfId="0" applyNumberFormat="1" applyBorder="1" applyAlignment="1">
      <alignment horizontal="center"/>
    </xf>
    <xf numFmtId="4" fontId="0" fillId="0" borderId="89" xfId="0" applyNumberFormat="1" applyBorder="1" applyAlignment="1">
      <alignment horizontal="center"/>
    </xf>
    <xf numFmtId="4" fontId="0" fillId="0" borderId="90" xfId="0" applyNumberFormat="1" applyBorder="1" applyAlignment="1">
      <alignment horizontal="center" vertical="center"/>
    </xf>
    <xf numFmtId="4" fontId="0" fillId="0" borderId="91" xfId="0" applyNumberFormat="1" applyBorder="1" applyAlignment="1">
      <alignment horizontal="center"/>
    </xf>
    <xf numFmtId="20" fontId="0" fillId="0" borderId="87" xfId="0" applyNumberFormat="1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0" fillId="0" borderId="8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5" xfId="0" applyBorder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1" fillId="7" borderId="68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4" fillId="7" borderId="73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0" xfId="0" applyFont="1" applyFill="1" applyBorder="1" applyAlignment="1">
      <alignment horizontal="center" vertical="center"/>
    </xf>
    <xf numFmtId="0" fontId="0" fillId="7" borderId="67" xfId="0" applyFill="1" applyBorder="1" applyAlignment="1">
      <alignment horizontal="center" vertical="center"/>
    </xf>
    <xf numFmtId="14" fontId="1" fillId="7" borderId="57" xfId="0" applyNumberFormat="1" applyFont="1" applyFill="1" applyBorder="1" applyAlignment="1">
      <alignment horizontal="center" vertical="center"/>
    </xf>
    <xf numFmtId="164" fontId="0" fillId="0" borderId="88" xfId="0" applyNumberFormat="1" applyBorder="1" applyAlignment="1">
      <alignment horizontal="center"/>
    </xf>
    <xf numFmtId="2" fontId="0" fillId="0" borderId="89" xfId="0" applyNumberFormat="1" applyBorder="1" applyAlignment="1">
      <alignment horizontal="center"/>
    </xf>
    <xf numFmtId="164" fontId="0" fillId="0" borderId="89" xfId="0" applyNumberFormat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0" fontId="1" fillId="5" borderId="69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5" borderId="7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5" borderId="70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84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85" xfId="0" applyFill="1" applyBorder="1" applyAlignment="1">
      <alignment vertical="center"/>
    </xf>
    <xf numFmtId="0" fontId="0" fillId="5" borderId="12" xfId="0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73" xfId="0" applyFont="1" applyBorder="1" applyAlignment="1">
      <alignment vertical="center"/>
    </xf>
    <xf numFmtId="0" fontId="9" fillId="7" borderId="5" xfId="0" applyFont="1" applyFill="1" applyBorder="1" applyAlignment="1">
      <alignment horizontal="center" vertical="center" wrapText="1"/>
    </xf>
    <xf numFmtId="0" fontId="0" fillId="5" borderId="84" xfId="0" applyFill="1" applyBorder="1"/>
    <xf numFmtId="0" fontId="0" fillId="5" borderId="0" xfId="0" applyFill="1"/>
    <xf numFmtId="0" fontId="0" fillId="5" borderId="85" xfId="0" applyFill="1" applyBorder="1"/>
    <xf numFmtId="0" fontId="0" fillId="7" borderId="73" xfId="0" applyFill="1" applyBorder="1" applyAlignment="1">
      <alignment vertical="center"/>
    </xf>
    <xf numFmtId="0" fontId="0" fillId="7" borderId="30" xfId="0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6" fillId="7" borderId="73" xfId="0" applyFont="1" applyFill="1" applyBorder="1" applyAlignment="1">
      <alignment vertical="center"/>
    </xf>
    <xf numFmtId="0" fontId="6" fillId="7" borderId="30" xfId="0" applyFont="1" applyFill="1" applyBorder="1" applyAlignment="1">
      <alignment vertical="center"/>
    </xf>
    <xf numFmtId="0" fontId="6" fillId="7" borderId="9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2" fontId="0" fillId="0" borderId="88" xfId="0" applyNumberForma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3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48" xfId="0" applyFont="1" applyBorder="1"/>
    <xf numFmtId="0" fontId="11" fillId="0" borderId="39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7" fillId="0" borderId="0" xfId="0" applyFont="1"/>
    <xf numFmtId="0" fontId="11" fillId="0" borderId="58" xfId="0" applyFont="1" applyBorder="1"/>
    <xf numFmtId="0" fontId="7" fillId="0" borderId="59" xfId="0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7" fillId="0" borderId="62" xfId="0" applyFont="1" applyBorder="1" applyAlignment="1">
      <alignment horizont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/>
    </xf>
    <xf numFmtId="0" fontId="7" fillId="0" borderId="63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14" fontId="7" fillId="0" borderId="57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69" xfId="0" applyFont="1" applyFill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77" xfId="0" applyFont="1" applyFill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7" borderId="68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6" borderId="0" xfId="0" applyFont="1" applyFill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31" xfId="0" applyFont="1" applyBorder="1" applyAlignment="1">
      <alignment horizontal="center" vertical="center" wrapText="1"/>
    </xf>
    <xf numFmtId="20" fontId="7" fillId="0" borderId="5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20" fontId="7" fillId="0" borderId="5" xfId="0" applyNumberFormat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vertical="center" wrapText="1"/>
    </xf>
    <xf numFmtId="0" fontId="7" fillId="0" borderId="67" xfId="0" applyFont="1" applyBorder="1" applyAlignment="1">
      <alignment horizontal="center"/>
    </xf>
    <xf numFmtId="0" fontId="7" fillId="0" borderId="41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20" fontId="7" fillId="0" borderId="0" xfId="0" applyNumberFormat="1" applyFont="1"/>
    <xf numFmtId="0" fontId="7" fillId="0" borderId="10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14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6" fontId="7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/>
    </xf>
    <xf numFmtId="20" fontId="7" fillId="0" borderId="87" xfId="0" applyNumberFormat="1" applyFont="1" applyBorder="1" applyAlignment="1">
      <alignment horizontal="center"/>
    </xf>
    <xf numFmtId="0" fontId="7" fillId="0" borderId="88" xfId="0" applyFont="1" applyBorder="1" applyAlignment="1">
      <alignment horizontal="center" vertical="center"/>
    </xf>
    <xf numFmtId="4" fontId="7" fillId="0" borderId="88" xfId="0" applyNumberFormat="1" applyFont="1" applyBorder="1" applyAlignment="1">
      <alignment horizontal="center"/>
    </xf>
    <xf numFmtId="2" fontId="7" fillId="0" borderId="88" xfId="0" applyNumberFormat="1" applyFont="1" applyBorder="1" applyAlignment="1">
      <alignment horizontal="center"/>
    </xf>
    <xf numFmtId="0" fontId="7" fillId="0" borderId="89" xfId="0" applyFont="1" applyBorder="1" applyAlignment="1">
      <alignment horizontal="center" vertical="center"/>
    </xf>
    <xf numFmtId="4" fontId="7" fillId="0" borderId="89" xfId="0" applyNumberFormat="1" applyFont="1" applyBorder="1" applyAlignment="1">
      <alignment horizontal="center"/>
    </xf>
    <xf numFmtId="2" fontId="7" fillId="0" borderId="89" xfId="0" applyNumberFormat="1" applyFont="1" applyBorder="1" applyAlignment="1">
      <alignment horizontal="center"/>
    </xf>
    <xf numFmtId="0" fontId="7" fillId="0" borderId="90" xfId="0" applyFont="1" applyBorder="1" applyAlignment="1">
      <alignment horizontal="center" vertical="center"/>
    </xf>
    <xf numFmtId="4" fontId="7" fillId="0" borderId="90" xfId="0" applyNumberFormat="1" applyFont="1" applyBorder="1" applyAlignment="1">
      <alignment horizontal="center" vertical="center"/>
    </xf>
    <xf numFmtId="0" fontId="7" fillId="0" borderId="91" xfId="0" applyFont="1" applyBorder="1" applyAlignment="1">
      <alignment horizontal="center" vertical="center"/>
    </xf>
    <xf numFmtId="4" fontId="7" fillId="0" borderId="91" xfId="0" applyNumberFormat="1" applyFont="1" applyBorder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9" xfId="0" applyFont="1" applyBorder="1" applyAlignment="1">
      <alignment horizontal="left" vertical="center" wrapText="1"/>
    </xf>
    <xf numFmtId="0" fontId="7" fillId="0" borderId="84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4" fontId="7" fillId="0" borderId="9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8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85" xfId="0" applyFont="1" applyBorder="1" applyAlignment="1">
      <alignment vertical="center"/>
    </xf>
    <xf numFmtId="0" fontId="7" fillId="4" borderId="42" xfId="0" applyFont="1" applyFill="1" applyBorder="1" applyAlignment="1">
      <alignment horizontal="center" vertical="center"/>
    </xf>
    <xf numFmtId="0" fontId="7" fillId="5" borderId="42" xfId="0" applyFont="1" applyFill="1" applyBorder="1" applyAlignment="1">
      <alignment horizontal="center" vertical="center"/>
    </xf>
    <xf numFmtId="0" fontId="7" fillId="0" borderId="96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4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3" fillId="5" borderId="69" xfId="0" applyFont="1" applyFill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13" fillId="5" borderId="77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13" fillId="0" borderId="41" xfId="0" applyFont="1" applyBorder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73" xfId="0" applyFont="1" applyBorder="1" applyAlignment="1">
      <alignment vertical="center"/>
    </xf>
    <xf numFmtId="0" fontId="13" fillId="0" borderId="70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13" fillId="5" borderId="1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/>
    </xf>
    <xf numFmtId="20" fontId="13" fillId="0" borderId="5" xfId="0" applyNumberFormat="1" applyFont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20" fontId="13" fillId="0" borderId="5" xfId="0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13" fillId="0" borderId="30" xfId="0" applyFont="1" applyBorder="1" applyAlignment="1">
      <alignment vertical="center"/>
    </xf>
    <xf numFmtId="0" fontId="13" fillId="0" borderId="85" xfId="0" applyFont="1" applyBorder="1" applyAlignment="1">
      <alignment vertical="center"/>
    </xf>
    <xf numFmtId="0" fontId="13" fillId="0" borderId="85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96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44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97" xfId="0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14" fillId="0" borderId="73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7" fillId="5" borderId="0" xfId="0" applyFont="1" applyFill="1" applyAlignment="1">
      <alignment horizontal="center"/>
    </xf>
    <xf numFmtId="0" fontId="7" fillId="0" borderId="73" xfId="0" applyFont="1" applyBorder="1" applyAlignment="1">
      <alignment horizontal="center" vertical="center" wrapText="1"/>
    </xf>
    <xf numFmtId="2" fontId="7" fillId="0" borderId="0" xfId="0" applyNumberFormat="1" applyFont="1"/>
    <xf numFmtId="0" fontId="7" fillId="0" borderId="74" xfId="0" applyFont="1" applyBorder="1" applyAlignment="1">
      <alignment wrapText="1"/>
    </xf>
    <xf numFmtId="2" fontId="7" fillId="0" borderId="74" xfId="0" applyNumberFormat="1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 wrapText="1"/>
    </xf>
    <xf numFmtId="4" fontId="7" fillId="0" borderId="74" xfId="0" applyNumberFormat="1" applyFont="1" applyBorder="1" applyAlignment="1">
      <alignment horizontal="center"/>
    </xf>
    <xf numFmtId="0" fontId="7" fillId="0" borderId="74" xfId="0" applyFont="1" applyBorder="1"/>
    <xf numFmtId="0" fontId="1" fillId="0" borderId="0" xfId="0" applyFont="1"/>
    <xf numFmtId="0" fontId="1" fillId="0" borderId="74" xfId="0" applyFont="1" applyBorder="1" applyAlignment="1">
      <alignment horizontal="center"/>
    </xf>
    <xf numFmtId="0" fontId="1" fillId="0" borderId="75" xfId="0" applyFont="1" applyBorder="1" applyAlignment="1">
      <alignment horizontal="center"/>
    </xf>
    <xf numFmtId="0" fontId="1" fillId="0" borderId="100" xfId="0" applyFont="1" applyBorder="1" applyAlignment="1">
      <alignment horizontal="center"/>
    </xf>
    <xf numFmtId="0" fontId="1" fillId="0" borderId="101" xfId="0" applyFont="1" applyBorder="1" applyAlignment="1">
      <alignment horizontal="center"/>
    </xf>
    <xf numFmtId="0" fontId="1" fillId="0" borderId="104" xfId="0" applyFont="1" applyBorder="1" applyAlignment="1">
      <alignment horizontal="center"/>
    </xf>
    <xf numFmtId="0" fontId="1" fillId="0" borderId="105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/>
    </xf>
    <xf numFmtId="0" fontId="1" fillId="0" borderId="106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107" xfId="0" applyFont="1" applyBorder="1"/>
    <xf numFmtId="0" fontId="1" fillId="0" borderId="108" xfId="0" applyFont="1" applyBorder="1"/>
    <xf numFmtId="0" fontId="1" fillId="0" borderId="109" xfId="0" applyFont="1" applyBorder="1"/>
    <xf numFmtId="0" fontId="1" fillId="0" borderId="110" xfId="0" applyFont="1" applyBorder="1"/>
    <xf numFmtId="0" fontId="1" fillId="0" borderId="111" xfId="0" applyFont="1" applyBorder="1" applyAlignment="1">
      <alignment horizontal="center"/>
    </xf>
    <xf numFmtId="0" fontId="1" fillId="0" borderId="112" xfId="0" applyFont="1" applyBorder="1"/>
    <xf numFmtId="0" fontId="1" fillId="0" borderId="113" xfId="0" applyFont="1" applyBorder="1"/>
    <xf numFmtId="0" fontId="1" fillId="0" borderId="111" xfId="0" applyFont="1" applyBorder="1"/>
    <xf numFmtId="0" fontId="1" fillId="0" borderId="3" xfId="0" applyFont="1" applyBorder="1"/>
    <xf numFmtId="0" fontId="1" fillId="0" borderId="114" xfId="0" applyFont="1" applyBorder="1" applyAlignment="1">
      <alignment horizontal="center"/>
    </xf>
    <xf numFmtId="0" fontId="1" fillId="0" borderId="31" xfId="0" applyFont="1" applyBorder="1"/>
    <xf numFmtId="0" fontId="1" fillId="0" borderId="115" xfId="0" applyFont="1" applyBorder="1"/>
    <xf numFmtId="0" fontId="1" fillId="0" borderId="112" xfId="0" applyFont="1" applyBorder="1" applyAlignment="1">
      <alignment horizontal="left"/>
    </xf>
    <xf numFmtId="0" fontId="2" fillId="2" borderId="119" xfId="0" applyFont="1" applyFill="1" applyBorder="1"/>
    <xf numFmtId="4" fontId="1" fillId="2" borderId="121" xfId="0" applyNumberFormat="1" applyFont="1" applyFill="1" applyBorder="1"/>
    <xf numFmtId="4" fontId="1" fillId="2" borderId="123" xfId="0" applyNumberFormat="1" applyFont="1" applyFill="1" applyBorder="1"/>
    <xf numFmtId="4" fontId="1" fillId="2" borderId="119" xfId="0" applyNumberFormat="1" applyFont="1" applyFill="1" applyBorder="1"/>
    <xf numFmtId="0" fontId="2" fillId="2" borderId="126" xfId="0" applyFont="1" applyFill="1" applyBorder="1"/>
    <xf numFmtId="4" fontId="1" fillId="2" borderId="99" xfId="0" applyNumberFormat="1" applyFont="1" applyFill="1" applyBorder="1"/>
    <xf numFmtId="4" fontId="1" fillId="2" borderId="1" xfId="0" applyNumberFormat="1" applyFont="1" applyFill="1" applyBorder="1"/>
    <xf numFmtId="4" fontId="1" fillId="2" borderId="127" xfId="0" applyNumberFormat="1" applyFont="1" applyFill="1" applyBorder="1"/>
    <xf numFmtId="0" fontId="2" fillId="3" borderId="118" xfId="0" applyFont="1" applyFill="1" applyBorder="1"/>
    <xf numFmtId="0" fontId="1" fillId="3" borderId="120" xfId="0" applyFont="1" applyFill="1" applyBorder="1"/>
    <xf numFmtId="0" fontId="1" fillId="3" borderId="122" xfId="0" applyFont="1" applyFill="1" applyBorder="1"/>
    <xf numFmtId="0" fontId="1" fillId="3" borderId="118" xfId="0" applyFont="1" applyFill="1" applyBorder="1"/>
    <xf numFmtId="0" fontId="2" fillId="3" borderId="125" xfId="0" applyFont="1" applyFill="1" applyBorder="1"/>
    <xf numFmtId="0" fontId="2" fillId="0" borderId="1" xfId="0" applyFont="1" applyBorder="1"/>
    <xf numFmtId="0" fontId="1" fillId="0" borderId="128" xfId="0" applyFont="1" applyBorder="1"/>
    <xf numFmtId="0" fontId="1" fillId="0" borderId="129" xfId="0" applyFont="1" applyBorder="1"/>
    <xf numFmtId="4" fontId="1" fillId="0" borderId="129" xfId="0" applyNumberFormat="1" applyFont="1" applyBorder="1"/>
    <xf numFmtId="4" fontId="1" fillId="0" borderId="130" xfId="0" applyNumberFormat="1" applyFont="1" applyBorder="1"/>
    <xf numFmtId="0" fontId="1" fillId="0" borderId="112" xfId="0" applyFont="1" applyBorder="1" applyAlignment="1">
      <alignment horizontal="center" vertical="center" wrapText="1"/>
    </xf>
    <xf numFmtId="0" fontId="1" fillId="0" borderId="107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112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100" xfId="0" applyFont="1" applyBorder="1" applyAlignment="1">
      <alignment horizontal="center" vertical="center"/>
    </xf>
    <xf numFmtId="0" fontId="1" fillId="0" borderId="132" xfId="0" applyFont="1" applyBorder="1" applyAlignment="1">
      <alignment horizontal="center"/>
    </xf>
    <xf numFmtId="49" fontId="1" fillId="0" borderId="11" xfId="0" applyNumberFormat="1" applyFont="1" applyBorder="1" applyAlignment="1">
      <alignment horizontal="left" vertical="center" wrapText="1"/>
    </xf>
    <xf numFmtId="49" fontId="1" fillId="0" borderId="111" xfId="0" applyNumberFormat="1" applyFont="1" applyBorder="1" applyAlignment="1">
      <alignment horizontal="left" vertical="center"/>
    </xf>
    <xf numFmtId="49" fontId="1" fillId="0" borderId="136" xfId="0" applyNumberFormat="1" applyFont="1" applyBorder="1" applyAlignment="1">
      <alignment horizontal="left" vertical="center"/>
    </xf>
    <xf numFmtId="49" fontId="1" fillId="0" borderId="137" xfId="0" applyNumberFormat="1" applyFont="1" applyBorder="1" applyAlignment="1">
      <alignment horizontal="left" vertical="center"/>
    </xf>
    <xf numFmtId="49" fontId="1" fillId="0" borderId="112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49" fontId="1" fillId="0" borderId="107" xfId="0" applyNumberFormat="1" applyFont="1" applyBorder="1" applyAlignment="1">
      <alignment horizontal="left" vertical="center"/>
    </xf>
    <xf numFmtId="49" fontId="1" fillId="0" borderId="112" xfId="0" applyNumberFormat="1" applyFont="1" applyBorder="1" applyAlignment="1">
      <alignment horizontal="left" vertical="center" wrapText="1"/>
    </xf>
    <xf numFmtId="49" fontId="1" fillId="0" borderId="107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left" vertical="center" wrapText="1"/>
    </xf>
    <xf numFmtId="49" fontId="1" fillId="0" borderId="113" xfId="0" applyNumberFormat="1" applyFont="1" applyBorder="1" applyAlignment="1">
      <alignment horizontal="left" vertical="center"/>
    </xf>
    <xf numFmtId="49" fontId="1" fillId="0" borderId="109" xfId="0" applyNumberFormat="1" applyFont="1" applyBorder="1" applyAlignment="1">
      <alignment horizontal="left" vertical="center"/>
    </xf>
    <xf numFmtId="49" fontId="1" fillId="0" borderId="110" xfId="0" applyNumberFormat="1" applyFont="1" applyBorder="1" applyAlignment="1">
      <alignment horizontal="left" vertical="center"/>
    </xf>
    <xf numFmtId="49" fontId="1" fillId="0" borderId="138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07" xfId="0" applyFont="1" applyBorder="1" applyAlignment="1">
      <alignment horizontal="left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106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3" fontId="1" fillId="0" borderId="107" xfId="0" applyNumberFormat="1" applyFont="1" applyBorder="1" applyAlignment="1">
      <alignment horizontal="center" vertical="center"/>
    </xf>
    <xf numFmtId="3" fontId="1" fillId="0" borderId="108" xfId="0" applyNumberFormat="1" applyFont="1" applyBorder="1" applyAlignment="1">
      <alignment horizontal="center" vertical="center"/>
    </xf>
    <xf numFmtId="3" fontId="1" fillId="0" borderId="109" xfId="0" applyNumberFormat="1" applyFont="1" applyBorder="1" applyAlignment="1">
      <alignment horizontal="center" vertical="center"/>
    </xf>
    <xf numFmtId="3" fontId="1" fillId="0" borderId="11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1" xfId="0" applyFont="1" applyBorder="1" applyAlignment="1">
      <alignment wrapText="1"/>
    </xf>
    <xf numFmtId="0" fontId="1" fillId="0" borderId="31" xfId="0" applyFont="1" applyBorder="1" applyAlignment="1">
      <alignment vertical="center" wrapText="1"/>
    </xf>
    <xf numFmtId="0" fontId="1" fillId="0" borderId="115" xfId="0" applyFont="1" applyBorder="1" applyAlignment="1">
      <alignment wrapText="1"/>
    </xf>
    <xf numFmtId="0" fontId="1" fillId="0" borderId="114" xfId="0" applyFont="1" applyBorder="1" applyAlignment="1">
      <alignment horizontal="center" wrapText="1"/>
    </xf>
    <xf numFmtId="0" fontId="1" fillId="0" borderId="111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wrapText="1"/>
    </xf>
    <xf numFmtId="0" fontId="1" fillId="0" borderId="44" xfId="0" applyFont="1" applyBorder="1"/>
    <xf numFmtId="0" fontId="1" fillId="0" borderId="139" xfId="0" applyFont="1" applyBorder="1"/>
    <xf numFmtId="49" fontId="1" fillId="0" borderId="31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112" xfId="0" applyFont="1" applyBorder="1" applyAlignment="1">
      <alignment horizontal="center"/>
    </xf>
    <xf numFmtId="0" fontId="1" fillId="0" borderId="107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112" xfId="0" applyFont="1" applyBorder="1" applyAlignment="1">
      <alignment wrapText="1"/>
    </xf>
    <xf numFmtId="0" fontId="1" fillId="0" borderId="106" xfId="0" applyFont="1" applyBorder="1" applyAlignment="1">
      <alignment horizontal="center" vertical="center"/>
    </xf>
    <xf numFmtId="0" fontId="1" fillId="0" borderId="1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 wrapText="1"/>
    </xf>
    <xf numFmtId="49" fontId="1" fillId="0" borderId="107" xfId="0" applyNumberFormat="1" applyFont="1" applyBorder="1" applyAlignment="1">
      <alignment horizontal="center" vertical="center" wrapText="1"/>
    </xf>
    <xf numFmtId="0" fontId="1" fillId="0" borderId="110" xfId="0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113" xfId="0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/>
    </xf>
    <xf numFmtId="0" fontId="1" fillId="5" borderId="100" xfId="0" applyFont="1" applyFill="1" applyBorder="1" applyAlignment="1">
      <alignment horizontal="center" vertical="center"/>
    </xf>
    <xf numFmtId="49" fontId="1" fillId="0" borderId="110" xfId="0" applyNumberFormat="1" applyFont="1" applyBorder="1" applyAlignment="1">
      <alignment horizontal="left" vertical="center" wrapText="1"/>
    </xf>
    <xf numFmtId="0" fontId="1" fillId="0" borderId="110" xfId="0" applyFont="1" applyBorder="1" applyAlignment="1">
      <alignment horizontal="center" vertical="center" wrapText="1"/>
    </xf>
    <xf numFmtId="49" fontId="1" fillId="0" borderId="113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44" xfId="0" applyNumberFormat="1" applyFont="1" applyBorder="1" applyAlignment="1">
      <alignment vertical="center" wrapText="1"/>
    </xf>
    <xf numFmtId="0" fontId="1" fillId="0" borderId="134" xfId="0" applyFont="1" applyBorder="1" applyAlignment="1">
      <alignment horizontal="center"/>
    </xf>
    <xf numFmtId="0" fontId="11" fillId="0" borderId="1" xfId="0" applyFont="1" applyBorder="1"/>
    <xf numFmtId="0" fontId="7" fillId="3" borderId="120" xfId="0" applyFont="1" applyFill="1" applyBorder="1" applyAlignment="1">
      <alignment horizontal="center" vertical="center"/>
    </xf>
    <xf numFmtId="4" fontId="7" fillId="2" borderId="121" xfId="0" applyNumberFormat="1" applyFont="1" applyFill="1" applyBorder="1" applyAlignment="1">
      <alignment horizontal="center" vertical="center"/>
    </xf>
    <xf numFmtId="4" fontId="7" fillId="2" borderId="99" xfId="0" applyNumberFormat="1" applyFont="1" applyFill="1" applyBorder="1" applyAlignment="1">
      <alignment horizontal="center" vertical="center"/>
    </xf>
    <xf numFmtId="0" fontId="7" fillId="3" borderId="122" xfId="0" applyFont="1" applyFill="1" applyBorder="1" applyAlignment="1">
      <alignment horizontal="center" vertical="center"/>
    </xf>
    <xf numFmtId="4" fontId="7" fillId="2" borderId="123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0" fontId="7" fillId="3" borderId="118" xfId="0" applyFont="1" applyFill="1" applyBorder="1" applyAlignment="1">
      <alignment horizontal="center" vertical="center"/>
    </xf>
    <xf numFmtId="4" fontId="7" fillId="2" borderId="119" xfId="0" applyNumberFormat="1" applyFont="1" applyFill="1" applyBorder="1" applyAlignment="1">
      <alignment horizontal="center" vertical="center"/>
    </xf>
    <xf numFmtId="4" fontId="7" fillId="2" borderId="127" xfId="0" applyNumberFormat="1" applyFont="1" applyFill="1" applyBorder="1" applyAlignment="1">
      <alignment horizontal="center" vertical="center"/>
    </xf>
    <xf numFmtId="0" fontId="7" fillId="0" borderId="128" xfId="0" applyFont="1" applyBorder="1"/>
    <xf numFmtId="0" fontId="11" fillId="3" borderId="118" xfId="0" applyFont="1" applyFill="1" applyBorder="1" applyAlignment="1">
      <alignment horizontal="center" vertical="center"/>
    </xf>
    <xf numFmtId="0" fontId="11" fillId="2" borderId="119" xfId="0" applyFont="1" applyFill="1" applyBorder="1" applyAlignment="1">
      <alignment horizontal="center" vertical="center"/>
    </xf>
    <xf numFmtId="0" fontId="11" fillId="3" borderId="125" xfId="0" applyFont="1" applyFill="1" applyBorder="1" applyAlignment="1">
      <alignment horizontal="center" vertical="center"/>
    </xf>
    <xf numFmtId="0" fontId="11" fillId="2" borderId="126" xfId="0" applyFont="1" applyFill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4" fontId="7" fillId="0" borderId="129" xfId="0" applyNumberFormat="1" applyFont="1" applyBorder="1" applyAlignment="1">
      <alignment horizontal="center" vertical="center"/>
    </xf>
    <xf numFmtId="4" fontId="7" fillId="0" borderId="130" xfId="0" applyNumberFormat="1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 wrapText="1"/>
    </xf>
    <xf numFmtId="49" fontId="1" fillId="0" borderId="140" xfId="0" applyNumberFormat="1" applyFont="1" applyBorder="1" applyAlignment="1">
      <alignment vertical="center" wrapText="1"/>
    </xf>
    <xf numFmtId="49" fontId="1" fillId="0" borderId="141" xfId="0" applyNumberFormat="1" applyFont="1" applyBorder="1" applyAlignment="1">
      <alignment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49" fontId="1" fillId="0" borderId="112" xfId="0" applyNumberFormat="1" applyFont="1" applyBorder="1" applyAlignment="1">
      <alignment horizontal="center" vertical="center" wrapText="1"/>
    </xf>
    <xf numFmtId="49" fontId="1" fillId="0" borderId="112" xfId="0" applyNumberFormat="1" applyFont="1" applyBorder="1" applyAlignment="1">
      <alignment horizontal="center" vertical="center"/>
    </xf>
    <xf numFmtId="49" fontId="1" fillId="0" borderId="137" xfId="0" applyNumberFormat="1" applyFont="1" applyBorder="1" applyAlignment="1">
      <alignment horizontal="center" vertical="center"/>
    </xf>
    <xf numFmtId="49" fontId="1" fillId="0" borderId="107" xfId="0" applyNumberFormat="1" applyFont="1" applyBorder="1" applyAlignment="1">
      <alignment horizontal="center" vertical="center"/>
    </xf>
    <xf numFmtId="49" fontId="1" fillId="0" borderId="145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/>
    </xf>
    <xf numFmtId="49" fontId="1" fillId="0" borderId="147" xfId="0" applyNumberFormat="1" applyFont="1" applyBorder="1" applyAlignment="1">
      <alignment horizontal="center" vertical="center" wrapText="1"/>
    </xf>
    <xf numFmtId="49" fontId="1" fillId="0" borderId="72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146" xfId="0" applyNumberFormat="1" applyFont="1" applyBorder="1" applyAlignment="1">
      <alignment horizontal="center" vertical="center" wrapText="1"/>
    </xf>
    <xf numFmtId="49" fontId="1" fillId="0" borderId="143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0" fontId="1" fillId="0" borderId="148" xfId="0" applyFont="1" applyBorder="1" applyAlignment="1">
      <alignment horizontal="center" vertical="center" wrapText="1"/>
    </xf>
    <xf numFmtId="0" fontId="1" fillId="0" borderId="14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0" xfId="0" applyFont="1" applyBorder="1" applyAlignment="1">
      <alignment horizontal="center" vertical="center" wrapText="1"/>
    </xf>
    <xf numFmtId="0" fontId="1" fillId="0" borderId="150" xfId="0" applyFont="1" applyBorder="1" applyAlignment="1">
      <alignment horizontal="center" vertical="center"/>
    </xf>
    <xf numFmtId="0" fontId="1" fillId="0" borderId="141" xfId="0" applyFont="1" applyBorder="1" applyAlignment="1">
      <alignment horizontal="center" vertical="center" wrapText="1"/>
    </xf>
    <xf numFmtId="0" fontId="1" fillId="0" borderId="140" xfId="0" applyFont="1" applyBorder="1" applyAlignment="1">
      <alignment horizontal="center" vertical="center"/>
    </xf>
    <xf numFmtId="0" fontId="1" fillId="0" borderId="146" xfId="0" applyFont="1" applyBorder="1" applyAlignment="1">
      <alignment vertical="center" wrapText="1"/>
    </xf>
    <xf numFmtId="0" fontId="1" fillId="0" borderId="72" xfId="0" applyFont="1" applyBorder="1" applyAlignment="1">
      <alignment vertical="center" wrapText="1"/>
    </xf>
    <xf numFmtId="49" fontId="1" fillId="0" borderId="151" xfId="0" applyNumberFormat="1" applyFont="1" applyBorder="1" applyAlignment="1">
      <alignment vertical="center" wrapText="1"/>
    </xf>
    <xf numFmtId="3" fontId="1" fillId="0" borderId="152" xfId="0" applyNumberFormat="1" applyFont="1" applyBorder="1" applyAlignment="1">
      <alignment horizontal="center" vertical="center"/>
    </xf>
    <xf numFmtId="3" fontId="1" fillId="0" borderId="153" xfId="0" applyNumberFormat="1" applyFont="1" applyBorder="1" applyAlignment="1">
      <alignment horizontal="center" vertical="center"/>
    </xf>
    <xf numFmtId="3" fontId="1" fillId="0" borderId="151" xfId="0" applyNumberFormat="1" applyFont="1" applyBorder="1" applyAlignment="1">
      <alignment horizontal="center" vertical="center"/>
    </xf>
    <xf numFmtId="49" fontId="1" fillId="0" borderId="153" xfId="0" applyNumberFormat="1" applyFont="1" applyBorder="1" applyAlignment="1">
      <alignment horizontal="center" vertical="center"/>
    </xf>
    <xf numFmtId="49" fontId="1" fillId="0" borderId="15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55" xfId="0" applyNumberFormat="1" applyFont="1" applyBorder="1" applyAlignment="1">
      <alignment horizontal="center" vertical="center" wrapText="1"/>
    </xf>
    <xf numFmtId="49" fontId="1" fillId="0" borderId="156" xfId="0" applyNumberFormat="1" applyFont="1" applyBorder="1" applyAlignment="1">
      <alignment vertical="center" wrapText="1"/>
    </xf>
    <xf numFmtId="0" fontId="1" fillId="0" borderId="157" xfId="0" applyFont="1" applyBorder="1" applyAlignment="1">
      <alignment horizontal="center" vertical="center"/>
    </xf>
    <xf numFmtId="0" fontId="1" fillId="0" borderId="158" xfId="0" applyFont="1" applyBorder="1" applyAlignment="1">
      <alignment horizontal="center" vertical="center"/>
    </xf>
    <xf numFmtId="49" fontId="1" fillId="0" borderId="156" xfId="0" applyNumberFormat="1" applyFont="1" applyBorder="1" applyAlignment="1">
      <alignment horizontal="center" vertical="center" wrapText="1"/>
    </xf>
    <xf numFmtId="49" fontId="1" fillId="0" borderId="145" xfId="0" applyNumberFormat="1" applyFont="1" applyBorder="1" applyAlignment="1">
      <alignment horizontal="center" vertical="center"/>
    </xf>
    <xf numFmtId="49" fontId="1" fillId="0" borderId="151" xfId="0" applyNumberFormat="1" applyFont="1" applyBorder="1" applyAlignment="1">
      <alignment horizontal="center" vertical="center" wrapText="1"/>
    </xf>
    <xf numFmtId="0" fontId="1" fillId="0" borderId="159" xfId="0" applyFont="1" applyBorder="1" applyAlignment="1">
      <alignment horizontal="center" vertical="center"/>
    </xf>
    <xf numFmtId="0" fontId="1" fillId="0" borderId="160" xfId="0" applyFont="1" applyBorder="1" applyAlignment="1">
      <alignment horizontal="center" vertical="center"/>
    </xf>
    <xf numFmtId="0" fontId="1" fillId="0" borderId="161" xfId="0" applyFont="1" applyBorder="1" applyAlignment="1">
      <alignment horizontal="center" vertical="center"/>
    </xf>
    <xf numFmtId="0" fontId="1" fillId="0" borderId="162" xfId="0" applyFont="1" applyBorder="1" applyAlignment="1">
      <alignment horizontal="center" vertical="center"/>
    </xf>
    <xf numFmtId="0" fontId="1" fillId="0" borderId="163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153" xfId="0" applyFont="1" applyBorder="1" applyAlignment="1">
      <alignment horizontal="center" vertical="center" wrapText="1"/>
    </xf>
    <xf numFmtId="49" fontId="1" fillId="0" borderId="164" xfId="0" applyNumberFormat="1" applyFont="1" applyBorder="1" applyAlignment="1">
      <alignment horizontal="center" vertical="center" wrapText="1"/>
    </xf>
    <xf numFmtId="0" fontId="1" fillId="0" borderId="164" xfId="0" applyFont="1" applyBorder="1" applyAlignment="1">
      <alignment horizontal="center" vertical="center"/>
    </xf>
    <xf numFmtId="0" fontId="1" fillId="0" borderId="147" xfId="0" applyFont="1" applyBorder="1" applyAlignment="1">
      <alignment horizontal="center" vertical="center"/>
    </xf>
    <xf numFmtId="3" fontId="1" fillId="0" borderId="157" xfId="0" applyNumberFormat="1" applyFont="1" applyBorder="1" applyAlignment="1">
      <alignment horizontal="center" vertical="center"/>
    </xf>
    <xf numFmtId="3" fontId="1" fillId="0" borderId="158" xfId="0" applyNumberFormat="1" applyFont="1" applyBorder="1" applyAlignment="1">
      <alignment horizontal="center" vertical="center"/>
    </xf>
    <xf numFmtId="3" fontId="1" fillId="0" borderId="156" xfId="0" applyNumberFormat="1" applyFont="1" applyBorder="1" applyAlignment="1">
      <alignment horizontal="center" vertical="center"/>
    </xf>
    <xf numFmtId="49" fontId="1" fillId="0" borderId="157" xfId="0" applyNumberFormat="1" applyFont="1" applyBorder="1" applyAlignment="1">
      <alignment horizontal="center" vertical="center" wrapText="1"/>
    </xf>
    <xf numFmtId="49" fontId="1" fillId="0" borderId="158" xfId="0" applyNumberFormat="1" applyFont="1" applyBorder="1" applyAlignment="1">
      <alignment horizontal="center" vertical="center"/>
    </xf>
    <xf numFmtId="49" fontId="1" fillId="0" borderId="165" xfId="0" applyNumberFormat="1" applyFont="1" applyBorder="1" applyAlignment="1">
      <alignment horizontal="center" vertical="center"/>
    </xf>
    <xf numFmtId="49" fontId="1" fillId="0" borderId="166" xfId="0" applyNumberFormat="1" applyFont="1" applyBorder="1" applyAlignment="1">
      <alignment horizontal="center" vertical="center" wrapText="1"/>
    </xf>
    <xf numFmtId="49" fontId="1" fillId="0" borderId="140" xfId="0" applyNumberFormat="1" applyFont="1" applyBorder="1" applyAlignment="1">
      <alignment horizontal="center" vertical="center" wrapText="1"/>
    </xf>
    <xf numFmtId="3" fontId="1" fillId="0" borderId="96" xfId="0" applyNumberFormat="1" applyFont="1" applyBorder="1" applyAlignment="1">
      <alignment horizontal="center" vertical="center"/>
    </xf>
    <xf numFmtId="3" fontId="1" fillId="0" borderId="44" xfId="0" applyNumberFormat="1" applyFont="1" applyBorder="1" applyAlignment="1">
      <alignment horizontal="center" vertical="center"/>
    </xf>
    <xf numFmtId="3" fontId="1" fillId="0" borderId="142" xfId="0" applyNumberFormat="1" applyFont="1" applyBorder="1" applyAlignment="1">
      <alignment horizontal="center" vertical="center"/>
    </xf>
    <xf numFmtId="49" fontId="1" fillId="0" borderId="40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167" xfId="0" applyFont="1" applyBorder="1" applyAlignment="1">
      <alignment horizontal="center" vertical="center"/>
    </xf>
    <xf numFmtId="0" fontId="1" fillId="0" borderId="142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 wrapText="1"/>
    </xf>
    <xf numFmtId="49" fontId="1" fillId="0" borderId="74" xfId="0" applyNumberFormat="1" applyFont="1" applyBorder="1" applyAlignment="1">
      <alignment vertical="center" wrapText="1"/>
    </xf>
    <xf numFmtId="49" fontId="1" fillId="0" borderId="142" xfId="0" applyNumberFormat="1" applyFont="1" applyBorder="1" applyAlignment="1">
      <alignment vertical="center" wrapText="1"/>
    </xf>
    <xf numFmtId="49" fontId="1" fillId="0" borderId="168" xfId="0" applyNumberFormat="1" applyFont="1" applyBorder="1" applyAlignment="1">
      <alignment vertical="center" wrapText="1"/>
    </xf>
    <xf numFmtId="49" fontId="1" fillId="0" borderId="143" xfId="0" applyNumberFormat="1" applyFont="1" applyBorder="1" applyAlignment="1">
      <alignment vertical="center" wrapText="1"/>
    </xf>
    <xf numFmtId="3" fontId="1" fillId="0" borderId="10" xfId="0" applyNumberFormat="1" applyFont="1" applyBorder="1" applyAlignment="1">
      <alignment vertical="center"/>
    </xf>
    <xf numFmtId="3" fontId="1" fillId="0" borderId="0" xfId="0" applyNumberFormat="1" applyFont="1" applyAlignment="1">
      <alignment horizontal="center"/>
    </xf>
    <xf numFmtId="3" fontId="1" fillId="0" borderId="11" xfId="0" applyNumberFormat="1" applyFont="1" applyBorder="1" applyAlignment="1">
      <alignment horizontal="center" vertical="center"/>
    </xf>
    <xf numFmtId="0" fontId="2" fillId="0" borderId="107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14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3" fontId="1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171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 wrapText="1"/>
    </xf>
    <xf numFmtId="4" fontId="7" fillId="2" borderId="173" xfId="0" applyNumberFormat="1" applyFont="1" applyFill="1" applyBorder="1" applyAlignment="1">
      <alignment horizontal="center" vertical="center"/>
    </xf>
    <xf numFmtId="0" fontId="7" fillId="3" borderId="172" xfId="0" applyFont="1" applyFill="1" applyBorder="1" applyAlignment="1">
      <alignment horizontal="center" vertical="center"/>
    </xf>
    <xf numFmtId="4" fontId="7" fillId="2" borderId="17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7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49" fontId="1" fillId="0" borderId="40" xfId="0" applyNumberFormat="1" applyFont="1" applyBorder="1" applyAlignment="1">
      <alignment horizontal="center" vertical="center"/>
    </xf>
    <xf numFmtId="0" fontId="1" fillId="0" borderId="16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47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01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134" xfId="0" applyFont="1" applyBorder="1" applyAlignment="1">
      <alignment horizontal="center" vertical="center"/>
    </xf>
    <xf numFmtId="0" fontId="8" fillId="0" borderId="100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0" fontId="1" fillId="0" borderId="159" xfId="0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2" fontId="1" fillId="0" borderId="0" xfId="0" applyNumberFormat="1" applyFont="1"/>
    <xf numFmtId="0" fontId="1" fillId="0" borderId="44" xfId="0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 wrapText="1"/>
    </xf>
    <xf numFmtId="49" fontId="1" fillId="0" borderId="144" xfId="0" applyNumberFormat="1" applyFont="1" applyBorder="1" applyAlignment="1">
      <alignment vertical="center" wrapText="1"/>
    </xf>
    <xf numFmtId="49" fontId="1" fillId="0" borderId="30" xfId="0" applyNumberFormat="1" applyFont="1" applyBorder="1" applyAlignment="1">
      <alignment vertical="center" wrapText="1"/>
    </xf>
    <xf numFmtId="49" fontId="1" fillId="0" borderId="31" xfId="0" applyNumberFormat="1" applyFont="1" applyBorder="1" applyAlignment="1">
      <alignment vertical="center" wrapText="1"/>
    </xf>
    <xf numFmtId="49" fontId="1" fillId="0" borderId="144" xfId="0" applyNumberFormat="1" applyFont="1" applyBorder="1" applyAlignment="1">
      <alignment vertical="center"/>
    </xf>
    <xf numFmtId="49" fontId="1" fillId="0" borderId="30" xfId="0" applyNumberFormat="1" applyFont="1" applyBorder="1" applyAlignment="1">
      <alignment vertical="center"/>
    </xf>
    <xf numFmtId="49" fontId="1" fillId="0" borderId="31" xfId="0" applyNumberFormat="1" applyFont="1" applyBorder="1" applyAlignment="1">
      <alignment vertical="center"/>
    </xf>
    <xf numFmtId="49" fontId="1" fillId="0" borderId="144" xfId="0" applyNumberFormat="1" applyFont="1" applyBorder="1" applyAlignment="1">
      <alignment horizontal="center" vertical="center"/>
    </xf>
    <xf numFmtId="3" fontId="1" fillId="0" borderId="107" xfId="0" applyNumberFormat="1" applyFont="1" applyBorder="1" applyAlignment="1">
      <alignment horizontal="center" vertical="center" wrapText="1"/>
    </xf>
    <xf numFmtId="49" fontId="1" fillId="0" borderId="144" xfId="0" applyNumberFormat="1" applyFont="1" applyBorder="1" applyAlignment="1">
      <alignment horizontal="center" vertical="center" wrapText="1"/>
    </xf>
    <xf numFmtId="0" fontId="7" fillId="0" borderId="104" xfId="0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106" xfId="0" applyNumberFormat="1" applyFont="1" applyBorder="1" applyAlignment="1">
      <alignment horizontal="center" vertical="center"/>
    </xf>
    <xf numFmtId="49" fontId="7" fillId="0" borderId="112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137" xfId="0" applyNumberFormat="1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/>
    </xf>
    <xf numFmtId="0" fontId="7" fillId="0" borderId="150" xfId="0" applyFont="1" applyBorder="1" applyAlignment="1">
      <alignment horizontal="center" vertical="center" wrapText="1"/>
    </xf>
    <xf numFmtId="0" fontId="7" fillId="0" borderId="107" xfId="0" applyFont="1" applyBorder="1" applyAlignment="1">
      <alignment horizontal="center" vertical="center"/>
    </xf>
    <xf numFmtId="0" fontId="7" fillId="0" borderId="16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00" xfId="0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3" fontId="7" fillId="0" borderId="107" xfId="0" applyNumberFormat="1" applyFont="1" applyBorder="1" applyAlignment="1">
      <alignment horizontal="center" vertical="center"/>
    </xf>
    <xf numFmtId="49" fontId="7" fillId="0" borderId="112" xfId="0" applyNumberFormat="1" applyFont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center" vertical="center" wrapText="1"/>
    </xf>
    <xf numFmtId="49" fontId="7" fillId="0" borderId="107" xfId="0" applyNumberFormat="1" applyFont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0" fontId="7" fillId="0" borderId="16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63" xfId="0" applyFont="1" applyBorder="1" applyAlignment="1">
      <alignment horizontal="center" vertical="center"/>
    </xf>
    <xf numFmtId="0" fontId="7" fillId="0" borderId="159" xfId="0" applyFont="1" applyBorder="1" applyAlignment="1">
      <alignment horizontal="center" vertical="center" wrapText="1"/>
    </xf>
    <xf numFmtId="0" fontId="7" fillId="0" borderId="107" xfId="0" applyFont="1" applyBorder="1" applyAlignment="1">
      <alignment horizontal="center" vertical="center" wrapText="1"/>
    </xf>
    <xf numFmtId="49" fontId="7" fillId="0" borderId="107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49" fontId="7" fillId="0" borderId="144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144" xfId="0" applyNumberFormat="1" applyFont="1" applyBorder="1" applyAlignment="1">
      <alignment vertical="center" wrapText="1"/>
    </xf>
    <xf numFmtId="49" fontId="7" fillId="0" borderId="144" xfId="0" applyNumberFormat="1" applyFont="1" applyBorder="1" applyAlignment="1">
      <alignment vertical="center"/>
    </xf>
    <xf numFmtId="49" fontId="7" fillId="0" borderId="31" xfId="0" applyNumberFormat="1" applyFont="1" applyBorder="1" applyAlignment="1">
      <alignment vertical="center"/>
    </xf>
    <xf numFmtId="49" fontId="7" fillId="0" borderId="31" xfId="0" applyNumberFormat="1" applyFont="1" applyBorder="1" applyAlignment="1">
      <alignment horizontal="center" vertical="center"/>
    </xf>
    <xf numFmtId="49" fontId="7" fillId="0" borderId="144" xfId="0" applyNumberFormat="1" applyFont="1" applyBorder="1" applyAlignment="1">
      <alignment horizontal="center" vertical="center"/>
    </xf>
    <xf numFmtId="0" fontId="7" fillId="5" borderId="100" xfId="0" applyFont="1" applyFill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0" fontId="7" fillId="0" borderId="112" xfId="0" applyFont="1" applyBorder="1" applyAlignment="1">
      <alignment horizontal="center" vertical="center" wrapText="1"/>
    </xf>
    <xf numFmtId="49" fontId="7" fillId="0" borderId="145" xfId="0" applyNumberFormat="1" applyFont="1" applyBorder="1" applyAlignment="1">
      <alignment horizontal="center" vertical="center" wrapText="1"/>
    </xf>
    <xf numFmtId="3" fontId="7" fillId="0" borderId="107" xfId="0" applyNumberFormat="1" applyFont="1" applyBorder="1" applyAlignment="1">
      <alignment horizontal="center" vertical="center" wrapText="1"/>
    </xf>
    <xf numFmtId="49" fontId="7" fillId="0" borderId="141" xfId="0" applyNumberFormat="1" applyFont="1" applyBorder="1" applyAlignment="1">
      <alignment horizontal="center" vertical="center" wrapText="1"/>
    </xf>
    <xf numFmtId="49" fontId="7" fillId="0" borderId="44" xfId="0" applyNumberFormat="1" applyFont="1" applyBorder="1" applyAlignment="1">
      <alignment horizontal="center" vertical="center" wrapText="1"/>
    </xf>
    <xf numFmtId="0" fontId="11" fillId="0" borderId="107" xfId="0" applyFont="1" applyBorder="1" applyAlignment="1">
      <alignment horizontal="center" vertical="center"/>
    </xf>
    <xf numFmtId="0" fontId="7" fillId="0" borderId="131" xfId="0" applyFont="1" applyBorder="1" applyAlignment="1">
      <alignment horizontal="center" vertical="center"/>
    </xf>
    <xf numFmtId="3" fontId="7" fillId="0" borderId="96" xfId="0" applyNumberFormat="1" applyFont="1" applyBorder="1" applyAlignment="1">
      <alignment horizontal="center" vertical="center"/>
    </xf>
    <xf numFmtId="3" fontId="7" fillId="0" borderId="44" xfId="0" applyNumberFormat="1" applyFont="1" applyBorder="1" applyAlignment="1">
      <alignment horizontal="center" vertical="center"/>
    </xf>
    <xf numFmtId="3" fontId="7" fillId="0" borderId="142" xfId="0" applyNumberFormat="1" applyFont="1" applyBorder="1" applyAlignment="1">
      <alignment horizontal="center" vertical="center"/>
    </xf>
    <xf numFmtId="0" fontId="7" fillId="0" borderId="167" xfId="0" applyFont="1" applyBorder="1" applyAlignment="1">
      <alignment horizontal="center" vertical="center"/>
    </xf>
    <xf numFmtId="0" fontId="7" fillId="0" borderId="142" xfId="0" applyFont="1" applyBorder="1" applyAlignment="1">
      <alignment horizontal="center" vertical="center"/>
    </xf>
    <xf numFmtId="49" fontId="7" fillId="0" borderId="140" xfId="0" applyNumberFormat="1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3" fontId="7" fillId="0" borderId="152" xfId="0" applyNumberFormat="1" applyFont="1" applyBorder="1" applyAlignment="1">
      <alignment horizontal="center" vertical="center"/>
    </xf>
    <xf numFmtId="3" fontId="7" fillId="0" borderId="153" xfId="0" applyNumberFormat="1" applyFont="1" applyBorder="1" applyAlignment="1">
      <alignment horizontal="center" vertical="center"/>
    </xf>
    <xf numFmtId="3" fontId="7" fillId="0" borderId="151" xfId="0" applyNumberFormat="1" applyFont="1" applyBorder="1" applyAlignment="1">
      <alignment horizontal="center" vertical="center"/>
    </xf>
    <xf numFmtId="49" fontId="7" fillId="0" borderId="145" xfId="0" applyNumberFormat="1" applyFont="1" applyBorder="1" applyAlignment="1">
      <alignment horizontal="center" vertical="center"/>
    </xf>
    <xf numFmtId="49" fontId="7" fillId="0" borderId="153" xfId="0" applyNumberFormat="1" applyFont="1" applyBorder="1" applyAlignment="1">
      <alignment horizontal="center" vertical="center"/>
    </xf>
    <xf numFmtId="49" fontId="7" fillId="0" borderId="151" xfId="0" applyNumberFormat="1" applyFont="1" applyBorder="1" applyAlignment="1">
      <alignment horizontal="center" vertical="center" wrapText="1"/>
    </xf>
    <xf numFmtId="49" fontId="7" fillId="0" borderId="142" xfId="0" applyNumberFormat="1" applyFont="1" applyBorder="1" applyAlignment="1">
      <alignment horizontal="center" vertical="center" wrapText="1"/>
    </xf>
    <xf numFmtId="49" fontId="7" fillId="0" borderId="151" xfId="0" applyNumberFormat="1" applyFont="1" applyBorder="1" applyAlignment="1">
      <alignment vertical="center" wrapText="1"/>
    </xf>
    <xf numFmtId="3" fontId="7" fillId="0" borderId="157" xfId="0" applyNumberFormat="1" applyFont="1" applyBorder="1" applyAlignment="1">
      <alignment horizontal="center" vertical="center"/>
    </xf>
    <xf numFmtId="3" fontId="7" fillId="0" borderId="158" xfId="0" applyNumberFormat="1" applyFont="1" applyBorder="1" applyAlignment="1">
      <alignment horizontal="center" vertical="center"/>
    </xf>
    <xf numFmtId="3" fontId="7" fillId="0" borderId="156" xfId="0" applyNumberFormat="1" applyFont="1" applyBorder="1" applyAlignment="1">
      <alignment horizontal="center" vertical="center"/>
    </xf>
    <xf numFmtId="49" fontId="7" fillId="0" borderId="157" xfId="0" applyNumberFormat="1" applyFont="1" applyBorder="1" applyAlignment="1">
      <alignment horizontal="center" vertical="center" wrapText="1"/>
    </xf>
    <xf numFmtId="49" fontId="7" fillId="0" borderId="158" xfId="0" applyNumberFormat="1" applyFont="1" applyBorder="1" applyAlignment="1">
      <alignment horizontal="center" vertical="center"/>
    </xf>
    <xf numFmtId="49" fontId="7" fillId="0" borderId="165" xfId="0" applyNumberFormat="1" applyFont="1" applyBorder="1" applyAlignment="1">
      <alignment horizontal="center" vertical="center"/>
    </xf>
    <xf numFmtId="49" fontId="7" fillId="0" borderId="166" xfId="0" applyNumberFormat="1" applyFont="1" applyBorder="1" applyAlignment="1">
      <alignment horizontal="center" vertical="center" wrapText="1"/>
    </xf>
    <xf numFmtId="0" fontId="7" fillId="0" borderId="113" xfId="0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7" fillId="0" borderId="157" xfId="0" applyFont="1" applyBorder="1" applyAlignment="1">
      <alignment horizontal="center" vertical="center"/>
    </xf>
    <xf numFmtId="0" fontId="7" fillId="0" borderId="158" xfId="0" applyFont="1" applyBorder="1" applyAlignment="1">
      <alignment horizontal="center" vertical="center"/>
    </xf>
    <xf numFmtId="49" fontId="7" fillId="0" borderId="156" xfId="0" applyNumberFormat="1" applyFont="1" applyBorder="1" applyAlignment="1">
      <alignment horizontal="center" vertical="center" wrapText="1"/>
    </xf>
    <xf numFmtId="0" fontId="7" fillId="0" borderId="115" xfId="0" applyFont="1" applyBorder="1" applyAlignment="1">
      <alignment horizontal="center" vertical="center"/>
    </xf>
    <xf numFmtId="49" fontId="7" fillId="0" borderId="155" xfId="0" applyNumberFormat="1" applyFont="1" applyBorder="1" applyAlignment="1">
      <alignment horizontal="center" vertical="center" wrapText="1"/>
    </xf>
    <xf numFmtId="49" fontId="7" fillId="0" borderId="156" xfId="0" applyNumberFormat="1" applyFont="1" applyBorder="1" applyAlignment="1">
      <alignment vertical="center" wrapText="1"/>
    </xf>
    <xf numFmtId="3" fontId="7" fillId="0" borderId="0" xfId="0" applyNumberFormat="1" applyFont="1" applyAlignment="1">
      <alignment horizontal="center"/>
    </xf>
    <xf numFmtId="0" fontId="7" fillId="0" borderId="144" xfId="0" applyFont="1" applyBorder="1" applyAlignment="1">
      <alignment horizontal="center" vertical="center" wrapText="1"/>
    </xf>
    <xf numFmtId="0" fontId="7" fillId="0" borderId="103" xfId="0" applyFont="1" applyBorder="1" applyAlignment="1">
      <alignment horizontal="center" vertical="center"/>
    </xf>
    <xf numFmtId="49" fontId="7" fillId="0" borderId="176" xfId="0" applyNumberFormat="1" applyFont="1" applyBorder="1" applyAlignment="1">
      <alignment vertical="center" wrapText="1"/>
    </xf>
    <xf numFmtId="3" fontId="7" fillId="0" borderId="177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3" fontId="7" fillId="0" borderId="73" xfId="0" applyNumberFormat="1" applyFont="1" applyBorder="1" applyAlignment="1">
      <alignment horizontal="center" vertical="center"/>
    </xf>
    <xf numFmtId="49" fontId="17" fillId="0" borderId="44" xfId="0" applyNumberFormat="1" applyFont="1" applyBorder="1" applyAlignment="1">
      <alignment horizontal="center" vertical="center" wrapText="1"/>
    </xf>
    <xf numFmtId="0" fontId="7" fillId="0" borderId="140" xfId="0" applyFont="1" applyBorder="1" applyAlignment="1">
      <alignment horizontal="center" vertical="center"/>
    </xf>
    <xf numFmtId="49" fontId="7" fillId="0" borderId="140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3" fontId="7" fillId="0" borderId="143" xfId="0" applyNumberFormat="1" applyFont="1" applyBorder="1" applyAlignment="1">
      <alignment horizontal="center" vertical="center"/>
    </xf>
    <xf numFmtId="49" fontId="7" fillId="0" borderId="141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 wrapText="1"/>
    </xf>
    <xf numFmtId="49" fontId="7" fillId="0" borderId="143" xfId="0" applyNumberFormat="1" applyFont="1" applyBorder="1" applyAlignment="1">
      <alignment horizontal="center" vertical="center" wrapText="1"/>
    </xf>
    <xf numFmtId="0" fontId="7" fillId="0" borderId="141" xfId="0" applyFont="1" applyBorder="1" applyAlignment="1">
      <alignment horizontal="center" vertical="center"/>
    </xf>
    <xf numFmtId="3" fontId="7" fillId="0" borderId="179" xfId="0" applyNumberFormat="1" applyFont="1" applyBorder="1" applyAlignment="1">
      <alignment horizontal="center" vertical="center"/>
    </xf>
    <xf numFmtId="49" fontId="7" fillId="0" borderId="180" xfId="0" applyNumberFormat="1" applyFont="1" applyBorder="1" applyAlignment="1">
      <alignment vertical="center"/>
    </xf>
    <xf numFmtId="49" fontId="7" fillId="0" borderId="181" xfId="0" applyNumberFormat="1" applyFont="1" applyBorder="1" applyAlignment="1">
      <alignment vertical="center" wrapText="1"/>
    </xf>
    <xf numFmtId="49" fontId="7" fillId="0" borderId="182" xfId="0" applyNumberFormat="1" applyFont="1" applyBorder="1" applyAlignment="1">
      <alignment vertical="center"/>
    </xf>
    <xf numFmtId="49" fontId="7" fillId="0" borderId="179" xfId="0" applyNumberFormat="1" applyFont="1" applyBorder="1" applyAlignment="1">
      <alignment horizontal="center" vertical="center" wrapText="1"/>
    </xf>
    <xf numFmtId="0" fontId="7" fillId="0" borderId="181" xfId="0" applyFont="1" applyBorder="1" applyAlignment="1">
      <alignment horizontal="center" vertical="center"/>
    </xf>
    <xf numFmtId="0" fontId="7" fillId="0" borderId="183" xfId="0" applyFont="1" applyBorder="1" applyAlignment="1">
      <alignment horizontal="center" vertical="center"/>
    </xf>
    <xf numFmtId="0" fontId="7" fillId="0" borderId="184" xfId="0" applyFont="1" applyBorder="1" applyAlignment="1">
      <alignment horizontal="center" vertical="center"/>
    </xf>
    <xf numFmtId="49" fontId="7" fillId="0" borderId="185" xfId="0" applyNumberFormat="1" applyFont="1" applyBorder="1" applyAlignment="1">
      <alignment vertical="center" wrapText="1"/>
    </xf>
    <xf numFmtId="3" fontId="7" fillId="0" borderId="182" xfId="0" applyNumberFormat="1" applyFont="1" applyBorder="1" applyAlignment="1">
      <alignment horizontal="center" vertical="center"/>
    </xf>
    <xf numFmtId="3" fontId="7" fillId="0" borderId="97" xfId="0" applyNumberFormat="1" applyFont="1" applyBorder="1" applyAlignment="1">
      <alignment horizontal="center" vertical="center"/>
    </xf>
    <xf numFmtId="3" fontId="7" fillId="0" borderId="178" xfId="0" applyNumberFormat="1" applyFont="1" applyBorder="1" applyAlignment="1">
      <alignment horizontal="center" vertical="center"/>
    </xf>
    <xf numFmtId="3" fontId="7" fillId="0" borderId="186" xfId="0" applyNumberFormat="1" applyFont="1" applyBorder="1" applyAlignment="1">
      <alignment horizontal="center" vertical="center"/>
    </xf>
    <xf numFmtId="3" fontId="7" fillId="0" borderId="31" xfId="0" applyNumberFormat="1" applyFont="1" applyBorder="1" applyAlignment="1">
      <alignment horizontal="center" vertical="center"/>
    </xf>
    <xf numFmtId="3" fontId="7" fillId="0" borderId="187" xfId="0" applyNumberFormat="1" applyFont="1" applyBorder="1" applyAlignment="1">
      <alignment horizontal="center" vertical="center"/>
    </xf>
    <xf numFmtId="3" fontId="7" fillId="0" borderId="188" xfId="0" applyNumberFormat="1" applyFont="1" applyBorder="1" applyAlignment="1">
      <alignment horizontal="center" vertical="center"/>
    </xf>
    <xf numFmtId="3" fontId="7" fillId="0" borderId="189" xfId="0" applyNumberFormat="1" applyFont="1" applyBorder="1" applyAlignment="1">
      <alignment horizontal="center" vertical="center"/>
    </xf>
    <xf numFmtId="49" fontId="7" fillId="0" borderId="176" xfId="0" applyNumberFormat="1" applyFont="1" applyBorder="1" applyAlignment="1">
      <alignment horizontal="center" vertical="center" wrapText="1"/>
    </xf>
    <xf numFmtId="3" fontId="7" fillId="0" borderId="190" xfId="0" applyNumberFormat="1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 wrapText="1"/>
    </xf>
    <xf numFmtId="49" fontId="7" fillId="0" borderId="177" xfId="0" applyNumberFormat="1" applyFont="1" applyBorder="1" applyAlignment="1">
      <alignment horizontal="center" vertical="center" wrapText="1"/>
    </xf>
    <xf numFmtId="0" fontId="7" fillId="0" borderId="176" xfId="0" applyFont="1" applyBorder="1" applyAlignment="1">
      <alignment horizontal="center" vertical="center"/>
    </xf>
    <xf numFmtId="0" fontId="7" fillId="0" borderId="191" xfId="0" applyFont="1" applyBorder="1" applyAlignment="1">
      <alignment horizontal="center" vertical="center"/>
    </xf>
    <xf numFmtId="49" fontId="7" fillId="0" borderId="164" xfId="0" applyNumberFormat="1" applyFont="1" applyBorder="1" applyAlignment="1">
      <alignment horizontal="center" vertical="center" wrapText="1"/>
    </xf>
    <xf numFmtId="49" fontId="7" fillId="0" borderId="44" xfId="0" applyNumberFormat="1" applyFont="1" applyBorder="1" applyAlignment="1">
      <alignment horizontal="center" vertical="center"/>
    </xf>
    <xf numFmtId="0" fontId="7" fillId="0" borderId="170" xfId="0" applyFont="1" applyBorder="1" applyAlignment="1">
      <alignment horizontal="center" vertical="center" wrapText="1"/>
    </xf>
    <xf numFmtId="0" fontId="7" fillId="0" borderId="192" xfId="0" applyFont="1" applyBorder="1" applyAlignment="1">
      <alignment horizontal="center" vertical="center"/>
    </xf>
    <xf numFmtId="0" fontId="7" fillId="0" borderId="193" xfId="0" applyFont="1" applyBorder="1" applyAlignment="1">
      <alignment horizontal="center" vertical="center" wrapText="1"/>
    </xf>
    <xf numFmtId="49" fontId="7" fillId="0" borderId="194" xfId="0" applyNumberFormat="1" applyFont="1" applyBorder="1" applyAlignment="1">
      <alignment horizontal="center" vertical="center" wrapText="1"/>
    </xf>
    <xf numFmtId="0" fontId="7" fillId="0" borderId="195" xfId="0" applyFont="1" applyBorder="1" applyAlignment="1">
      <alignment horizontal="center" vertical="center" wrapText="1"/>
    </xf>
    <xf numFmtId="49" fontId="7" fillId="0" borderId="188" xfId="0" applyNumberFormat="1" applyFont="1" applyBorder="1" applyAlignment="1">
      <alignment horizontal="center" vertical="center" wrapText="1"/>
    </xf>
    <xf numFmtId="0" fontId="7" fillId="0" borderId="177" xfId="0" applyFont="1" applyBorder="1" applyAlignment="1">
      <alignment horizontal="center" vertical="center" wrapText="1"/>
    </xf>
    <xf numFmtId="0" fontId="7" fillId="0" borderId="177" xfId="0" applyFont="1" applyBorder="1" applyAlignment="1">
      <alignment horizontal="center" vertical="center"/>
    </xf>
    <xf numFmtId="49" fontId="7" fillId="0" borderId="177" xfId="0" applyNumberFormat="1" applyFont="1" applyBorder="1" applyAlignment="1">
      <alignment horizontal="center" vertical="center"/>
    </xf>
    <xf numFmtId="0" fontId="7" fillId="0" borderId="164" xfId="0" applyFont="1" applyBorder="1" applyAlignment="1">
      <alignment horizontal="center" vertical="center"/>
    </xf>
    <xf numFmtId="49" fontId="11" fillId="0" borderId="31" xfId="0" applyNumberFormat="1" applyFont="1" applyBorder="1" applyAlignment="1">
      <alignment horizontal="center" vertical="center" wrapText="1"/>
    </xf>
    <xf numFmtId="0" fontId="7" fillId="0" borderId="187" xfId="0" applyFont="1" applyBorder="1" applyAlignment="1">
      <alignment horizontal="center" vertical="center"/>
    </xf>
    <xf numFmtId="0" fontId="7" fillId="0" borderId="191" xfId="0" applyFont="1" applyBorder="1" applyAlignment="1">
      <alignment horizontal="center" vertical="center" wrapText="1"/>
    </xf>
    <xf numFmtId="0" fontId="7" fillId="0" borderId="188" xfId="0" applyFont="1" applyBorder="1" applyAlignment="1">
      <alignment horizontal="center" vertical="center"/>
    </xf>
    <xf numFmtId="3" fontId="7" fillId="0" borderId="164" xfId="0" applyNumberFormat="1" applyFont="1" applyBorder="1" applyAlignment="1">
      <alignment horizontal="center" vertical="center"/>
    </xf>
    <xf numFmtId="0" fontId="7" fillId="0" borderId="186" xfId="0" applyFont="1" applyBorder="1" applyAlignment="1">
      <alignment horizontal="center" vertical="center"/>
    </xf>
    <xf numFmtId="49" fontId="7" fillId="0" borderId="196" xfId="0" applyNumberFormat="1" applyFont="1" applyBorder="1" applyAlignment="1">
      <alignment horizontal="center" vertical="center" wrapText="1"/>
    </xf>
    <xf numFmtId="49" fontId="7" fillId="0" borderId="197" xfId="0" applyNumberFormat="1" applyFont="1" applyBorder="1" applyAlignment="1">
      <alignment horizontal="center" vertical="center" wrapText="1"/>
    </xf>
    <xf numFmtId="0" fontId="7" fillId="0" borderId="196" xfId="0" applyFont="1" applyBorder="1" applyAlignment="1">
      <alignment horizontal="center" vertical="center"/>
    </xf>
    <xf numFmtId="0" fontId="7" fillId="0" borderId="194" xfId="0" applyFont="1" applyBorder="1" applyAlignment="1">
      <alignment horizontal="center" vertical="center"/>
    </xf>
    <xf numFmtId="49" fontId="7" fillId="0" borderId="30" xfId="0" applyNumberFormat="1" applyFont="1" applyBorder="1" applyAlignment="1">
      <alignment vertical="center"/>
    </xf>
    <xf numFmtId="49" fontId="7" fillId="0" borderId="164" xfId="0" applyNumberFormat="1" applyFont="1" applyBorder="1" applyAlignment="1">
      <alignment horizontal="center" vertical="center"/>
    </xf>
    <xf numFmtId="49" fontId="7" fillId="0" borderId="198" xfId="0" applyNumberFormat="1" applyFont="1" applyBorder="1" applyAlignment="1">
      <alignment horizontal="center" vertical="center" wrapText="1"/>
    </xf>
    <xf numFmtId="0" fontId="7" fillId="0" borderId="199" xfId="0" applyFont="1" applyBorder="1" applyAlignment="1">
      <alignment horizontal="center" vertical="center"/>
    </xf>
    <xf numFmtId="0" fontId="7" fillId="0" borderId="187" xfId="0" applyFont="1" applyBorder="1" applyAlignment="1">
      <alignment horizontal="center" vertical="center" wrapText="1"/>
    </xf>
    <xf numFmtId="49" fontId="7" fillId="0" borderId="188" xfId="0" applyNumberFormat="1" applyFont="1" applyBorder="1" applyAlignment="1">
      <alignment horizontal="center" vertical="center"/>
    </xf>
    <xf numFmtId="0" fontId="7" fillId="0" borderId="200" xfId="0" applyFont="1" applyBorder="1" applyAlignment="1">
      <alignment horizontal="center" vertical="center"/>
    </xf>
    <xf numFmtId="49" fontId="7" fillId="0" borderId="201" xfId="0" applyNumberFormat="1" applyFont="1" applyBorder="1" applyAlignment="1">
      <alignment horizontal="center" vertical="center" wrapText="1"/>
    </xf>
    <xf numFmtId="0" fontId="7" fillId="0" borderId="178" xfId="0" applyFont="1" applyBorder="1" applyAlignment="1">
      <alignment horizontal="center" vertical="center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180" xfId="0" applyNumberFormat="1" applyFont="1" applyBorder="1" applyAlignment="1">
      <alignment horizontal="center" vertical="center"/>
    </xf>
    <xf numFmtId="49" fontId="7" fillId="0" borderId="31" xfId="0" applyNumberFormat="1" applyFont="1" applyBorder="1" applyAlignment="1">
      <alignment vertical="center" wrapText="1"/>
    </xf>
    <xf numFmtId="0" fontId="7" fillId="0" borderId="20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49" fontId="7" fillId="0" borderId="41" xfId="0" applyNumberFormat="1" applyFont="1" applyBorder="1" applyAlignment="1">
      <alignment horizontal="center" vertical="center" wrapText="1"/>
    </xf>
    <xf numFmtId="0" fontId="7" fillId="0" borderId="203" xfId="0" applyFont="1" applyBorder="1" applyAlignment="1">
      <alignment horizontal="center" vertical="center" wrapText="1"/>
    </xf>
    <xf numFmtId="49" fontId="7" fillId="0" borderId="179" xfId="0" applyNumberFormat="1" applyFont="1" applyBorder="1" applyAlignment="1">
      <alignment vertical="center" wrapText="1"/>
    </xf>
    <xf numFmtId="0" fontId="7" fillId="0" borderId="160" xfId="0" applyFont="1" applyBorder="1" applyAlignment="1">
      <alignment horizontal="center" vertical="center" wrapText="1"/>
    </xf>
    <xf numFmtId="49" fontId="7" fillId="0" borderId="74" xfId="0" applyNumberFormat="1" applyFont="1" applyBorder="1" applyAlignment="1">
      <alignment horizontal="center" vertical="center" wrapText="1"/>
    </xf>
    <xf numFmtId="0" fontId="7" fillId="0" borderId="205" xfId="0" applyFont="1" applyBorder="1" applyAlignment="1">
      <alignment horizontal="center" vertical="center"/>
    </xf>
    <xf numFmtId="0" fontId="7" fillId="0" borderId="204" xfId="0" applyFont="1" applyBorder="1" applyAlignment="1">
      <alignment horizontal="center" vertical="center" wrapText="1"/>
    </xf>
    <xf numFmtId="3" fontId="11" fillId="0" borderId="6" xfId="0" applyNumberFormat="1" applyFont="1" applyBorder="1" applyAlignment="1">
      <alignment horizontal="center" vertical="center"/>
    </xf>
    <xf numFmtId="3" fontId="11" fillId="0" borderId="107" xfId="0" applyNumberFormat="1" applyFont="1" applyBorder="1" applyAlignment="1">
      <alignment horizontal="center" vertical="center"/>
    </xf>
    <xf numFmtId="49" fontId="11" fillId="0" borderId="176" xfId="0" applyNumberFormat="1" applyFont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49" fontId="11" fillId="0" borderId="10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1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63" xfId="0" applyFont="1" applyBorder="1" applyAlignment="1">
      <alignment horizontal="center" vertical="center"/>
    </xf>
    <xf numFmtId="0" fontId="11" fillId="0" borderId="159" xfId="0" applyFont="1" applyBorder="1" applyAlignment="1">
      <alignment horizontal="center" vertical="center" wrapText="1"/>
    </xf>
    <xf numFmtId="0" fontId="11" fillId="0" borderId="0" xfId="0" applyFont="1"/>
    <xf numFmtId="0" fontId="11" fillId="0" borderId="4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107" xfId="0" applyFont="1" applyBorder="1" applyAlignment="1">
      <alignment horizontal="center" vertical="center" wrapText="1"/>
    </xf>
    <xf numFmtId="49" fontId="11" fillId="0" borderId="112" xfId="0" applyNumberFormat="1" applyFont="1" applyBorder="1" applyAlignment="1">
      <alignment horizontal="center" vertical="center"/>
    </xf>
    <xf numFmtId="49" fontId="11" fillId="0" borderId="107" xfId="0" applyNumberFormat="1" applyFont="1" applyBorder="1" applyAlignment="1">
      <alignment horizontal="center" vertical="center" wrapText="1"/>
    </xf>
    <xf numFmtId="49" fontId="11" fillId="0" borderId="177" xfId="0" applyNumberFormat="1" applyFont="1" applyBorder="1" applyAlignment="1">
      <alignment horizontal="center" vertical="center" wrapText="1"/>
    </xf>
    <xf numFmtId="0" fontId="11" fillId="0" borderId="187" xfId="0" applyFont="1" applyBorder="1" applyAlignment="1">
      <alignment horizontal="center" vertical="center"/>
    </xf>
    <xf numFmtId="0" fontId="11" fillId="0" borderId="164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91" xfId="0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 wrapText="1"/>
    </xf>
    <xf numFmtId="49" fontId="11" fillId="0" borderId="112" xfId="0" applyNumberFormat="1" applyFont="1" applyBorder="1" applyAlignment="1">
      <alignment horizontal="center" vertical="center" wrapText="1"/>
    </xf>
    <xf numFmtId="0" fontId="11" fillId="0" borderId="176" xfId="0" applyFont="1" applyBorder="1" applyAlignment="1">
      <alignment horizontal="center" vertical="center"/>
    </xf>
    <xf numFmtId="49" fontId="11" fillId="0" borderId="164" xfId="0" applyNumberFormat="1" applyFont="1" applyBorder="1" applyAlignment="1">
      <alignment horizontal="center" vertical="center" wrapText="1"/>
    </xf>
    <xf numFmtId="0" fontId="11" fillId="0" borderId="191" xfId="0" applyFont="1" applyBorder="1" applyAlignment="1">
      <alignment horizontal="center" vertical="center" wrapText="1"/>
    </xf>
    <xf numFmtId="3" fontId="11" fillId="0" borderId="31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49" fontId="11" fillId="0" borderId="144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vertical="center" wrapText="1"/>
    </xf>
    <xf numFmtId="0" fontId="11" fillId="0" borderId="188" xfId="0" applyFont="1" applyBorder="1" applyAlignment="1">
      <alignment horizontal="center" vertical="center"/>
    </xf>
    <xf numFmtId="49" fontId="11" fillId="0" borderId="144" xfId="0" applyNumberFormat="1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177" xfId="0" applyFont="1" applyBorder="1" applyAlignment="1">
      <alignment horizontal="center" vertical="center"/>
    </xf>
    <xf numFmtId="3" fontId="11" fillId="0" borderId="164" xfId="0" applyNumberFormat="1" applyFont="1" applyBorder="1" applyAlignment="1">
      <alignment horizontal="center" vertical="center"/>
    </xf>
    <xf numFmtId="49" fontId="11" fillId="0" borderId="142" xfId="0" applyNumberFormat="1" applyFont="1" applyBorder="1" applyAlignment="1">
      <alignment horizontal="center" vertical="center" wrapText="1"/>
    </xf>
    <xf numFmtId="49" fontId="11" fillId="0" borderId="140" xfId="0" applyNumberFormat="1" applyFont="1" applyBorder="1" applyAlignment="1">
      <alignment horizontal="center" vertical="center" wrapText="1"/>
    </xf>
    <xf numFmtId="49" fontId="11" fillId="0" borderId="44" xfId="0" applyNumberFormat="1" applyFont="1" applyBorder="1" applyAlignment="1">
      <alignment horizontal="center" vertical="center" wrapText="1"/>
    </xf>
    <xf numFmtId="49" fontId="19" fillId="0" borderId="44" xfId="0" applyNumberFormat="1" applyFont="1" applyBorder="1" applyAlignment="1">
      <alignment horizontal="center" vertical="center" wrapText="1"/>
    </xf>
    <xf numFmtId="0" fontId="11" fillId="0" borderId="140" xfId="0" applyFont="1" applyBorder="1" applyAlignment="1">
      <alignment horizontal="center" vertical="center"/>
    </xf>
    <xf numFmtId="3" fontId="11" fillId="0" borderId="142" xfId="0" applyNumberFormat="1" applyFont="1" applyBorder="1" applyAlignment="1">
      <alignment horizontal="center" vertical="center"/>
    </xf>
    <xf numFmtId="49" fontId="11" fillId="0" borderId="140" xfId="0" applyNumberFormat="1" applyFont="1" applyBorder="1" applyAlignment="1">
      <alignment horizontal="center" vertical="center"/>
    </xf>
    <xf numFmtId="0" fontId="11" fillId="0" borderId="186" xfId="0" applyFont="1" applyBorder="1" applyAlignment="1">
      <alignment horizontal="center" vertical="center"/>
    </xf>
    <xf numFmtId="49" fontId="11" fillId="0" borderId="164" xfId="0" applyNumberFormat="1" applyFont="1" applyBorder="1" applyAlignment="1">
      <alignment horizontal="center" vertical="center"/>
    </xf>
    <xf numFmtId="3" fontId="11" fillId="0" borderId="182" xfId="0" applyNumberFormat="1" applyFont="1" applyBorder="1" applyAlignment="1">
      <alignment horizontal="center" vertical="center"/>
    </xf>
    <xf numFmtId="3" fontId="11" fillId="0" borderId="179" xfId="0" applyNumberFormat="1" applyFont="1" applyBorder="1" applyAlignment="1">
      <alignment horizontal="center" vertical="center"/>
    </xf>
    <xf numFmtId="49" fontId="11" fillId="0" borderId="180" xfId="0" applyNumberFormat="1" applyFont="1" applyBorder="1" applyAlignment="1">
      <alignment horizontal="center" vertical="center"/>
    </xf>
    <xf numFmtId="49" fontId="11" fillId="0" borderId="181" xfId="0" applyNumberFormat="1" applyFont="1" applyBorder="1" applyAlignment="1">
      <alignment vertical="center" wrapText="1"/>
    </xf>
    <xf numFmtId="49" fontId="11" fillId="0" borderId="182" xfId="0" applyNumberFormat="1" applyFont="1" applyBorder="1" applyAlignment="1">
      <alignment vertical="center"/>
    </xf>
    <xf numFmtId="49" fontId="11" fillId="0" borderId="179" xfId="0" applyNumberFormat="1" applyFont="1" applyBorder="1" applyAlignment="1">
      <alignment horizontal="center" vertical="center" wrapText="1"/>
    </xf>
    <xf numFmtId="0" fontId="11" fillId="0" borderId="181" xfId="0" applyFont="1" applyBorder="1" applyAlignment="1">
      <alignment horizontal="center" vertical="center"/>
    </xf>
    <xf numFmtId="0" fontId="11" fillId="0" borderId="183" xfId="0" applyFont="1" applyBorder="1" applyAlignment="1">
      <alignment horizontal="center" vertical="center"/>
    </xf>
    <xf numFmtId="0" fontId="11" fillId="0" borderId="184" xfId="0" applyFont="1" applyBorder="1" applyAlignment="1">
      <alignment horizontal="center" vertical="center"/>
    </xf>
    <xf numFmtId="49" fontId="11" fillId="0" borderId="180" xfId="0" applyNumberFormat="1" applyFont="1" applyBorder="1" applyAlignment="1">
      <alignment vertical="center"/>
    </xf>
    <xf numFmtId="49" fontId="11" fillId="0" borderId="185" xfId="0" applyNumberFormat="1" applyFont="1" applyBorder="1" applyAlignment="1">
      <alignment vertical="center" wrapText="1"/>
    </xf>
    <xf numFmtId="49" fontId="11" fillId="0" borderId="31" xfId="0" applyNumberFormat="1" applyFont="1" applyBorder="1" applyAlignment="1">
      <alignment vertical="center"/>
    </xf>
    <xf numFmtId="49" fontId="11" fillId="0" borderId="176" xfId="0" applyNumberFormat="1" applyFont="1" applyBorder="1" applyAlignment="1">
      <alignment vertical="center" wrapText="1"/>
    </xf>
    <xf numFmtId="49" fontId="11" fillId="0" borderId="31" xfId="0" applyNumberFormat="1" applyFont="1" applyBorder="1" applyAlignment="1">
      <alignment horizontal="center" vertical="center"/>
    </xf>
    <xf numFmtId="49" fontId="11" fillId="0" borderId="144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vertical="center"/>
    </xf>
    <xf numFmtId="3" fontId="11" fillId="0" borderId="97" xfId="0" applyNumberFormat="1" applyFont="1" applyBorder="1" applyAlignment="1">
      <alignment horizontal="center" vertical="center"/>
    </xf>
    <xf numFmtId="3" fontId="11" fillId="0" borderId="143" xfId="0" applyNumberFormat="1" applyFont="1" applyBorder="1" applyAlignment="1">
      <alignment horizontal="center" vertical="center"/>
    </xf>
    <xf numFmtId="49" fontId="11" fillId="0" borderId="141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 wrapText="1"/>
    </xf>
    <xf numFmtId="49" fontId="11" fillId="0" borderId="143" xfId="0" applyNumberFormat="1" applyFont="1" applyBorder="1" applyAlignment="1">
      <alignment horizontal="center" vertical="center" wrapText="1"/>
    </xf>
    <xf numFmtId="0" fontId="11" fillId="0" borderId="141" xfId="0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31" xfId="0" applyNumberFormat="1" applyFont="1" applyBorder="1" applyAlignment="1">
      <alignment vertical="center" wrapText="1"/>
    </xf>
    <xf numFmtId="0" fontId="11" fillId="0" borderId="112" xfId="0" applyFont="1" applyBorder="1" applyAlignment="1">
      <alignment horizontal="center" vertical="center" wrapText="1"/>
    </xf>
    <xf numFmtId="49" fontId="11" fillId="0" borderId="145" xfId="0" applyNumberFormat="1" applyFont="1" applyBorder="1" applyAlignment="1">
      <alignment horizontal="center" vertical="center" wrapText="1"/>
    </xf>
    <xf numFmtId="3" fontId="11" fillId="0" borderId="107" xfId="0" applyNumberFormat="1" applyFont="1" applyBorder="1" applyAlignment="1">
      <alignment horizontal="center" vertical="center" wrapText="1"/>
    </xf>
    <xf numFmtId="49" fontId="11" fillId="0" borderId="141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133" xfId="0" applyFont="1" applyBorder="1" applyAlignment="1">
      <alignment horizontal="center" vertical="center"/>
    </xf>
    <xf numFmtId="3" fontId="11" fillId="0" borderId="177" xfId="0" applyNumberFormat="1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 wrapText="1"/>
    </xf>
    <xf numFmtId="49" fontId="11" fillId="0" borderId="188" xfId="0" applyNumberFormat="1" applyFont="1" applyBorder="1" applyAlignment="1">
      <alignment horizontal="center" vertical="center" wrapText="1"/>
    </xf>
    <xf numFmtId="0" fontId="11" fillId="0" borderId="195" xfId="0" applyFont="1" applyBorder="1" applyAlignment="1">
      <alignment horizontal="center" vertical="center" wrapText="1"/>
    </xf>
    <xf numFmtId="0" fontId="11" fillId="0" borderId="177" xfId="0" applyFont="1" applyBorder="1" applyAlignment="1">
      <alignment horizontal="center" vertical="center" wrapText="1"/>
    </xf>
    <xf numFmtId="0" fontId="11" fillId="0" borderId="142" xfId="0" applyFont="1" applyBorder="1" applyAlignment="1">
      <alignment horizontal="center" vertical="center"/>
    </xf>
    <xf numFmtId="49" fontId="11" fillId="0" borderId="196" xfId="0" applyNumberFormat="1" applyFont="1" applyBorder="1" applyAlignment="1">
      <alignment horizontal="center" vertical="center" wrapText="1"/>
    </xf>
    <xf numFmtId="49" fontId="11" fillId="0" borderId="197" xfId="0" applyNumberFormat="1" applyFont="1" applyBorder="1" applyAlignment="1">
      <alignment horizontal="center" vertical="center" wrapText="1"/>
    </xf>
    <xf numFmtId="49" fontId="11" fillId="0" borderId="194" xfId="0" applyNumberFormat="1" applyFont="1" applyBorder="1" applyAlignment="1">
      <alignment horizontal="center" vertical="center" wrapText="1"/>
    </xf>
    <xf numFmtId="0" fontId="11" fillId="0" borderId="196" xfId="0" applyFont="1" applyBorder="1" applyAlignment="1">
      <alignment horizontal="center" vertical="center"/>
    </xf>
    <xf numFmtId="0" fontId="11" fillId="0" borderId="194" xfId="0" applyFont="1" applyBorder="1" applyAlignment="1">
      <alignment horizontal="center" vertical="center"/>
    </xf>
    <xf numFmtId="0" fontId="11" fillId="0" borderId="167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 wrapText="1"/>
    </xf>
    <xf numFmtId="3" fontId="11" fillId="0" borderId="44" xfId="0" applyNumberFormat="1" applyFont="1" applyBorder="1" applyAlignment="1">
      <alignment horizontal="center" vertical="center"/>
    </xf>
    <xf numFmtId="0" fontId="11" fillId="0" borderId="104" xfId="0" applyFont="1" applyBorder="1" applyAlignment="1">
      <alignment horizontal="center" vertical="center"/>
    </xf>
    <xf numFmtId="0" fontId="11" fillId="0" borderId="100" xfId="0" applyFont="1" applyBorder="1" applyAlignment="1">
      <alignment horizontal="center" vertical="center"/>
    </xf>
    <xf numFmtId="0" fontId="11" fillId="5" borderId="100" xfId="0" applyFont="1" applyFill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3" fontId="11" fillId="0" borderId="106" xfId="0" applyNumberFormat="1" applyFont="1" applyBorder="1" applyAlignment="1">
      <alignment horizontal="center" vertical="center"/>
    </xf>
    <xf numFmtId="49" fontId="11" fillId="0" borderId="137" xfId="0" applyNumberFormat="1" applyFont="1" applyBorder="1" applyAlignment="1">
      <alignment horizontal="center" vertical="center"/>
    </xf>
    <xf numFmtId="0" fontId="11" fillId="0" borderId="11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/>
    </xf>
    <xf numFmtId="0" fontId="11" fillId="0" borderId="114" xfId="0" applyFont="1" applyBorder="1" applyAlignment="1">
      <alignment horizontal="center" vertical="center"/>
    </xf>
    <xf numFmtId="0" fontId="11" fillId="0" borderId="150" xfId="0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center" vertical="center"/>
    </xf>
    <xf numFmtId="0" fontId="11" fillId="0" borderId="162" xfId="0" applyFont="1" applyBorder="1" applyAlignment="1">
      <alignment horizontal="center" vertical="center"/>
    </xf>
    <xf numFmtId="3" fontId="11" fillId="0" borderId="73" xfId="0" applyNumberFormat="1" applyFont="1" applyBorder="1" applyAlignment="1">
      <alignment horizontal="center" vertical="center"/>
    </xf>
    <xf numFmtId="3" fontId="11" fillId="0" borderId="189" xfId="0" applyNumberFormat="1" applyFont="1" applyBorder="1" applyAlignment="1">
      <alignment horizontal="center" vertical="center"/>
    </xf>
    <xf numFmtId="3" fontId="11" fillId="0" borderId="187" xfId="0" applyNumberFormat="1" applyFont="1" applyBorder="1" applyAlignment="1">
      <alignment horizontal="center" vertical="center"/>
    </xf>
    <xf numFmtId="3" fontId="11" fillId="0" borderId="188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3" fontId="11" fillId="0" borderId="178" xfId="0" applyNumberFormat="1" applyFont="1" applyBorder="1" applyAlignment="1">
      <alignment horizontal="center" vertical="center"/>
    </xf>
    <xf numFmtId="3" fontId="11" fillId="0" borderId="186" xfId="0" applyNumberFormat="1" applyFont="1" applyBorder="1" applyAlignment="1">
      <alignment horizontal="center" vertical="center"/>
    </xf>
    <xf numFmtId="3" fontId="11" fillId="0" borderId="190" xfId="0" applyNumberFormat="1" applyFont="1" applyBorder="1" applyAlignment="1">
      <alignment horizontal="center" vertical="center"/>
    </xf>
    <xf numFmtId="3" fontId="11" fillId="0" borderId="96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2" borderId="6" xfId="0" applyNumberFormat="1" applyFont="1" applyFill="1" applyBorder="1" applyAlignment="1">
      <alignment horizontal="center" vertical="center"/>
    </xf>
    <xf numFmtId="3" fontId="11" fillId="2" borderId="107" xfId="0" applyNumberFormat="1" applyFont="1" applyFill="1" applyBorder="1" applyAlignment="1">
      <alignment horizontal="center" vertical="center"/>
    </xf>
    <xf numFmtId="49" fontId="11" fillId="2" borderId="112" xfId="0" applyNumberFormat="1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49" fontId="19" fillId="2" borderId="6" xfId="0" applyNumberFormat="1" applyFont="1" applyFill="1" applyBorder="1" applyAlignment="1">
      <alignment horizontal="center" vertical="center" wrapText="1"/>
    </xf>
    <xf numFmtId="49" fontId="11" fillId="2" borderId="107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2" borderId="11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1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49" fontId="11" fillId="2" borderId="6" xfId="0" applyNumberFormat="1" applyFont="1" applyFill="1" applyBorder="1" applyAlignment="1">
      <alignment horizontal="center" vertical="center" wrapText="1"/>
    </xf>
    <xf numFmtId="0" fontId="11" fillId="2" borderId="0" xfId="0" applyFont="1" applyFill="1"/>
    <xf numFmtId="49" fontId="11" fillId="2" borderId="31" xfId="0" applyNumberFormat="1" applyFont="1" applyFill="1" applyBorder="1" applyAlignment="1">
      <alignment horizontal="center" vertical="center" wrapText="1"/>
    </xf>
    <xf numFmtId="49" fontId="11" fillId="2" borderId="31" xfId="0" applyNumberFormat="1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49" fontId="11" fillId="2" borderId="177" xfId="0" applyNumberFormat="1" applyFont="1" applyFill="1" applyBorder="1" applyAlignment="1">
      <alignment horizontal="center" vertical="center"/>
    </xf>
    <xf numFmtId="49" fontId="11" fillId="2" borderId="164" xfId="0" applyNumberFormat="1" applyFont="1" applyFill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49" fontId="11" fillId="2" borderId="44" xfId="0" applyNumberFormat="1" applyFont="1" applyFill="1" applyBorder="1" applyAlignment="1">
      <alignment horizontal="center" vertical="center"/>
    </xf>
    <xf numFmtId="0" fontId="11" fillId="2" borderId="193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107" xfId="0" applyFont="1" applyFill="1" applyBorder="1" applyAlignment="1">
      <alignment horizontal="center" vertical="center" wrapText="1"/>
    </xf>
    <xf numFmtId="49" fontId="11" fillId="2" borderId="177" xfId="0" applyNumberFormat="1" applyFont="1" applyFill="1" applyBorder="1" applyAlignment="1">
      <alignment horizontal="center" vertical="center" wrapText="1"/>
    </xf>
    <xf numFmtId="0" fontId="11" fillId="2" borderId="97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9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95" xfId="0" applyFont="1" applyFill="1" applyBorder="1" applyAlignment="1">
      <alignment horizontal="center" vertical="center" wrapText="1"/>
    </xf>
    <xf numFmtId="0" fontId="11" fillId="2" borderId="177" xfId="0" applyFont="1" applyFill="1" applyBorder="1" applyAlignment="1">
      <alignment horizontal="center" vertical="center" wrapText="1"/>
    </xf>
    <xf numFmtId="0" fontId="20" fillId="0" borderId="74" xfId="0" applyFont="1" applyBorder="1" applyAlignment="1">
      <alignment horizontal="center" vertical="center"/>
    </xf>
    <xf numFmtId="0" fontId="20" fillId="0" borderId="100" xfId="0" applyFont="1" applyBorder="1" applyAlignment="1">
      <alignment horizontal="center" vertical="center"/>
    </xf>
    <xf numFmtId="0" fontId="20" fillId="0" borderId="101" xfId="0" applyFont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75" xfId="0" applyFont="1" applyBorder="1" applyAlignment="1">
      <alignment horizontal="center" vertical="center"/>
    </xf>
    <xf numFmtId="0" fontId="20" fillId="0" borderId="134" xfId="0" applyFont="1" applyBorder="1" applyAlignment="1">
      <alignment horizontal="center" vertical="center"/>
    </xf>
    <xf numFmtId="49" fontId="11" fillId="2" borderId="107" xfId="0" applyNumberFormat="1" applyFont="1" applyFill="1" applyBorder="1" applyAlignment="1">
      <alignment horizontal="center" vertical="center"/>
    </xf>
    <xf numFmtId="0" fontId="11" fillId="2" borderId="107" xfId="0" applyFont="1" applyFill="1" applyBorder="1" applyAlignment="1">
      <alignment horizontal="center" vertical="center"/>
    </xf>
    <xf numFmtId="0" fontId="11" fillId="2" borderId="142" xfId="0" applyFont="1" applyFill="1" applyBorder="1" applyAlignment="1">
      <alignment horizontal="center" vertical="center"/>
    </xf>
    <xf numFmtId="0" fontId="21" fillId="0" borderId="131" xfId="0" applyFont="1" applyBorder="1" applyAlignment="1">
      <alignment horizontal="center" vertical="center"/>
    </xf>
    <xf numFmtId="0" fontId="11" fillId="0" borderId="75" xfId="0" applyFont="1" applyBorder="1" applyAlignment="1">
      <alignment vertical="center" wrapText="1"/>
    </xf>
    <xf numFmtId="0" fontId="11" fillId="0" borderId="74" xfId="0" applyFont="1" applyBorder="1" applyAlignment="1">
      <alignment vertical="center" wrapText="1"/>
    </xf>
    <xf numFmtId="0" fontId="11" fillId="0" borderId="74" xfId="0" applyFont="1" applyBorder="1" applyAlignment="1">
      <alignment horizontal="center" vertical="center"/>
    </xf>
    <xf numFmtId="0" fontId="6" fillId="0" borderId="103" xfId="0" applyFont="1" applyBorder="1"/>
    <xf numFmtId="0" fontId="18" fillId="0" borderId="103" xfId="0" applyFont="1" applyBorder="1" applyAlignment="1">
      <alignment horizontal="center" vertical="center"/>
    </xf>
    <xf numFmtId="3" fontId="11" fillId="5" borderId="96" xfId="0" applyNumberFormat="1" applyFont="1" applyFill="1" applyBorder="1" applyAlignment="1">
      <alignment horizontal="center" vertical="center"/>
    </xf>
    <xf numFmtId="3" fontId="11" fillId="5" borderId="44" xfId="0" applyNumberFormat="1" applyFont="1" applyFill="1" applyBorder="1" applyAlignment="1">
      <alignment horizontal="center" vertical="center"/>
    </xf>
    <xf numFmtId="3" fontId="11" fillId="5" borderId="6" xfId="0" applyNumberFormat="1" applyFont="1" applyFill="1" applyBorder="1" applyAlignment="1">
      <alignment horizontal="center" vertical="center"/>
    </xf>
    <xf numFmtId="3" fontId="11" fillId="5" borderId="142" xfId="0" applyNumberFormat="1" applyFont="1" applyFill="1" applyBorder="1" applyAlignment="1">
      <alignment horizontal="center" vertical="center"/>
    </xf>
    <xf numFmtId="49" fontId="11" fillId="5" borderId="6" xfId="0" applyNumberFormat="1" applyFont="1" applyFill="1" applyBorder="1" applyAlignment="1">
      <alignment horizontal="center" vertical="center"/>
    </xf>
    <xf numFmtId="49" fontId="11" fillId="5" borderId="44" xfId="0" applyNumberFormat="1" applyFont="1" applyFill="1" applyBorder="1" applyAlignment="1">
      <alignment horizontal="center" vertical="center" wrapText="1"/>
    </xf>
    <xf numFmtId="49" fontId="19" fillId="5" borderId="6" xfId="0" applyNumberFormat="1" applyFont="1" applyFill="1" applyBorder="1" applyAlignment="1">
      <alignment horizontal="center" vertical="center" wrapText="1"/>
    </xf>
    <xf numFmtId="49" fontId="11" fillId="5" borderId="107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112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107" xfId="0" applyFont="1" applyFill="1" applyBorder="1" applyAlignment="1">
      <alignment horizontal="center" vertical="center"/>
    </xf>
    <xf numFmtId="0" fontId="11" fillId="5" borderId="167" xfId="0" applyFont="1" applyFill="1" applyBorder="1" applyAlignment="1">
      <alignment horizontal="center" vertical="center"/>
    </xf>
    <xf numFmtId="49" fontId="11" fillId="5" borderId="6" xfId="0" applyNumberFormat="1" applyFont="1" applyFill="1" applyBorder="1" applyAlignment="1">
      <alignment horizontal="center" vertical="center" wrapText="1"/>
    </xf>
    <xf numFmtId="0" fontId="11" fillId="5" borderId="44" xfId="0" applyFont="1" applyFill="1" applyBorder="1" applyAlignment="1">
      <alignment horizontal="center" vertical="center"/>
    </xf>
    <xf numFmtId="0" fontId="11" fillId="5" borderId="142" xfId="0" applyFont="1" applyFill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44" xfId="0" applyFont="1" applyFill="1" applyBorder="1" applyAlignment="1">
      <alignment horizontal="center" vertical="center" wrapText="1"/>
    </xf>
    <xf numFmtId="0" fontId="11" fillId="5" borderId="0" xfId="0" applyFont="1" applyFill="1"/>
    <xf numFmtId="3" fontId="3" fillId="2" borderId="2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3" fontId="3" fillId="2" borderId="106" xfId="0" applyNumberFormat="1" applyFont="1" applyFill="1" applyBorder="1" applyAlignment="1">
      <alignment horizontal="center" vertical="center"/>
    </xf>
    <xf numFmtId="49" fontId="3" fillId="2" borderId="112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137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6" xfId="0" applyFont="1" applyFill="1" applyBorder="1" applyAlignment="1">
      <alignment horizontal="center" vertical="center"/>
    </xf>
    <xf numFmtId="0" fontId="3" fillId="2" borderId="114" xfId="0" applyFont="1" applyFill="1" applyBorder="1" applyAlignment="1">
      <alignment horizontal="center" vertical="center"/>
    </xf>
    <xf numFmtId="0" fontId="3" fillId="2" borderId="150" xfId="0" applyFont="1" applyFill="1" applyBorder="1" applyAlignment="1">
      <alignment horizontal="center" vertical="center" wrapText="1"/>
    </xf>
    <xf numFmtId="0" fontId="3" fillId="2" borderId="107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wrapText="1"/>
    </xf>
    <xf numFmtId="0" fontId="3" fillId="2" borderId="16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2" borderId="3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3" fontId="3" fillId="2" borderId="107" xfId="0" applyNumberFormat="1" applyFont="1" applyFill="1" applyBorder="1" applyAlignment="1">
      <alignment horizontal="center" vertical="center"/>
    </xf>
    <xf numFmtId="49" fontId="3" fillId="2" borderId="112" xfId="0" applyNumberFormat="1" applyFont="1" applyFill="1" applyBorder="1" applyAlignment="1">
      <alignment horizontal="center" vertical="center" wrapText="1"/>
    </xf>
    <xf numFmtId="49" fontId="22" fillId="2" borderId="6" xfId="0" applyNumberFormat="1" applyFont="1" applyFill="1" applyBorder="1" applyAlignment="1">
      <alignment horizontal="center" vertical="center" wrapText="1"/>
    </xf>
    <xf numFmtId="49" fontId="3" fillId="2" borderId="107" xfId="0" applyNumberFormat="1" applyFont="1" applyFill="1" applyBorder="1" applyAlignment="1">
      <alignment horizontal="center" vertical="center"/>
    </xf>
    <xf numFmtId="0" fontId="3" fillId="2" borderId="112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62" xfId="0" applyFont="1" applyFill="1" applyBorder="1" applyAlignment="1">
      <alignment horizontal="center" vertical="center"/>
    </xf>
    <xf numFmtId="0" fontId="3" fillId="2" borderId="163" xfId="0" applyFont="1" applyFill="1" applyBorder="1" applyAlignment="1">
      <alignment horizontal="center" vertical="center"/>
    </xf>
    <xf numFmtId="0" fontId="3" fillId="2" borderId="159" xfId="0" applyFont="1" applyFill="1" applyBorder="1" applyAlignment="1">
      <alignment horizontal="center" vertical="center" wrapText="1"/>
    </xf>
    <xf numFmtId="0" fontId="3" fillId="2" borderId="107" xfId="0" applyFont="1" applyFill="1" applyBorder="1" applyAlignment="1">
      <alignment horizontal="center" vertical="center" wrapText="1"/>
    </xf>
    <xf numFmtId="49" fontId="3" fillId="2" borderId="107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49" fontId="23" fillId="2" borderId="6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49" fontId="3" fillId="2" borderId="144" xfId="0" applyNumberFormat="1" applyFont="1" applyFill="1" applyBorder="1" applyAlignment="1">
      <alignment vertical="center" wrapText="1"/>
    </xf>
    <xf numFmtId="49" fontId="3" fillId="2" borderId="30" xfId="0" applyNumberFormat="1" applyFont="1" applyFill="1" applyBorder="1" applyAlignment="1">
      <alignment vertical="center" wrapText="1"/>
    </xf>
    <xf numFmtId="49" fontId="3" fillId="2" borderId="31" xfId="0" applyNumberFormat="1" applyFont="1" applyFill="1" applyBorder="1" applyAlignment="1">
      <alignment vertical="center" wrapText="1"/>
    </xf>
    <xf numFmtId="49" fontId="3" fillId="2" borderId="144" xfId="0" applyNumberFormat="1" applyFont="1" applyFill="1" applyBorder="1" applyAlignment="1">
      <alignment vertical="center"/>
    </xf>
    <xf numFmtId="49" fontId="3" fillId="2" borderId="30" xfId="0" applyNumberFormat="1" applyFont="1" applyFill="1" applyBorder="1" applyAlignment="1">
      <alignment vertical="center"/>
    </xf>
    <xf numFmtId="49" fontId="3" fillId="2" borderId="31" xfId="0" applyNumberFormat="1" applyFont="1" applyFill="1" applyBorder="1" applyAlignment="1">
      <alignment vertical="center"/>
    </xf>
    <xf numFmtId="49" fontId="3" fillId="2" borderId="144" xfId="0" applyNumberFormat="1" applyFont="1" applyFill="1" applyBorder="1" applyAlignment="1">
      <alignment horizontal="center" vertical="center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44" xfId="0" applyNumberFormat="1" applyFont="1" applyFill="1" applyBorder="1" applyAlignment="1">
      <alignment horizontal="center" vertical="center" wrapText="1"/>
    </xf>
    <xf numFmtId="0" fontId="3" fillId="2" borderId="170" xfId="0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/>
    </xf>
    <xf numFmtId="3" fontId="3" fillId="2" borderId="8" xfId="0" applyNumberFormat="1" applyFont="1" applyFill="1" applyBorder="1" applyAlignment="1">
      <alignment horizontal="center" vertical="center"/>
    </xf>
    <xf numFmtId="49" fontId="3" fillId="2" borderId="164" xfId="0" applyNumberFormat="1" applyFont="1" applyFill="1" applyBorder="1" applyAlignment="1">
      <alignment horizontal="center" vertical="center" wrapText="1"/>
    </xf>
    <xf numFmtId="0" fontId="3" fillId="2" borderId="112" xfId="0" applyFont="1" applyFill="1" applyBorder="1" applyAlignment="1">
      <alignment horizontal="center" vertical="center" wrapText="1"/>
    </xf>
    <xf numFmtId="0" fontId="3" fillId="2" borderId="206" xfId="0" applyFont="1" applyFill="1" applyBorder="1" applyAlignment="1">
      <alignment horizontal="center" vertical="center"/>
    </xf>
    <xf numFmtId="49" fontId="3" fillId="2" borderId="206" xfId="0" applyNumberFormat="1" applyFont="1" applyFill="1" applyBorder="1" applyAlignment="1">
      <alignment horizontal="center" vertical="center" wrapText="1"/>
    </xf>
    <xf numFmtId="0" fontId="3" fillId="2" borderId="141" xfId="0" applyFont="1" applyFill="1" applyBorder="1" applyAlignment="1">
      <alignment horizontal="center" vertical="center" wrapText="1"/>
    </xf>
    <xf numFmtId="49" fontId="22" fillId="2" borderId="11" xfId="0" applyNumberFormat="1" applyFont="1" applyFill="1" applyBorder="1" applyAlignment="1">
      <alignment horizontal="center" vertical="center" wrapText="1"/>
    </xf>
    <xf numFmtId="49" fontId="3" fillId="2" borderId="145" xfId="0" applyNumberFormat="1" applyFont="1" applyFill="1" applyBorder="1" applyAlignment="1">
      <alignment horizontal="center" vertical="center" wrapText="1"/>
    </xf>
    <xf numFmtId="3" fontId="3" fillId="2" borderId="107" xfId="0" applyNumberFormat="1" applyFont="1" applyFill="1" applyBorder="1" applyAlignment="1">
      <alignment horizontal="center" vertical="center" wrapText="1"/>
    </xf>
    <xf numFmtId="49" fontId="3" fillId="2" borderId="141" xfId="0" applyNumberFormat="1" applyFont="1" applyFill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107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0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/>
    <xf numFmtId="0" fontId="3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 wrapText="1"/>
    </xf>
    <xf numFmtId="49" fontId="22" fillId="0" borderId="6" xfId="0" applyNumberFormat="1" applyFont="1" applyBorder="1" applyAlignment="1">
      <alignment horizontal="center" vertical="center" wrapText="1"/>
    </xf>
    <xf numFmtId="0" fontId="3" fillId="0" borderId="107" xfId="0" applyFont="1" applyBorder="1" applyAlignment="1">
      <alignment horizontal="center" vertical="center"/>
    </xf>
    <xf numFmtId="49" fontId="3" fillId="0" borderId="107" xfId="0" applyNumberFormat="1" applyFont="1" applyBorder="1" applyAlignment="1">
      <alignment horizontal="center" vertical="center"/>
    </xf>
    <xf numFmtId="3" fontId="3" fillId="0" borderId="96" xfId="0" applyNumberFormat="1" applyFont="1" applyBorder="1" applyAlignment="1">
      <alignment horizontal="center" vertical="center"/>
    </xf>
    <xf numFmtId="3" fontId="3" fillId="0" borderId="44" xfId="0" applyNumberFormat="1" applyFont="1" applyBorder="1" applyAlignment="1">
      <alignment horizontal="center" vertical="center"/>
    </xf>
    <xf numFmtId="3" fontId="3" fillId="0" borderId="142" xfId="0" applyNumberFormat="1" applyFont="1" applyBorder="1" applyAlignment="1">
      <alignment horizontal="center" vertical="center"/>
    </xf>
    <xf numFmtId="0" fontId="3" fillId="0" borderId="167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142" xfId="0" applyFont="1" applyBorder="1" applyAlignment="1">
      <alignment horizontal="center" vertical="center"/>
    </xf>
    <xf numFmtId="49" fontId="3" fillId="0" borderId="140" xfId="0" applyNumberFormat="1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22" fillId="2" borderId="31" xfId="0" applyNumberFormat="1" applyFont="1" applyFill="1" applyBorder="1" applyAlignment="1">
      <alignment horizontal="center" vertical="center" wrapText="1"/>
    </xf>
    <xf numFmtId="0" fontId="3" fillId="2" borderId="167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207" xfId="0" applyNumberFormat="1" applyFont="1" applyFill="1" applyBorder="1" applyAlignment="1">
      <alignment horizontal="center" vertical="center" wrapText="1"/>
    </xf>
    <xf numFmtId="0" fontId="3" fillId="2" borderId="208" xfId="0" applyFont="1" applyFill="1" applyBorder="1" applyAlignment="1">
      <alignment horizontal="center" vertical="center" wrapText="1"/>
    </xf>
    <xf numFmtId="0" fontId="3" fillId="2" borderId="209" xfId="0" applyFont="1" applyFill="1" applyBorder="1" applyAlignment="1">
      <alignment horizontal="center" vertical="center" wrapText="1"/>
    </xf>
    <xf numFmtId="49" fontId="24" fillId="2" borderId="177" xfId="0" applyNumberFormat="1" applyFont="1" applyFill="1" applyBorder="1" applyAlignment="1">
      <alignment horizontal="center" vertical="center" wrapText="1"/>
    </xf>
    <xf numFmtId="0" fontId="23" fillId="2" borderId="10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8" fillId="2" borderId="75" xfId="0" applyFont="1" applyFill="1" applyBorder="1" applyAlignment="1">
      <alignment horizontal="center" vertical="center"/>
    </xf>
    <xf numFmtId="0" fontId="8" fillId="2" borderId="101" xfId="0" applyFont="1" applyFill="1" applyBorder="1" applyAlignment="1">
      <alignment horizontal="center" vertical="center"/>
    </xf>
    <xf numFmtId="0" fontId="8" fillId="2" borderId="132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134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3" fontId="7" fillId="2" borderId="3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3" fontId="7" fillId="2" borderId="106" xfId="0" applyNumberFormat="1" applyFont="1" applyFill="1" applyBorder="1" applyAlignment="1">
      <alignment horizontal="center" vertical="center"/>
    </xf>
    <xf numFmtId="49" fontId="7" fillId="2" borderId="112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17" fillId="2" borderId="6" xfId="0" applyNumberFormat="1" applyFont="1" applyFill="1" applyBorder="1" applyAlignment="1">
      <alignment horizontal="center" vertical="center" wrapText="1"/>
    </xf>
    <xf numFmtId="49" fontId="7" fillId="2" borderId="137" xfId="0" applyNumberFormat="1" applyFont="1" applyFill="1" applyBorder="1" applyAlignment="1">
      <alignment horizontal="center" vertical="center"/>
    </xf>
    <xf numFmtId="0" fontId="7" fillId="2" borderId="11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06" xfId="0" applyFont="1" applyFill="1" applyBorder="1" applyAlignment="1">
      <alignment horizontal="center" vertical="center"/>
    </xf>
    <xf numFmtId="0" fontId="7" fillId="2" borderId="114" xfId="0" applyFont="1" applyFill="1" applyBorder="1" applyAlignment="1">
      <alignment horizontal="center" vertical="center"/>
    </xf>
    <xf numFmtId="0" fontId="7" fillId="2" borderId="150" xfId="0" applyFont="1" applyFill="1" applyBorder="1" applyAlignment="1">
      <alignment horizontal="center" vertical="center" wrapText="1"/>
    </xf>
    <xf numFmtId="0" fontId="7" fillId="2" borderId="10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0" fontId="7" fillId="2" borderId="16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/>
    <xf numFmtId="0" fontId="7" fillId="2" borderId="3" xfId="0" applyFont="1" applyFill="1" applyBorder="1" applyAlignment="1">
      <alignment horizontal="center" vertical="center" wrapText="1"/>
    </xf>
    <xf numFmtId="3" fontId="7" fillId="2" borderId="5" xfId="0" applyNumberFormat="1" applyFont="1" applyFill="1" applyBorder="1" applyAlignment="1">
      <alignment horizontal="center" vertical="center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107" xfId="0" applyNumberFormat="1" applyFont="1" applyFill="1" applyBorder="1" applyAlignment="1">
      <alignment horizontal="center" vertical="center"/>
    </xf>
    <xf numFmtId="49" fontId="7" fillId="2" borderId="112" xfId="0" applyNumberFormat="1" applyFont="1" applyFill="1" applyBorder="1" applyAlignment="1">
      <alignment horizontal="center" vertical="center" wrapText="1"/>
    </xf>
    <xf numFmtId="49" fontId="7" fillId="2" borderId="107" xfId="0" applyNumberFormat="1" applyFont="1" applyFill="1" applyBorder="1" applyAlignment="1">
      <alignment horizontal="center" vertical="center"/>
    </xf>
    <xf numFmtId="0" fontId="7" fillId="2" borderId="11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62" xfId="0" applyFont="1" applyFill="1" applyBorder="1" applyAlignment="1">
      <alignment horizontal="center" vertical="center"/>
    </xf>
    <xf numFmtId="49" fontId="7" fillId="2" borderId="176" xfId="0" applyNumberFormat="1" applyFont="1" applyFill="1" applyBorder="1" applyAlignment="1">
      <alignment horizontal="center" vertical="center" wrapText="1"/>
    </xf>
    <xf numFmtId="49" fontId="7" fillId="2" borderId="31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63" xfId="0" applyFont="1" applyFill="1" applyBorder="1" applyAlignment="1">
      <alignment horizontal="center" vertical="center"/>
    </xf>
    <xf numFmtId="0" fontId="7" fillId="2" borderId="159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/>
    </xf>
    <xf numFmtId="0" fontId="7" fillId="2" borderId="107" xfId="0" applyFont="1" applyFill="1" applyBorder="1" applyAlignment="1">
      <alignment horizontal="center" vertical="center" wrapText="1"/>
    </xf>
    <xf numFmtId="49" fontId="7" fillId="2" borderId="107" xfId="0" applyNumberFormat="1" applyFont="1" applyFill="1" applyBorder="1" applyAlignment="1">
      <alignment horizontal="center" vertical="center" wrapText="1"/>
    </xf>
    <xf numFmtId="49" fontId="7" fillId="2" borderId="177" xfId="0" applyNumberFormat="1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187" xfId="0" applyFont="1" applyFill="1" applyBorder="1" applyAlignment="1">
      <alignment horizontal="center" vertical="center"/>
    </xf>
    <xf numFmtId="0" fontId="7" fillId="2" borderId="164" xfId="0" applyFont="1" applyFill="1" applyBorder="1" applyAlignment="1">
      <alignment horizontal="center" vertical="center"/>
    </xf>
    <xf numFmtId="0" fontId="7" fillId="2" borderId="191" xfId="0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 wrapText="1"/>
    </xf>
    <xf numFmtId="3" fontId="7" fillId="2" borderId="44" xfId="0" applyNumberFormat="1" applyFont="1" applyFill="1" applyBorder="1" applyAlignment="1">
      <alignment horizontal="center" vertical="center"/>
    </xf>
    <xf numFmtId="0" fontId="7" fillId="2" borderId="176" xfId="0" applyFont="1" applyFill="1" applyBorder="1" applyAlignment="1">
      <alignment horizontal="center" vertical="center"/>
    </xf>
    <xf numFmtId="49" fontId="7" fillId="2" borderId="164" xfId="0" applyNumberFormat="1" applyFont="1" applyFill="1" applyBorder="1" applyAlignment="1">
      <alignment horizontal="center" vertical="center" wrapText="1"/>
    </xf>
    <xf numFmtId="0" fontId="7" fillId="2" borderId="191" xfId="0" applyFont="1" applyFill="1" applyBorder="1" applyAlignment="1">
      <alignment horizontal="center" vertical="center" wrapText="1"/>
    </xf>
    <xf numFmtId="3" fontId="7" fillId="2" borderId="73" xfId="0" applyNumberFormat="1" applyFont="1" applyFill="1" applyBorder="1" applyAlignment="1">
      <alignment horizontal="center" vertical="center"/>
    </xf>
    <xf numFmtId="3" fontId="7" fillId="2" borderId="189" xfId="0" applyNumberFormat="1" applyFont="1" applyFill="1" applyBorder="1" applyAlignment="1">
      <alignment horizontal="center" vertical="center"/>
    </xf>
    <xf numFmtId="3" fontId="7" fillId="2" borderId="31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3" fontId="7" fillId="2" borderId="187" xfId="0" applyNumberFormat="1" applyFont="1" applyFill="1" applyBorder="1" applyAlignment="1">
      <alignment horizontal="center" vertical="center"/>
    </xf>
    <xf numFmtId="49" fontId="7" fillId="2" borderId="144" xfId="0" applyNumberFormat="1" applyFont="1" applyFill="1" applyBorder="1" applyAlignment="1">
      <alignment horizontal="center" vertical="center" wrapText="1"/>
    </xf>
    <xf numFmtId="49" fontId="7" fillId="2" borderId="30" xfId="0" applyNumberFormat="1" applyFont="1" applyFill="1" applyBorder="1" applyAlignment="1">
      <alignment vertical="center" wrapText="1"/>
    </xf>
    <xf numFmtId="0" fontId="7" fillId="2" borderId="188" xfId="0" applyFont="1" applyFill="1" applyBorder="1" applyAlignment="1">
      <alignment horizontal="center" vertical="center"/>
    </xf>
    <xf numFmtId="3" fontId="7" fillId="2" borderId="188" xfId="0" applyNumberFormat="1" applyFont="1" applyFill="1" applyBorder="1" applyAlignment="1">
      <alignment horizontal="center" vertical="center"/>
    </xf>
    <xf numFmtId="49" fontId="7" fillId="2" borderId="144" xfId="0" applyNumberFormat="1" applyFont="1" applyFill="1" applyBorder="1" applyAlignment="1">
      <alignment vertical="center" wrapText="1"/>
    </xf>
    <xf numFmtId="3" fontId="7" fillId="2" borderId="11" xfId="0" applyNumberFormat="1" applyFont="1" applyFill="1" applyBorder="1" applyAlignment="1">
      <alignment horizontal="center" vertical="center"/>
    </xf>
    <xf numFmtId="0" fontId="7" fillId="2" borderId="177" xfId="0" applyFont="1" applyFill="1" applyBorder="1" applyAlignment="1">
      <alignment horizontal="center" vertical="center"/>
    </xf>
    <xf numFmtId="3" fontId="7" fillId="2" borderId="164" xfId="0" applyNumberFormat="1" applyFont="1" applyFill="1" applyBorder="1" applyAlignment="1">
      <alignment horizontal="center" vertical="center"/>
    </xf>
    <xf numFmtId="49" fontId="7" fillId="2" borderId="142" xfId="0" applyNumberFormat="1" applyFont="1" applyFill="1" applyBorder="1" applyAlignment="1">
      <alignment horizontal="center" vertical="center" wrapText="1"/>
    </xf>
    <xf numFmtId="49" fontId="7" fillId="2" borderId="140" xfId="0" applyNumberFormat="1" applyFont="1" applyFill="1" applyBorder="1" applyAlignment="1">
      <alignment horizontal="center" vertical="center" wrapText="1"/>
    </xf>
    <xf numFmtId="49" fontId="7" fillId="2" borderId="44" xfId="0" applyNumberFormat="1" applyFont="1" applyFill="1" applyBorder="1" applyAlignment="1">
      <alignment horizontal="center" vertical="center" wrapText="1"/>
    </xf>
    <xf numFmtId="49" fontId="17" fillId="2" borderId="44" xfId="0" applyNumberFormat="1" applyFont="1" applyFill="1" applyBorder="1" applyAlignment="1">
      <alignment horizontal="center" vertical="center" wrapText="1"/>
    </xf>
    <xf numFmtId="0" fontId="7" fillId="2" borderId="140" xfId="0" applyFont="1" applyFill="1" applyBorder="1" applyAlignment="1">
      <alignment horizontal="center" vertical="center"/>
    </xf>
    <xf numFmtId="3" fontId="7" fillId="2" borderId="142" xfId="0" applyNumberFormat="1" applyFont="1" applyFill="1" applyBorder="1" applyAlignment="1">
      <alignment horizontal="center" vertical="center"/>
    </xf>
    <xf numFmtId="49" fontId="7" fillId="2" borderId="140" xfId="0" applyNumberFormat="1" applyFont="1" applyFill="1" applyBorder="1" applyAlignment="1">
      <alignment horizontal="center" vertical="center"/>
    </xf>
    <xf numFmtId="0" fontId="7" fillId="2" borderId="186" xfId="0" applyFont="1" applyFill="1" applyBorder="1" applyAlignment="1">
      <alignment horizontal="center" vertical="center"/>
    </xf>
    <xf numFmtId="49" fontId="7" fillId="2" borderId="164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9" fontId="7" fillId="2" borderId="31" xfId="0" applyNumberFormat="1" applyFont="1" applyFill="1" applyBorder="1" applyAlignment="1">
      <alignment horizontal="center" vertical="center"/>
    </xf>
    <xf numFmtId="0" fontId="7" fillId="2" borderId="112" xfId="0" applyFont="1" applyFill="1" applyBorder="1" applyAlignment="1">
      <alignment horizontal="center" vertical="center" wrapText="1"/>
    </xf>
    <xf numFmtId="0" fontId="7" fillId="2" borderId="133" xfId="0" applyFont="1" applyFill="1" applyBorder="1" applyAlignment="1">
      <alignment horizontal="center" vertical="center"/>
    </xf>
    <xf numFmtId="3" fontId="7" fillId="2" borderId="177" xfId="0" applyNumberFormat="1" applyFont="1" applyFill="1" applyBorder="1" applyAlignment="1">
      <alignment horizontal="center" vertical="center"/>
    </xf>
    <xf numFmtId="49" fontId="7" fillId="2" borderId="177" xfId="0" applyNumberFormat="1" applyFont="1" applyFill="1" applyBorder="1" applyAlignment="1">
      <alignment horizontal="center" vertical="center"/>
    </xf>
    <xf numFmtId="49" fontId="7" fillId="2" borderId="141" xfId="0" applyNumberFormat="1" applyFont="1" applyFill="1" applyBorder="1" applyAlignment="1">
      <alignment horizontal="center" vertical="center" wrapText="1"/>
    </xf>
    <xf numFmtId="49" fontId="7" fillId="2" borderId="145" xfId="0" applyNumberFormat="1" applyFont="1" applyFill="1" applyBorder="1" applyAlignment="1">
      <alignment horizontal="center" vertical="center" wrapText="1"/>
    </xf>
    <xf numFmtId="3" fontId="7" fillId="2" borderId="107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30" xfId="0" applyNumberFormat="1" applyFont="1" applyFill="1" applyBorder="1" applyAlignment="1">
      <alignment horizontal="center" vertical="center" wrapText="1"/>
    </xf>
    <xf numFmtId="49" fontId="7" fillId="2" borderId="31" xfId="0" applyNumberFormat="1" applyFont="1" applyFill="1" applyBorder="1" applyAlignment="1">
      <alignment vertical="center" wrapText="1"/>
    </xf>
    <xf numFmtId="3" fontId="7" fillId="2" borderId="186" xfId="0" applyNumberFormat="1" applyFont="1" applyFill="1" applyBorder="1" applyAlignment="1">
      <alignment horizontal="center" vertical="center"/>
    </xf>
    <xf numFmtId="3" fontId="7" fillId="2" borderId="97" xfId="0" applyNumberFormat="1" applyFont="1" applyFill="1" applyBorder="1" applyAlignment="1">
      <alignment horizontal="center" vertical="center"/>
    </xf>
    <xf numFmtId="3" fontId="7" fillId="2" borderId="143" xfId="0" applyNumberFormat="1" applyFont="1" applyFill="1" applyBorder="1" applyAlignment="1">
      <alignment horizontal="center" vertical="center"/>
    </xf>
    <xf numFmtId="49" fontId="7" fillId="2" borderId="141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49" fontId="17" fillId="2" borderId="11" xfId="0" applyNumberFormat="1" applyFont="1" applyFill="1" applyBorder="1" applyAlignment="1">
      <alignment horizontal="center" vertical="center" wrapText="1"/>
    </xf>
    <xf numFmtId="49" fontId="7" fillId="2" borderId="143" xfId="0" applyNumberFormat="1" applyFont="1" applyFill="1" applyBorder="1" applyAlignment="1">
      <alignment horizontal="center" vertical="center" wrapText="1"/>
    </xf>
    <xf numFmtId="0" fontId="7" fillId="2" borderId="141" xfId="0" applyFont="1" applyFill="1" applyBorder="1" applyAlignment="1">
      <alignment horizontal="center" vertical="center"/>
    </xf>
    <xf numFmtId="3" fontId="7" fillId="2" borderId="178" xfId="0" applyNumberFormat="1" applyFont="1" applyFill="1" applyBorder="1" applyAlignment="1">
      <alignment horizontal="center" vertical="center"/>
    </xf>
    <xf numFmtId="3" fontId="7" fillId="2" borderId="182" xfId="0" applyNumberFormat="1" applyFont="1" applyFill="1" applyBorder="1" applyAlignment="1">
      <alignment horizontal="center" vertical="center"/>
    </xf>
    <xf numFmtId="3" fontId="7" fillId="2" borderId="179" xfId="0" applyNumberFormat="1" applyFont="1" applyFill="1" applyBorder="1" applyAlignment="1">
      <alignment horizontal="center" vertical="center"/>
    </xf>
    <xf numFmtId="49" fontId="7" fillId="2" borderId="180" xfId="0" applyNumberFormat="1" applyFont="1" applyFill="1" applyBorder="1" applyAlignment="1">
      <alignment horizontal="center" vertical="center"/>
    </xf>
    <xf numFmtId="49" fontId="7" fillId="2" borderId="181" xfId="0" applyNumberFormat="1" applyFont="1" applyFill="1" applyBorder="1" applyAlignment="1">
      <alignment vertical="center" wrapText="1"/>
    </xf>
    <xf numFmtId="49" fontId="7" fillId="2" borderId="182" xfId="0" applyNumberFormat="1" applyFont="1" applyFill="1" applyBorder="1" applyAlignment="1">
      <alignment vertical="center"/>
    </xf>
    <xf numFmtId="49" fontId="7" fillId="2" borderId="179" xfId="0" applyNumberFormat="1" applyFont="1" applyFill="1" applyBorder="1" applyAlignment="1">
      <alignment horizontal="center" vertical="center" wrapText="1"/>
    </xf>
    <xf numFmtId="0" fontId="7" fillId="2" borderId="181" xfId="0" applyFont="1" applyFill="1" applyBorder="1" applyAlignment="1">
      <alignment horizontal="center" vertical="center"/>
    </xf>
    <xf numFmtId="0" fontId="7" fillId="2" borderId="183" xfId="0" applyFont="1" applyFill="1" applyBorder="1" applyAlignment="1">
      <alignment horizontal="center" vertical="center"/>
    </xf>
    <xf numFmtId="0" fontId="7" fillId="2" borderId="184" xfId="0" applyFont="1" applyFill="1" applyBorder="1" applyAlignment="1">
      <alignment horizontal="center" vertical="center"/>
    </xf>
    <xf numFmtId="49" fontId="7" fillId="2" borderId="180" xfId="0" applyNumberFormat="1" applyFont="1" applyFill="1" applyBorder="1" applyAlignment="1">
      <alignment vertical="center"/>
    </xf>
    <xf numFmtId="49" fontId="7" fillId="2" borderId="185" xfId="0" applyNumberFormat="1" applyFont="1" applyFill="1" applyBorder="1" applyAlignment="1">
      <alignment vertical="center" wrapText="1"/>
    </xf>
    <xf numFmtId="49" fontId="7" fillId="2" borderId="31" xfId="0" applyNumberFormat="1" applyFont="1" applyFill="1" applyBorder="1" applyAlignment="1">
      <alignment vertical="center"/>
    </xf>
    <xf numFmtId="49" fontId="7" fillId="2" borderId="176" xfId="0" applyNumberFormat="1" applyFont="1" applyFill="1" applyBorder="1" applyAlignment="1">
      <alignment vertical="center" wrapText="1"/>
    </xf>
    <xf numFmtId="49" fontId="7" fillId="2" borderId="144" xfId="0" applyNumberFormat="1" applyFont="1" applyFill="1" applyBorder="1" applyAlignment="1">
      <alignment horizontal="center" vertical="center"/>
    </xf>
    <xf numFmtId="49" fontId="7" fillId="2" borderId="30" xfId="0" applyNumberFormat="1" applyFont="1" applyFill="1" applyBorder="1" applyAlignment="1">
      <alignment vertical="center"/>
    </xf>
    <xf numFmtId="49" fontId="7" fillId="2" borderId="44" xfId="0" applyNumberFormat="1" applyFont="1" applyFill="1" applyBorder="1" applyAlignment="1">
      <alignment horizontal="center" vertical="center"/>
    </xf>
    <xf numFmtId="0" fontId="7" fillId="2" borderId="193" xfId="0" applyFont="1" applyFill="1" applyBorder="1" applyAlignment="1">
      <alignment horizontal="center" vertical="center" wrapText="1"/>
    </xf>
    <xf numFmtId="0" fontId="7" fillId="2" borderId="97" xfId="0" applyFont="1" applyFill="1" applyBorder="1" applyAlignment="1">
      <alignment horizontal="center" vertical="center" wrapText="1"/>
    </xf>
    <xf numFmtId="0" fontId="7" fillId="2" borderId="192" xfId="0" applyFont="1" applyFill="1" applyBorder="1" applyAlignment="1">
      <alignment horizontal="center" vertical="center"/>
    </xf>
    <xf numFmtId="0" fontId="7" fillId="2" borderId="195" xfId="0" applyFont="1" applyFill="1" applyBorder="1" applyAlignment="1">
      <alignment horizontal="center" vertical="center" wrapText="1"/>
    </xf>
    <xf numFmtId="0" fontId="7" fillId="2" borderId="177" xfId="0" applyFont="1" applyFill="1" applyBorder="1" applyAlignment="1">
      <alignment horizontal="center" vertical="center" wrapText="1"/>
    </xf>
    <xf numFmtId="3" fontId="7" fillId="2" borderId="190" xfId="0" applyNumberFormat="1" applyFont="1" applyFill="1" applyBorder="1" applyAlignment="1">
      <alignment horizontal="center" vertical="center"/>
    </xf>
    <xf numFmtId="49" fontId="7" fillId="2" borderId="188" xfId="0" applyNumberFormat="1" applyFont="1" applyFill="1" applyBorder="1" applyAlignment="1">
      <alignment horizontal="center" vertical="center" wrapText="1"/>
    </xf>
    <xf numFmtId="49" fontId="7" fillId="2" borderId="29" xfId="0" applyNumberFormat="1" applyFont="1" applyFill="1" applyBorder="1" applyAlignment="1">
      <alignment vertical="center" wrapText="1"/>
    </xf>
    <xf numFmtId="49" fontId="7" fillId="2" borderId="0" xfId="0" applyNumberFormat="1" applyFont="1" applyFill="1" applyAlignment="1">
      <alignment vertical="center" wrapText="1"/>
    </xf>
    <xf numFmtId="0" fontId="7" fillId="2" borderId="142" xfId="0" applyFont="1" applyFill="1" applyBorder="1" applyAlignment="1">
      <alignment horizontal="center" vertical="center"/>
    </xf>
    <xf numFmtId="49" fontId="7" fillId="2" borderId="196" xfId="0" applyNumberFormat="1" applyFont="1" applyFill="1" applyBorder="1" applyAlignment="1">
      <alignment horizontal="center" vertical="center" wrapText="1"/>
    </xf>
    <xf numFmtId="49" fontId="7" fillId="2" borderId="197" xfId="0" applyNumberFormat="1" applyFont="1" applyFill="1" applyBorder="1" applyAlignment="1">
      <alignment horizontal="center" vertical="center" wrapText="1"/>
    </xf>
    <xf numFmtId="49" fontId="1" fillId="2" borderId="107" xfId="0" applyNumberFormat="1" applyFont="1" applyFill="1" applyBorder="1" applyAlignment="1">
      <alignment horizontal="center" vertical="center" wrapText="1"/>
    </xf>
    <xf numFmtId="0" fontId="7" fillId="2" borderId="194" xfId="0" applyFont="1" applyFill="1" applyBorder="1" applyAlignment="1">
      <alignment horizontal="center" vertical="center"/>
    </xf>
    <xf numFmtId="3" fontId="7" fillId="2" borderId="96" xfId="0" applyNumberFormat="1" applyFont="1" applyFill="1" applyBorder="1" applyAlignment="1">
      <alignment horizontal="center" vertical="center"/>
    </xf>
    <xf numFmtId="0" fontId="7" fillId="2" borderId="167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 wrapText="1"/>
    </xf>
    <xf numFmtId="0" fontId="1" fillId="2" borderId="0" xfId="0" applyFont="1" applyFill="1"/>
    <xf numFmtId="3" fontId="7" fillId="2" borderId="73" xfId="0" applyNumberFormat="1" applyFont="1" applyFill="1" applyBorder="1" applyAlignment="1">
      <alignment vertical="center"/>
    </xf>
    <xf numFmtId="3" fontId="7" fillId="2" borderId="188" xfId="0" applyNumberFormat="1" applyFont="1" applyFill="1" applyBorder="1" applyAlignment="1">
      <alignment vertical="center"/>
    </xf>
    <xf numFmtId="3" fontId="7" fillId="2" borderId="31" xfId="0" applyNumberFormat="1" applyFont="1" applyFill="1" applyBorder="1" applyAlignment="1">
      <alignment vertical="center"/>
    </xf>
    <xf numFmtId="3" fontId="7" fillId="2" borderId="107" xfId="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112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107" xfId="0" applyFont="1" applyFill="1" applyBorder="1" applyAlignment="1">
      <alignment vertical="center"/>
    </xf>
    <xf numFmtId="0" fontId="7" fillId="2" borderId="31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3" fontId="7" fillId="2" borderId="210" xfId="0" applyNumberFormat="1" applyFont="1" applyFill="1" applyBorder="1" applyAlignment="1">
      <alignment horizontal="center" vertical="center"/>
    </xf>
    <xf numFmtId="3" fontId="7" fillId="2" borderId="211" xfId="0" applyNumberFormat="1" applyFont="1" applyFill="1" applyBorder="1" applyAlignment="1">
      <alignment horizontal="center" vertical="center"/>
    </xf>
    <xf numFmtId="0" fontId="1" fillId="2" borderId="212" xfId="0" applyFont="1" applyFill="1" applyBorder="1"/>
    <xf numFmtId="0" fontId="1" fillId="2" borderId="72" xfId="0" applyFont="1" applyFill="1" applyBorder="1"/>
    <xf numFmtId="0" fontId="1" fillId="2" borderId="92" xfId="0" applyFont="1" applyFill="1" applyBorder="1"/>
    <xf numFmtId="0" fontId="1" fillId="2" borderId="213" xfId="0" applyFont="1" applyFill="1" applyBorder="1"/>
    <xf numFmtId="49" fontId="7" fillId="2" borderId="41" xfId="0" applyNumberFormat="1" applyFont="1" applyFill="1" applyBorder="1" applyAlignment="1">
      <alignment horizontal="center" vertical="center"/>
    </xf>
    <xf numFmtId="49" fontId="7" fillId="2" borderId="213" xfId="0" applyNumberFormat="1" applyFont="1" applyFill="1" applyBorder="1" applyAlignment="1">
      <alignment horizontal="center" vertical="center" wrapText="1"/>
    </xf>
    <xf numFmtId="49" fontId="7" fillId="2" borderId="72" xfId="0" applyNumberFormat="1" applyFont="1" applyFill="1" applyBorder="1" applyAlignment="1">
      <alignment vertical="center" wrapText="1"/>
    </xf>
    <xf numFmtId="49" fontId="17" fillId="2" borderId="72" xfId="0" applyNumberFormat="1" applyFont="1" applyFill="1" applyBorder="1" applyAlignment="1">
      <alignment horizontal="center" vertical="center" wrapText="1"/>
    </xf>
    <xf numFmtId="49" fontId="7" fillId="2" borderId="214" xfId="0" applyNumberFormat="1" applyFont="1" applyFill="1" applyBorder="1" applyAlignment="1">
      <alignment horizontal="center" vertical="center" wrapText="1"/>
    </xf>
    <xf numFmtId="49" fontId="7" fillId="2" borderId="213" xfId="0" applyNumberFormat="1" applyFont="1" applyFill="1" applyBorder="1" applyAlignment="1">
      <alignment vertical="center" wrapText="1"/>
    </xf>
    <xf numFmtId="49" fontId="7" fillId="2" borderId="214" xfId="0" applyNumberFormat="1" applyFont="1" applyFill="1" applyBorder="1" applyAlignment="1">
      <alignment vertical="center"/>
    </xf>
    <xf numFmtId="49" fontId="7" fillId="2" borderId="72" xfId="0" applyNumberFormat="1" applyFont="1" applyFill="1" applyBorder="1" applyAlignment="1">
      <alignment horizontal="center" vertical="center"/>
    </xf>
    <xf numFmtId="49" fontId="7" fillId="2" borderId="72" xfId="0" applyNumberFormat="1" applyFont="1" applyFill="1" applyBorder="1" applyAlignment="1">
      <alignment horizontal="center" vertical="center" wrapText="1"/>
    </xf>
    <xf numFmtId="49" fontId="7" fillId="2" borderId="213" xfId="0" applyNumberFormat="1" applyFont="1" applyFill="1" applyBorder="1" applyAlignment="1">
      <alignment horizontal="center" vertical="center"/>
    </xf>
    <xf numFmtId="49" fontId="7" fillId="2" borderId="149" xfId="0" applyNumberFormat="1" applyFont="1" applyFill="1" applyBorder="1" applyAlignment="1">
      <alignment horizontal="center" vertical="center"/>
    </xf>
    <xf numFmtId="0" fontId="7" fillId="2" borderId="136" xfId="0" applyFont="1" applyFill="1" applyBorder="1" applyAlignment="1">
      <alignment horizontal="center" vertical="center"/>
    </xf>
    <xf numFmtId="3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vertical="center"/>
    </xf>
    <xf numFmtId="0" fontId="7" fillId="2" borderId="72" xfId="0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horizontal="center" vertical="center" wrapText="1"/>
    </xf>
    <xf numFmtId="49" fontId="11" fillId="2" borderId="72" xfId="0" applyNumberFormat="1" applyFont="1" applyFill="1" applyBorder="1" applyAlignment="1">
      <alignment horizontal="center" vertical="center" wrapText="1"/>
    </xf>
    <xf numFmtId="0" fontId="7" fillId="2" borderId="72" xfId="0" applyFont="1" applyFill="1" applyBorder="1" applyAlignment="1">
      <alignment vertical="center"/>
    </xf>
    <xf numFmtId="3" fontId="7" fillId="2" borderId="72" xfId="0" applyNumberFormat="1" applyFont="1" applyFill="1" applyBorder="1" applyAlignment="1">
      <alignment horizontal="center" vertical="center" wrapText="1"/>
    </xf>
    <xf numFmtId="3" fontId="7" fillId="2" borderId="30" xfId="0" applyNumberFormat="1" applyFont="1" applyFill="1" applyBorder="1" applyAlignment="1">
      <alignment horizontal="center" vertical="center"/>
    </xf>
    <xf numFmtId="49" fontId="7" fillId="2" borderId="30" xfId="0" applyNumberFormat="1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vertical="center" wrapText="1"/>
    </xf>
    <xf numFmtId="49" fontId="7" fillId="2" borderId="72" xfId="0" applyNumberFormat="1" applyFont="1" applyFill="1" applyBorder="1" applyAlignment="1">
      <alignment vertical="center"/>
    </xf>
    <xf numFmtId="0" fontId="3" fillId="2" borderId="72" xfId="0" applyFont="1" applyFill="1" applyBorder="1" applyAlignment="1">
      <alignment horizontal="center" vertical="center" wrapText="1"/>
    </xf>
    <xf numFmtId="3" fontId="7" fillId="2" borderId="176" xfId="0" applyNumberFormat="1" applyFont="1" applyFill="1" applyBorder="1" applyAlignment="1">
      <alignment horizontal="center" vertical="center"/>
    </xf>
    <xf numFmtId="0" fontId="7" fillId="2" borderId="170" xfId="0" applyFont="1" applyFill="1" applyBorder="1" applyAlignment="1">
      <alignment horizontal="center" vertical="center" wrapText="1"/>
    </xf>
    <xf numFmtId="3" fontId="7" fillId="2" borderId="72" xfId="0" applyNumberFormat="1" applyFont="1" applyFill="1" applyBorder="1" applyAlignment="1">
      <alignment horizontal="center" vertical="center"/>
    </xf>
    <xf numFmtId="14" fontId="7" fillId="0" borderId="103" xfId="0" applyNumberFormat="1" applyFont="1" applyBorder="1" applyAlignment="1">
      <alignment horizontal="center" vertical="center"/>
    </xf>
    <xf numFmtId="49" fontId="7" fillId="2" borderId="215" xfId="0" applyNumberFormat="1" applyFont="1" applyFill="1" applyBorder="1" applyAlignment="1">
      <alignment horizontal="center" vertical="center" wrapText="1"/>
    </xf>
    <xf numFmtId="49" fontId="7" fillId="2" borderId="215" xfId="0" applyNumberFormat="1" applyFont="1" applyFill="1" applyBorder="1" applyAlignment="1">
      <alignment horizontal="center" vertical="center"/>
    </xf>
    <xf numFmtId="0" fontId="7" fillId="2" borderId="215" xfId="0" applyFont="1" applyFill="1" applyBorder="1" applyAlignment="1">
      <alignment horizontal="center" vertical="center" wrapText="1"/>
    </xf>
    <xf numFmtId="0" fontId="7" fillId="2" borderId="21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49" fontId="7" fillId="5" borderId="6" xfId="0" applyNumberFormat="1" applyFont="1" applyFill="1" applyBorder="1" applyAlignment="1">
      <alignment horizontal="center" vertical="center"/>
    </xf>
    <xf numFmtId="49" fontId="17" fillId="5" borderId="6" xfId="0" applyNumberFormat="1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0" fontId="7" fillId="5" borderId="0" xfId="0" applyFont="1" applyFill="1"/>
    <xf numFmtId="3" fontId="7" fillId="5" borderId="5" xfId="0" applyNumberFormat="1" applyFont="1" applyFill="1" applyBorder="1" applyAlignment="1">
      <alignment horizontal="center" vertical="center"/>
    </xf>
    <xf numFmtId="3" fontId="7" fillId="5" borderId="6" xfId="0" applyNumberFormat="1" applyFont="1" applyFill="1" applyBorder="1" applyAlignment="1">
      <alignment horizontal="center" vertical="center"/>
    </xf>
    <xf numFmtId="3" fontId="7" fillId="5" borderId="107" xfId="0" applyNumberFormat="1" applyFont="1" applyFill="1" applyBorder="1" applyAlignment="1">
      <alignment horizontal="center" vertical="center"/>
    </xf>
    <xf numFmtId="0" fontId="7" fillId="5" borderId="112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/>
    </xf>
    <xf numFmtId="49" fontId="7" fillId="5" borderId="107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1" fillId="2" borderId="6" xfId="0" applyFont="1" applyFill="1" applyBorder="1"/>
    <xf numFmtId="0" fontId="1" fillId="2" borderId="31" xfId="0" applyFont="1" applyFill="1" applyBorder="1"/>
    <xf numFmtId="0" fontId="7" fillId="2" borderId="97" xfId="0" applyFont="1" applyFill="1" applyBorder="1" applyAlignment="1">
      <alignment horizontal="center" vertical="center"/>
    </xf>
    <xf numFmtId="49" fontId="7" fillId="5" borderId="112" xfId="0" applyNumberFormat="1" applyFont="1" applyFill="1" applyBorder="1" applyAlignment="1">
      <alignment horizontal="center" vertical="center"/>
    </xf>
    <xf numFmtId="0" fontId="7" fillId="5" borderId="107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49" fontId="7" fillId="5" borderId="8" xfId="0" applyNumberFormat="1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5" borderId="72" xfId="0" applyFont="1" applyFill="1" applyBorder="1" applyAlignment="1">
      <alignment horizontal="center" vertical="center"/>
    </xf>
    <xf numFmtId="0" fontId="7" fillId="5" borderId="72" xfId="0" applyFont="1" applyFill="1" applyBorder="1" applyAlignment="1">
      <alignment horizontal="center" vertical="center" wrapText="1"/>
    </xf>
    <xf numFmtId="49" fontId="7" fillId="5" borderId="72" xfId="0" applyNumberFormat="1" applyFont="1" applyFill="1" applyBorder="1" applyAlignment="1">
      <alignment horizontal="center" vertical="center" wrapText="1"/>
    </xf>
    <xf numFmtId="3" fontId="7" fillId="5" borderId="8" xfId="0" applyNumberFormat="1" applyFont="1" applyFill="1" applyBorder="1" applyAlignment="1">
      <alignment horizontal="center" vertical="center"/>
    </xf>
    <xf numFmtId="49" fontId="7" fillId="5" borderId="72" xfId="0" applyNumberFormat="1" applyFont="1" applyFill="1" applyBorder="1" applyAlignment="1">
      <alignment horizontal="center" vertical="center"/>
    </xf>
    <xf numFmtId="0" fontId="7" fillId="2" borderId="212" xfId="0" applyFont="1" applyFill="1" applyBorder="1"/>
    <xf numFmtId="0" fontId="7" fillId="2" borderId="72" xfId="0" applyFont="1" applyFill="1" applyBorder="1"/>
    <xf numFmtId="0" fontId="7" fillId="2" borderId="213" xfId="0" applyFont="1" applyFill="1" applyBorder="1"/>
    <xf numFmtId="0" fontId="1" fillId="2" borderId="112" xfId="0" applyFont="1" applyFill="1" applyBorder="1"/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44" xfId="0" applyNumberFormat="1" applyFont="1" applyFill="1" applyBorder="1" applyAlignment="1">
      <alignment horizontal="center" vertical="center"/>
    </xf>
    <xf numFmtId="0" fontId="1" fillId="2" borderId="170" xfId="0" applyFont="1" applyFill="1" applyBorder="1" applyAlignment="1">
      <alignment horizontal="center" vertical="center" wrapText="1"/>
    </xf>
    <xf numFmtId="49" fontId="1" fillId="2" borderId="72" xfId="0" applyNumberFormat="1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horizontal="center" vertical="center" wrapText="1"/>
    </xf>
    <xf numFmtId="0" fontId="1" fillId="5" borderId="0" xfId="0" applyFont="1" applyFill="1"/>
    <xf numFmtId="49" fontId="7" fillId="2" borderId="216" xfId="0" applyNumberFormat="1" applyFont="1" applyFill="1" applyBorder="1" applyAlignment="1">
      <alignment horizontal="center" vertical="center"/>
    </xf>
    <xf numFmtId="0" fontId="11" fillId="2" borderId="124" xfId="0" applyFont="1" applyFill="1" applyBorder="1" applyAlignment="1">
      <alignment horizontal="center"/>
    </xf>
    <xf numFmtId="0" fontId="11" fillId="2" borderId="52" xfId="0" applyFont="1" applyFill="1" applyBorder="1" applyAlignment="1">
      <alignment horizontal="center"/>
    </xf>
    <xf numFmtId="0" fontId="11" fillId="2" borderId="116" xfId="0" applyFont="1" applyFill="1" applyBorder="1" applyAlignment="1">
      <alignment horizontal="center"/>
    </xf>
    <xf numFmtId="0" fontId="11" fillId="2" borderId="117" xfId="0" applyFont="1" applyFill="1" applyBorder="1" applyAlignment="1">
      <alignment horizontal="center"/>
    </xf>
    <xf numFmtId="14" fontId="7" fillId="0" borderId="103" xfId="0" applyNumberFormat="1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8" fillId="2" borderId="78" xfId="0" applyFont="1" applyFill="1" applyBorder="1" applyAlignment="1">
      <alignment horizontal="center" vertical="center"/>
    </xf>
    <xf numFmtId="0" fontId="8" fillId="2" borderId="75" xfId="0" applyFont="1" applyFill="1" applyBorder="1" applyAlignment="1">
      <alignment horizontal="center" vertical="center"/>
    </xf>
    <xf numFmtId="0" fontId="8" fillId="2" borderId="10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2" fillId="2" borderId="92" xfId="0" applyFont="1" applyFill="1" applyBorder="1" applyAlignment="1">
      <alignment horizontal="center"/>
    </xf>
    <xf numFmtId="0" fontId="12" fillId="2" borderId="93" xfId="0" applyFont="1" applyFill="1" applyBorder="1" applyAlignment="1">
      <alignment horizontal="center"/>
    </xf>
    <xf numFmtId="0" fontId="12" fillId="2" borderId="86" xfId="0" applyFont="1" applyFill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11" fillId="0" borderId="55" xfId="0" applyFont="1" applyBorder="1" applyAlignment="1">
      <alignment horizontal="center"/>
    </xf>
    <xf numFmtId="0" fontId="7" fillId="0" borderId="7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14" fontId="1" fillId="0" borderId="21" xfId="0" applyNumberFormat="1" applyFont="1" applyBorder="1" applyAlignment="1">
      <alignment horizontal="center" vertical="center"/>
    </xf>
    <xf numFmtId="14" fontId="1" fillId="0" borderId="22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0" borderId="44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4" fillId="0" borderId="7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2" borderId="92" xfId="0" applyFont="1" applyFill="1" applyBorder="1" applyAlignment="1">
      <alignment horizontal="center"/>
    </xf>
    <xf numFmtId="0" fontId="5" fillId="2" borderId="93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0" fillId="6" borderId="8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85" xfId="0" applyFill="1" applyBorder="1" applyAlignment="1">
      <alignment horizontal="center" vertical="center"/>
    </xf>
    <xf numFmtId="0" fontId="0" fillId="2" borderId="8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5" xfId="0" applyFill="1" applyBorder="1" applyAlignment="1">
      <alignment horizontal="center" vertical="center"/>
    </xf>
    <xf numFmtId="14" fontId="1" fillId="7" borderId="21" xfId="0" applyNumberFormat="1" applyFont="1" applyFill="1" applyBorder="1" applyAlignment="1">
      <alignment horizontal="center" vertical="center"/>
    </xf>
    <xf numFmtId="14" fontId="1" fillId="7" borderId="22" xfId="0" applyNumberFormat="1" applyFont="1" applyFill="1" applyBorder="1" applyAlignment="1">
      <alignment horizontal="center" vertical="center"/>
    </xf>
    <xf numFmtId="0" fontId="0" fillId="2" borderId="8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5" xfId="0" applyFill="1" applyBorder="1" applyAlignment="1">
      <alignment horizontal="center"/>
    </xf>
    <xf numFmtId="0" fontId="10" fillId="0" borderId="73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8" borderId="84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85" xfId="0" applyFill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0" fontId="6" fillId="7" borderId="73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4" borderId="8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2" borderId="73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4" fontId="7" fillId="0" borderId="98" xfId="0" applyNumberFormat="1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2" borderId="73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2" fillId="2" borderId="116" xfId="0" applyFont="1" applyFill="1" applyBorder="1" applyAlignment="1">
      <alignment horizontal="center"/>
    </xf>
    <xf numFmtId="0" fontId="2" fillId="2" borderId="117" xfId="0" applyFont="1" applyFill="1" applyBorder="1" applyAlignment="1">
      <alignment horizontal="center"/>
    </xf>
    <xf numFmtId="0" fontId="2" fillId="2" borderId="124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1" fillId="2" borderId="74" xfId="0" applyFont="1" applyFill="1" applyBorder="1" applyAlignment="1">
      <alignment horizontal="center"/>
    </xf>
    <xf numFmtId="0" fontId="1" fillId="2" borderId="101" xfId="0" applyFont="1" applyFill="1" applyBorder="1" applyAlignment="1">
      <alignment horizontal="center"/>
    </xf>
    <xf numFmtId="0" fontId="1" fillId="2" borderId="78" xfId="0" applyFont="1" applyFill="1" applyBorder="1" applyAlignment="1">
      <alignment horizontal="center"/>
    </xf>
    <xf numFmtId="0" fontId="1" fillId="2" borderId="7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0" borderId="74" xfId="0" applyNumberFormat="1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14" fontId="1" fillId="0" borderId="103" xfId="0" applyNumberFormat="1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14" fontId="1" fillId="0" borderId="132" xfId="0" applyNumberFormat="1" applyFont="1" applyBorder="1" applyAlignment="1">
      <alignment horizontal="center" vertical="center"/>
    </xf>
    <xf numFmtId="14" fontId="1" fillId="0" borderId="133" xfId="0" applyNumberFormat="1" applyFont="1" applyBorder="1" applyAlignment="1">
      <alignment horizontal="center" vertical="center"/>
    </xf>
    <xf numFmtId="14" fontId="1" fillId="0" borderId="134" xfId="0" applyNumberFormat="1" applyFont="1" applyBorder="1" applyAlignment="1">
      <alignment horizontal="center" vertical="center"/>
    </xf>
    <xf numFmtId="14" fontId="1" fillId="0" borderId="135" xfId="0" applyNumberFormat="1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0" fontId="1" fillId="0" borderId="140" xfId="0" applyFont="1" applyBorder="1" applyAlignment="1">
      <alignment horizontal="center" vertical="center" wrapText="1"/>
    </xf>
    <xf numFmtId="0" fontId="1" fillId="0" borderId="141" xfId="0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49" fontId="1" fillId="0" borderId="143" xfId="0" applyNumberFormat="1" applyFont="1" applyBorder="1" applyAlignment="1">
      <alignment horizontal="center" vertical="center" wrapText="1"/>
    </xf>
    <xf numFmtId="0" fontId="1" fillId="0" borderId="14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49" fontId="1" fillId="0" borderId="42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29" xfId="0" applyNumberFormat="1" applyFont="1" applyBorder="1" applyAlignment="1">
      <alignment horizontal="center" vertical="center" wrapText="1"/>
    </xf>
    <xf numFmtId="49" fontId="1" fillId="0" borderId="168" xfId="0" applyNumberFormat="1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1" fillId="0" borderId="169" xfId="0" applyNumberFormat="1" applyFont="1" applyBorder="1" applyAlignment="1">
      <alignment horizontal="center" vertical="center" wrapText="1"/>
    </xf>
    <xf numFmtId="3" fontId="1" fillId="0" borderId="96" xfId="0" applyNumberFormat="1" applyFont="1" applyBorder="1" applyAlignment="1">
      <alignment horizontal="center" vertical="center"/>
    </xf>
    <xf numFmtId="3" fontId="1" fillId="0" borderId="83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49" fontId="1" fillId="0" borderId="17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3" fontId="1" fillId="0" borderId="170" xfId="0" applyNumberFormat="1" applyFont="1" applyBorder="1" applyAlignment="1">
      <alignment horizontal="center" vertical="center"/>
    </xf>
    <xf numFmtId="49" fontId="1" fillId="0" borderId="144" xfId="0" applyNumberFormat="1" applyFont="1" applyBorder="1" applyAlignment="1">
      <alignment horizontal="center" vertical="center" wrapText="1"/>
    </xf>
    <xf numFmtId="49" fontId="1" fillId="0" borderId="30" xfId="0" applyNumberFormat="1" applyFont="1" applyBorder="1" applyAlignment="1">
      <alignment horizontal="center" vertical="center" wrapText="1"/>
    </xf>
    <xf numFmtId="49" fontId="1" fillId="0" borderId="31" xfId="0" applyNumberFormat="1" applyFont="1" applyBorder="1" applyAlignment="1">
      <alignment horizontal="center" vertical="center" wrapText="1"/>
    </xf>
    <xf numFmtId="49" fontId="1" fillId="0" borderId="144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0" fontId="7" fillId="0" borderId="144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49" fontId="7" fillId="0" borderId="144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14" fontId="7" fillId="0" borderId="132" xfId="0" applyNumberFormat="1" applyFont="1" applyBorder="1" applyAlignment="1">
      <alignment horizontal="center" vertical="center"/>
    </xf>
    <xf numFmtId="14" fontId="7" fillId="0" borderId="13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78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14" fontId="18" fillId="0" borderId="103" xfId="0" applyNumberFormat="1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1" fillId="0" borderId="144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3" fillId="0" borderId="14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49" fontId="3" fillId="2" borderId="206" xfId="0" applyNumberFormat="1" applyFont="1" applyFill="1" applyBorder="1" applyAlignment="1">
      <alignment horizontal="center" vertical="center" wrapText="1"/>
    </xf>
    <xf numFmtId="0" fontId="3" fillId="2" borderId="144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78" xfId="0" applyFont="1" applyFill="1" applyBorder="1" applyAlignment="1">
      <alignment horizontal="center" vertical="center" wrapText="1"/>
    </xf>
    <xf numFmtId="0" fontId="7" fillId="5" borderId="75" xfId="0" applyFont="1" applyFill="1" applyBorder="1" applyAlignment="1">
      <alignment horizontal="center" vertical="center" wrapText="1"/>
    </xf>
    <xf numFmtId="0" fontId="7" fillId="2" borderId="144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78" xfId="0" applyFont="1" applyFill="1" applyBorder="1" applyAlignment="1">
      <alignment horizontal="center" vertical="center" wrapText="1"/>
    </xf>
    <xf numFmtId="0" fontId="7" fillId="2" borderId="75" xfId="0" applyFont="1" applyFill="1" applyBorder="1" applyAlignment="1">
      <alignment horizontal="center" vertical="center" wrapText="1"/>
    </xf>
    <xf numFmtId="0" fontId="7" fillId="0" borderId="103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tted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tted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tted">
          <color indexed="64"/>
        </top>
        <bottom/>
      </border>
    </dxf>
    <dxf>
      <border outline="0">
        <top style="dotted">
          <color indexed="64"/>
        </top>
      </border>
    </dxf>
    <dxf>
      <border outline="0">
        <left style="thin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border outline="0"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H14:AJ15" totalsRowShown="0" headerRowDxfId="7" dataDxfId="5" headerRowBorderDxfId="6" tableBorderDxfId="4" totalsRowBorderDxfId="3">
  <autoFilter ref="AH14:AJ15" xr:uid="{00000000-0009-0000-0100-000001000000}"/>
  <tableColumns count="3">
    <tableColumn id="1" xr3:uid="{00000000-0010-0000-0000-000001000000}" name="ППР" dataDxfId="2"/>
    <tableColumn id="2" xr3:uid="{00000000-0010-0000-0000-000002000000}" name="Столбец2" dataDxfId="1"/>
    <tableColumn id="3" xr3:uid="{00000000-0010-0000-0000-000003000000}" name="Столбец3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7"/>
  <sheetViews>
    <sheetView zoomScale="55" zoomScaleNormal="55" workbookViewId="0">
      <pane xSplit="1" topLeftCell="C1" activePane="topRight" state="frozen"/>
      <selection pane="topRight" activeCell="Y34" sqref="Y34"/>
    </sheetView>
  </sheetViews>
  <sheetFormatPr defaultColWidth="8.84375" defaultRowHeight="18" x14ac:dyDescent="0.45"/>
  <cols>
    <col min="1" max="1" width="22.69140625" style="324" customWidth="1"/>
    <col min="2" max="2" width="33.69140625" style="250" customWidth="1"/>
    <col min="3" max="3" width="30.3046875" style="246" customWidth="1"/>
    <col min="4" max="4" width="32.3828125" style="246" customWidth="1"/>
    <col min="5" max="5" width="32.53515625" style="283" bestFit="1" customWidth="1"/>
    <col min="6" max="6" width="19" style="284" customWidth="1"/>
    <col min="7" max="7" width="17.15234375" style="284" customWidth="1"/>
    <col min="8" max="8" width="11.53515625" style="250" bestFit="1" customWidth="1"/>
    <col min="9" max="9" width="16.69140625" style="246" customWidth="1"/>
    <col min="10" max="10" width="13.69140625" style="246" customWidth="1"/>
    <col min="11" max="11" width="12.3046875" style="302" bestFit="1" customWidth="1"/>
    <col min="12" max="12" width="9.84375" style="302" customWidth="1"/>
    <col min="13" max="13" width="10.15234375" style="283" bestFit="1" customWidth="1"/>
    <col min="14" max="14" width="11.84375" style="250" bestFit="1" customWidth="1"/>
    <col min="15" max="15" width="12.3046875" style="246" bestFit="1" customWidth="1"/>
    <col min="16" max="16" width="11.84375" style="246" bestFit="1" customWidth="1"/>
    <col min="17" max="17" width="12.3046875" style="283" bestFit="1" customWidth="1"/>
    <col min="18" max="19" width="10.15234375" style="287" customWidth="1"/>
    <col min="20" max="16384" width="8.84375" style="255"/>
  </cols>
  <sheetData>
    <row r="1" spans="1:22" ht="18.899999999999999" thickTop="1" thickBot="1" x14ac:dyDescent="0.5">
      <c r="A1" s="352"/>
      <c r="B1" s="1361" t="s">
        <v>3</v>
      </c>
      <c r="C1" s="1362"/>
      <c r="D1" s="1362"/>
      <c r="E1" s="1363"/>
      <c r="F1" s="253"/>
      <c r="G1" s="253"/>
      <c r="H1" s="1361" t="s">
        <v>6</v>
      </c>
      <c r="I1" s="1362"/>
      <c r="J1" s="1362"/>
      <c r="K1" s="1364"/>
      <c r="L1" s="1364"/>
      <c r="M1" s="1363"/>
      <c r="N1" s="1365" t="s">
        <v>13</v>
      </c>
      <c r="O1" s="1366"/>
      <c r="P1" s="1366"/>
      <c r="Q1" s="1367"/>
      <c r="R1" s="253"/>
      <c r="S1" s="254"/>
    </row>
    <row r="2" spans="1:22" ht="18.899999999999999" thickTop="1" thickBot="1" x14ac:dyDescent="0.5">
      <c r="A2" s="353" t="s">
        <v>0</v>
      </c>
      <c r="B2" s="257" t="s">
        <v>1</v>
      </c>
      <c r="C2" s="258" t="s">
        <v>4</v>
      </c>
      <c r="D2" s="258" t="s">
        <v>2</v>
      </c>
      <c r="E2" s="259" t="s">
        <v>5</v>
      </c>
      <c r="F2" s="260" t="s">
        <v>26</v>
      </c>
      <c r="G2" s="260" t="s">
        <v>19</v>
      </c>
      <c r="H2" s="261" t="s">
        <v>1</v>
      </c>
      <c r="I2" s="262" t="s">
        <v>4</v>
      </c>
      <c r="J2" s="262" t="s">
        <v>2</v>
      </c>
      <c r="K2" s="262" t="s">
        <v>5</v>
      </c>
      <c r="L2" s="263" t="s">
        <v>26</v>
      </c>
      <c r="M2" s="264" t="s">
        <v>19</v>
      </c>
      <c r="N2" s="257" t="s">
        <v>1</v>
      </c>
      <c r="O2" s="258" t="s">
        <v>4</v>
      </c>
      <c r="P2" s="258" t="s">
        <v>2</v>
      </c>
      <c r="Q2" s="265" t="s">
        <v>5</v>
      </c>
      <c r="R2" s="266" t="s">
        <v>19</v>
      </c>
      <c r="S2" s="267" t="s">
        <v>26</v>
      </c>
    </row>
    <row r="3" spans="1:22" ht="20.149999999999999" customHeight="1" thickTop="1" x14ac:dyDescent="0.45">
      <c r="A3" s="268">
        <v>44378</v>
      </c>
      <c r="B3" s="269"/>
      <c r="C3" s="226"/>
      <c r="D3" s="226"/>
      <c r="E3" s="270"/>
      <c r="F3" s="271"/>
      <c r="G3" s="272"/>
      <c r="H3" s="269">
        <v>120</v>
      </c>
      <c r="I3" s="226"/>
      <c r="J3" s="226"/>
      <c r="K3" s="226"/>
      <c r="L3" s="273"/>
      <c r="M3" s="274"/>
      <c r="N3" s="280"/>
      <c r="O3" s="275"/>
      <c r="Q3" s="246"/>
      <c r="R3" s="276"/>
      <c r="S3" s="277"/>
      <c r="U3" s="278" t="s">
        <v>8</v>
      </c>
      <c r="V3" s="255" t="s">
        <v>10</v>
      </c>
    </row>
    <row r="4" spans="1:22" ht="20.149999999999999" customHeight="1" x14ac:dyDescent="0.45">
      <c r="A4" s="268">
        <v>44379</v>
      </c>
      <c r="B4" s="269"/>
      <c r="C4" s="226"/>
      <c r="D4" s="226"/>
      <c r="E4" s="270"/>
      <c r="F4" s="269"/>
      <c r="G4" s="272"/>
      <c r="H4" s="269">
        <v>90</v>
      </c>
      <c r="I4" s="226"/>
      <c r="J4" s="226"/>
      <c r="K4" s="226"/>
      <c r="L4" s="226"/>
      <c r="M4" s="274"/>
      <c r="N4" s="247"/>
      <c r="O4" s="275"/>
      <c r="Q4" s="246"/>
      <c r="R4" s="281"/>
      <c r="S4" s="277"/>
      <c r="U4" s="278"/>
    </row>
    <row r="5" spans="1:22" ht="20.149999999999999" customHeight="1" x14ac:dyDescent="0.45">
      <c r="A5" s="268">
        <v>44380</v>
      </c>
      <c r="B5" s="269"/>
      <c r="F5" s="250"/>
      <c r="H5" s="250">
        <v>20</v>
      </c>
      <c r="K5" s="246"/>
      <c r="L5" s="246"/>
      <c r="M5" s="285"/>
      <c r="N5" s="247"/>
      <c r="O5" s="275"/>
      <c r="Q5" s="246"/>
      <c r="R5" s="288"/>
      <c r="S5" s="277"/>
      <c r="U5" s="289" t="s">
        <v>7</v>
      </c>
      <c r="V5" s="255" t="s">
        <v>11</v>
      </c>
    </row>
    <row r="6" spans="1:22" ht="20.149999999999999" customHeight="1" x14ac:dyDescent="0.45">
      <c r="A6" s="268">
        <v>44381</v>
      </c>
      <c r="D6" s="343"/>
      <c r="E6" s="290"/>
      <c r="F6" s="250"/>
      <c r="K6" s="246"/>
      <c r="L6" s="246"/>
      <c r="M6" s="285"/>
      <c r="N6" s="247"/>
      <c r="O6" s="275"/>
      <c r="Q6" s="246"/>
      <c r="R6" s="288"/>
      <c r="S6" s="291"/>
      <c r="U6" s="292" t="s">
        <v>9</v>
      </c>
      <c r="V6" s="255" t="s">
        <v>12</v>
      </c>
    </row>
    <row r="7" spans="1:22" ht="20.149999999999999" customHeight="1" x14ac:dyDescent="0.45">
      <c r="A7" s="268">
        <v>44382</v>
      </c>
      <c r="B7" s="293"/>
      <c r="D7" s="344"/>
      <c r="F7" s="250"/>
      <c r="K7" s="246"/>
      <c r="L7" s="246"/>
      <c r="M7" s="285"/>
      <c r="N7" s="247"/>
      <c r="O7" s="275"/>
      <c r="Q7" s="246"/>
      <c r="R7" s="288"/>
      <c r="S7" s="291"/>
      <c r="U7" s="294" t="s">
        <v>71</v>
      </c>
      <c r="V7" s="295" t="s">
        <v>51</v>
      </c>
    </row>
    <row r="8" spans="1:22" ht="20.149999999999999" customHeight="1" x14ac:dyDescent="0.45">
      <c r="A8" s="268">
        <v>44383</v>
      </c>
      <c r="B8" s="293"/>
      <c r="D8" s="344"/>
      <c r="E8" s="285"/>
      <c r="F8" s="250"/>
      <c r="H8" s="250">
        <v>80</v>
      </c>
      <c r="K8" s="246"/>
      <c r="L8" s="246"/>
      <c r="M8" s="285"/>
      <c r="N8" s="247"/>
      <c r="O8" s="275"/>
      <c r="Q8" s="246"/>
      <c r="R8" s="288"/>
      <c r="S8" s="291"/>
      <c r="U8" s="294"/>
      <c r="V8" s="295"/>
    </row>
    <row r="9" spans="1:22" ht="20.149999999999999" customHeight="1" x14ac:dyDescent="0.45">
      <c r="A9" s="268">
        <v>44384</v>
      </c>
      <c r="B9" s="293"/>
      <c r="D9" s="344"/>
      <c r="E9" s="338"/>
      <c r="F9" s="293"/>
      <c r="G9" s="296"/>
      <c r="H9" s="250">
        <v>130</v>
      </c>
      <c r="K9" s="246"/>
      <c r="L9" s="246"/>
      <c r="M9" s="285"/>
      <c r="N9" s="247"/>
      <c r="O9" s="275"/>
      <c r="Q9" s="246"/>
      <c r="R9" s="288"/>
      <c r="S9" s="291"/>
    </row>
    <row r="10" spans="1:22" ht="20.149999999999999" customHeight="1" x14ac:dyDescent="0.45">
      <c r="A10" s="268">
        <v>44385</v>
      </c>
      <c r="B10" s="293"/>
      <c r="D10" s="344"/>
      <c r="E10" s="249"/>
      <c r="F10" s="297"/>
      <c r="K10" s="246"/>
      <c r="L10" s="246"/>
      <c r="M10" s="285"/>
      <c r="N10" s="247"/>
      <c r="O10" s="275"/>
      <c r="Q10" s="246"/>
      <c r="R10" s="288"/>
      <c r="S10" s="298"/>
    </row>
    <row r="11" spans="1:22" ht="20.149999999999999" customHeight="1" x14ac:dyDescent="0.45">
      <c r="A11" s="268">
        <v>44386</v>
      </c>
      <c r="B11" s="299"/>
      <c r="D11" s="344"/>
      <c r="E11" s="249"/>
      <c r="F11" s="250"/>
      <c r="H11" s="1368">
        <v>300</v>
      </c>
      <c r="I11" s="1369"/>
      <c r="J11" s="1369"/>
      <c r="K11" s="1369"/>
      <c r="L11" s="1369"/>
      <c r="M11" s="1370"/>
      <c r="N11" s="247"/>
      <c r="O11" s="275"/>
      <c r="Q11" s="246"/>
      <c r="R11" s="288"/>
      <c r="S11" s="298"/>
    </row>
    <row r="12" spans="1:22" ht="20.149999999999999" customHeight="1" x14ac:dyDescent="0.45">
      <c r="A12" s="268">
        <v>44387</v>
      </c>
      <c r="B12" s="299"/>
      <c r="D12" s="344"/>
      <c r="E12" s="249"/>
      <c r="F12" s="300"/>
      <c r="G12" s="301"/>
      <c r="K12" s="246"/>
      <c r="L12" s="246"/>
      <c r="M12" s="285"/>
      <c r="N12" s="247"/>
      <c r="O12" s="275"/>
      <c r="Q12" s="246"/>
      <c r="R12" s="288"/>
      <c r="S12" s="298"/>
    </row>
    <row r="13" spans="1:22" ht="20.149999999999999" customHeight="1" x14ac:dyDescent="0.45">
      <c r="A13" s="268">
        <v>44388</v>
      </c>
      <c r="B13" s="299"/>
      <c r="D13" s="343"/>
      <c r="E13" s="249"/>
      <c r="F13" s="300"/>
      <c r="G13" s="301"/>
      <c r="L13" s="246"/>
      <c r="M13" s="285"/>
      <c r="N13" s="247"/>
      <c r="O13" s="275"/>
      <c r="Q13" s="246"/>
      <c r="R13" s="288"/>
      <c r="S13" s="298"/>
    </row>
    <row r="14" spans="1:22" ht="20.149999999999999" customHeight="1" x14ac:dyDescent="0.45">
      <c r="A14" s="268">
        <v>44389</v>
      </c>
      <c r="B14" s="247"/>
      <c r="D14" s="343"/>
      <c r="E14" s="249"/>
      <c r="F14" s="293"/>
      <c r="G14" s="301"/>
      <c r="L14" s="246"/>
      <c r="M14" s="285"/>
      <c r="N14" s="247"/>
      <c r="O14" s="275"/>
      <c r="Q14" s="246"/>
      <c r="R14" s="288"/>
      <c r="S14" s="298"/>
    </row>
    <row r="15" spans="1:22" ht="20.149999999999999" customHeight="1" x14ac:dyDescent="0.45">
      <c r="A15" s="268">
        <v>44390</v>
      </c>
      <c r="B15" s="299"/>
      <c r="E15" s="245"/>
      <c r="F15" s="293"/>
      <c r="G15" s="301"/>
      <c r="L15" s="246"/>
      <c r="M15" s="285"/>
      <c r="N15" s="247"/>
      <c r="O15" s="275"/>
      <c r="Q15" s="246"/>
      <c r="R15" s="288"/>
      <c r="S15" s="298"/>
    </row>
    <row r="16" spans="1:22" ht="20.149999999999999" customHeight="1" x14ac:dyDescent="0.45">
      <c r="A16" s="268">
        <v>44391</v>
      </c>
      <c r="E16" s="303"/>
      <c r="F16" s="250"/>
      <c r="L16" s="246"/>
      <c r="M16" s="285"/>
      <c r="N16" s="247"/>
      <c r="O16" s="275"/>
      <c r="Q16" s="246"/>
      <c r="R16" s="288"/>
      <c r="S16" s="298"/>
    </row>
    <row r="17" spans="1:23" ht="20.149999999999999" customHeight="1" x14ac:dyDescent="0.45">
      <c r="A17" s="268">
        <v>44392</v>
      </c>
      <c r="D17" s="245"/>
      <c r="F17" s="250"/>
      <c r="N17" s="247"/>
      <c r="O17" s="275"/>
      <c r="Q17" s="246"/>
      <c r="R17" s="288"/>
      <c r="S17" s="298"/>
    </row>
    <row r="18" spans="1:23" ht="20.149999999999999" customHeight="1" x14ac:dyDescent="0.45">
      <c r="A18" s="268">
        <v>44393</v>
      </c>
      <c r="E18" s="246"/>
      <c r="F18" s="250"/>
      <c r="G18" s="285"/>
      <c r="H18" s="251"/>
      <c r="N18" s="247"/>
      <c r="O18" s="275"/>
      <c r="Q18" s="246"/>
      <c r="R18" s="288"/>
      <c r="S18" s="304"/>
    </row>
    <row r="19" spans="1:23" ht="20.149999999999999" customHeight="1" x14ac:dyDescent="0.45">
      <c r="A19" s="268">
        <v>44394</v>
      </c>
      <c r="B19" s="247"/>
      <c r="C19" s="248"/>
      <c r="D19" s="284"/>
      <c r="E19" s="249"/>
      <c r="F19" s="250"/>
      <c r="G19" s="285"/>
      <c r="H19" s="251"/>
      <c r="N19" s="247"/>
      <c r="O19" s="275"/>
      <c r="Q19" s="246"/>
      <c r="R19" s="347"/>
      <c r="S19" s="304"/>
    </row>
    <row r="20" spans="1:23" ht="20.149999999999999" customHeight="1" x14ac:dyDescent="0.45">
      <c r="A20" s="268">
        <v>44395</v>
      </c>
      <c r="B20" s="247"/>
      <c r="C20" s="248"/>
      <c r="D20" s="245"/>
      <c r="E20" s="249"/>
      <c r="F20" s="250"/>
      <c r="H20" s="247"/>
      <c r="I20" s="248"/>
      <c r="J20" s="284"/>
      <c r="K20" s="248"/>
      <c r="L20" s="248"/>
      <c r="M20" s="249"/>
      <c r="N20" s="247"/>
      <c r="O20" s="275"/>
      <c r="Q20" s="246"/>
      <c r="R20" s="340"/>
      <c r="S20" s="298"/>
    </row>
    <row r="21" spans="1:23" ht="20.149999999999999" customHeight="1" x14ac:dyDescent="0.45">
      <c r="A21" s="268">
        <v>44396</v>
      </c>
      <c r="E21" s="226"/>
      <c r="F21" s="250"/>
      <c r="N21" s="247"/>
      <c r="O21" s="275"/>
      <c r="Q21" s="246"/>
      <c r="R21" s="288"/>
      <c r="S21" s="298"/>
    </row>
    <row r="22" spans="1:23" ht="20.149999999999999" customHeight="1" x14ac:dyDescent="0.45">
      <c r="A22" s="268">
        <v>44397</v>
      </c>
      <c r="D22" s="245"/>
      <c r="E22" s="305"/>
      <c r="F22" s="250"/>
      <c r="J22" s="306"/>
      <c r="K22" s="307"/>
      <c r="L22" s="307"/>
      <c r="M22" s="308"/>
      <c r="N22" s="247"/>
      <c r="O22" s="275"/>
      <c r="Q22" s="246"/>
      <c r="R22" s="288"/>
      <c r="S22" s="298"/>
    </row>
    <row r="23" spans="1:23" ht="20.149999999999999" customHeight="1" x14ac:dyDescent="0.45">
      <c r="A23" s="268">
        <v>44398</v>
      </c>
      <c r="D23" s="245"/>
      <c r="F23" s="250"/>
      <c r="J23" s="306"/>
      <c r="K23" s="307"/>
      <c r="L23" s="307"/>
      <c r="M23" s="308"/>
      <c r="N23" s="247"/>
      <c r="O23" s="275"/>
      <c r="Q23" s="246"/>
      <c r="R23" s="288"/>
      <c r="S23" s="298"/>
    </row>
    <row r="24" spans="1:23" ht="20.149999999999999" customHeight="1" x14ac:dyDescent="0.45">
      <c r="A24" s="268">
        <v>44399</v>
      </c>
      <c r="B24" s="350"/>
      <c r="D24" s="245"/>
      <c r="E24" s="249"/>
      <c r="F24" s="250"/>
      <c r="H24" s="1371"/>
      <c r="J24" s="1373"/>
      <c r="K24" s="307"/>
      <c r="L24" s="307"/>
      <c r="M24" s="308"/>
      <c r="N24" s="247"/>
      <c r="O24" s="275"/>
      <c r="Q24" s="246"/>
      <c r="R24" s="340"/>
      <c r="S24" s="298"/>
    </row>
    <row r="25" spans="1:23" ht="20.149999999999999" customHeight="1" x14ac:dyDescent="0.45">
      <c r="A25" s="268">
        <v>44400</v>
      </c>
      <c r="B25" s="351"/>
      <c r="D25" s="245"/>
      <c r="E25" s="290"/>
      <c r="F25" s="250"/>
      <c r="H25" s="1372"/>
      <c r="J25" s="1374"/>
      <c r="K25" s="307"/>
      <c r="L25" s="307"/>
      <c r="M25" s="308"/>
      <c r="N25" s="247"/>
      <c r="O25" s="275"/>
      <c r="Q25" s="246"/>
      <c r="R25" s="288"/>
      <c r="S25" s="298"/>
    </row>
    <row r="26" spans="1:23" ht="20.149999999999999" customHeight="1" x14ac:dyDescent="0.45">
      <c r="A26" s="268">
        <v>44401</v>
      </c>
      <c r="D26" s="245"/>
      <c r="F26" s="250"/>
      <c r="J26" s="306"/>
      <c r="K26" s="307"/>
      <c r="L26" s="307"/>
      <c r="M26" s="308"/>
      <c r="N26" s="247"/>
      <c r="O26" s="275"/>
      <c r="Q26" s="246"/>
      <c r="R26" s="288"/>
      <c r="S26" s="298"/>
    </row>
    <row r="27" spans="1:23" ht="20.149999999999999" customHeight="1" x14ac:dyDescent="0.45">
      <c r="A27" s="268">
        <v>44402</v>
      </c>
      <c r="D27" s="245"/>
      <c r="E27" s="338"/>
      <c r="F27" s="250"/>
      <c r="J27" s="306"/>
      <c r="K27" s="307"/>
      <c r="L27" s="307"/>
      <c r="M27" s="308"/>
      <c r="N27" s="247"/>
      <c r="O27" s="275"/>
      <c r="Q27" s="246"/>
      <c r="R27" s="340"/>
      <c r="S27" s="298"/>
    </row>
    <row r="28" spans="1:23" ht="20.149999999999999" customHeight="1" x14ac:dyDescent="0.45">
      <c r="A28" s="268">
        <v>44403</v>
      </c>
      <c r="B28" s="293"/>
      <c r="D28" s="245"/>
      <c r="E28" s="285"/>
      <c r="F28" s="250"/>
      <c r="J28" s="306"/>
      <c r="K28" s="307"/>
      <c r="L28" s="307"/>
      <c r="M28" s="308"/>
      <c r="N28" s="247"/>
      <c r="O28" s="275"/>
      <c r="Q28" s="246"/>
      <c r="R28" s="340"/>
      <c r="S28" s="298"/>
    </row>
    <row r="29" spans="1:23" ht="20.149999999999999" customHeight="1" x14ac:dyDescent="0.45">
      <c r="A29" s="268">
        <v>44404</v>
      </c>
      <c r="B29" s="293"/>
      <c r="D29" s="245"/>
      <c r="E29" s="285"/>
      <c r="F29" s="250"/>
      <c r="M29" s="308"/>
      <c r="N29" s="247"/>
      <c r="O29" s="275"/>
      <c r="Q29" s="246"/>
      <c r="R29" s="288"/>
      <c r="S29" s="298"/>
      <c r="V29" s="309"/>
      <c r="W29" s="309"/>
    </row>
    <row r="30" spans="1:23" ht="20.149999999999999" customHeight="1" x14ac:dyDescent="0.45">
      <c r="A30" s="268">
        <v>44405</v>
      </c>
      <c r="B30" s="247"/>
      <c r="D30" s="245"/>
      <c r="E30" s="285"/>
      <c r="F30" s="250"/>
      <c r="M30" s="308"/>
      <c r="N30" s="247"/>
      <c r="O30" s="275"/>
      <c r="Q30" s="246"/>
      <c r="R30" s="347"/>
      <c r="S30" s="298"/>
    </row>
    <row r="31" spans="1:23" ht="20.149999999999999" customHeight="1" x14ac:dyDescent="0.45">
      <c r="A31" s="268">
        <v>44406</v>
      </c>
      <c r="B31" s="293"/>
      <c r="D31" s="245"/>
      <c r="E31" s="285"/>
      <c r="F31" s="250"/>
      <c r="M31" s="308"/>
      <c r="N31" s="247"/>
      <c r="O31" s="275"/>
      <c r="Q31" s="246"/>
      <c r="R31" s="288"/>
      <c r="S31" s="298"/>
    </row>
    <row r="32" spans="1:23" ht="20.149999999999999" customHeight="1" x14ac:dyDescent="0.45">
      <c r="A32" s="268">
        <v>44407</v>
      </c>
      <c r="D32" s="245"/>
      <c r="E32" s="285"/>
      <c r="F32" s="250"/>
      <c r="M32" s="308"/>
      <c r="N32" s="247"/>
      <c r="O32" s="275"/>
      <c r="Q32" s="246"/>
      <c r="R32" s="288"/>
      <c r="S32" s="298"/>
    </row>
    <row r="33" spans="1:19" ht="20.149999999999999" customHeight="1" x14ac:dyDescent="0.45">
      <c r="A33" s="268">
        <v>44408</v>
      </c>
      <c r="B33" s="247"/>
      <c r="D33" s="245"/>
      <c r="E33" s="285"/>
      <c r="F33" s="293"/>
      <c r="N33" s="247"/>
      <c r="O33" s="275"/>
      <c r="Q33" s="246"/>
      <c r="R33" s="288"/>
      <c r="S33" s="298"/>
    </row>
    <row r="34" spans="1:19" ht="18.45" thickBot="1" x14ac:dyDescent="0.5">
      <c r="A34" s="312" t="s">
        <v>20</v>
      </c>
      <c r="B34" s="313"/>
      <c r="C34" s="314"/>
      <c r="D34" s="314"/>
      <c r="E34" s="315"/>
      <c r="F34" s="313">
        <f>SUM(F3:F33)</f>
        <v>0</v>
      </c>
      <c r="G34" s="316"/>
      <c r="H34" s="313">
        <f t="shared" ref="H34:M34" si="0">SUM(H3:H33)</f>
        <v>740</v>
      </c>
      <c r="I34" s="314">
        <f t="shared" si="0"/>
        <v>0</v>
      </c>
      <c r="J34" s="314">
        <f t="shared" si="0"/>
        <v>0</v>
      </c>
      <c r="K34" s="317">
        <f t="shared" si="0"/>
        <v>0</v>
      </c>
      <c r="L34" s="317">
        <f t="shared" si="0"/>
        <v>0</v>
      </c>
      <c r="M34" s="315">
        <f t="shared" si="0"/>
        <v>0</v>
      </c>
      <c r="N34" s="313"/>
      <c r="O34" s="314"/>
      <c r="P34" s="314"/>
      <c r="Q34" s="317"/>
      <c r="R34" s="318"/>
      <c r="S34" s="319"/>
    </row>
    <row r="35" spans="1:19" ht="18.45" thickBot="1" x14ac:dyDescent="0.5">
      <c r="A35" s="312" t="s">
        <v>21</v>
      </c>
      <c r="B35" s="287"/>
      <c r="C35" s="287"/>
      <c r="D35" s="287"/>
      <c r="E35" s="287"/>
      <c r="F35" s="287">
        <f>F34/60</f>
        <v>0</v>
      </c>
      <c r="G35" s="287"/>
      <c r="H35" s="320">
        <f t="shared" ref="H35:M35" si="1">H34/60</f>
        <v>12.333333333333334</v>
      </c>
      <c r="I35" s="320">
        <f t="shared" si="1"/>
        <v>0</v>
      </c>
      <c r="J35" s="320">
        <f t="shared" si="1"/>
        <v>0</v>
      </c>
      <c r="K35" s="320">
        <f t="shared" si="1"/>
        <v>0</v>
      </c>
      <c r="L35" s="320">
        <f t="shared" si="1"/>
        <v>0</v>
      </c>
      <c r="M35" s="320">
        <f t="shared" si="1"/>
        <v>0</v>
      </c>
      <c r="N35" s="287"/>
      <c r="O35" s="287"/>
      <c r="P35" s="287"/>
      <c r="Q35" s="287"/>
    </row>
    <row r="36" spans="1:19" x14ac:dyDescent="0.45">
      <c r="A36" s="287" t="s">
        <v>41</v>
      </c>
      <c r="B36" s="287"/>
      <c r="C36" s="287"/>
      <c r="D36" s="287"/>
      <c r="E36" s="287"/>
      <c r="F36" s="287"/>
      <c r="G36" s="287"/>
      <c r="H36" s="321">
        <f>(H4+H17)/60</f>
        <v>1.5</v>
      </c>
      <c r="I36" s="321" t="e">
        <f>(#REF!)/60</f>
        <v>#REF!</v>
      </c>
      <c r="J36" s="321" t="e">
        <f>(J13+J14+J21+J22+J23+J28+#REF!)/60</f>
        <v>#REF!</v>
      </c>
      <c r="K36" s="321" t="e">
        <f>(K7+K10+K15+#REF!)/60</f>
        <v>#REF!</v>
      </c>
      <c r="L36" s="322">
        <f t="shared" ref="L36:M38" si="2">L17/24</f>
        <v>0</v>
      </c>
      <c r="M36" s="322">
        <f t="shared" si="2"/>
        <v>0</v>
      </c>
      <c r="N36" s="287"/>
      <c r="O36" s="287"/>
      <c r="P36" s="287"/>
      <c r="Q36" s="287"/>
    </row>
    <row r="37" spans="1:19" x14ac:dyDescent="0.45">
      <c r="A37" s="287" t="s">
        <v>42</v>
      </c>
      <c r="B37" s="287"/>
      <c r="C37" s="287"/>
      <c r="D37" s="287"/>
      <c r="E37" s="287"/>
      <c r="F37" s="287"/>
      <c r="G37" s="287"/>
      <c r="H37" s="321">
        <f>(H5)/60</f>
        <v>0.33333333333333331</v>
      </c>
      <c r="I37" s="321">
        <f>(I21)/60</f>
        <v>0</v>
      </c>
      <c r="J37" s="321">
        <f>(J6+J12+J20)/60</f>
        <v>0</v>
      </c>
      <c r="K37" s="321">
        <f>(K6+K8+K11+K28)/60</f>
        <v>0</v>
      </c>
      <c r="L37" s="322">
        <f t="shared" si="2"/>
        <v>0</v>
      </c>
      <c r="M37" s="322">
        <f t="shared" si="2"/>
        <v>0</v>
      </c>
      <c r="N37" s="287"/>
      <c r="O37" s="287"/>
      <c r="P37" s="287"/>
      <c r="Q37" s="287"/>
    </row>
    <row r="38" spans="1:19" x14ac:dyDescent="0.45">
      <c r="A38" s="287" t="s">
        <v>43</v>
      </c>
      <c r="B38" s="287"/>
      <c r="C38" s="287"/>
      <c r="D38" s="287"/>
      <c r="E38" s="287"/>
      <c r="F38" s="287"/>
      <c r="G38" s="287"/>
      <c r="H38" s="321">
        <f>(H24)/60</f>
        <v>0</v>
      </c>
      <c r="I38" s="321">
        <v>0</v>
      </c>
      <c r="J38" s="321">
        <f>(J24+J19+J18)/60</f>
        <v>0</v>
      </c>
      <c r="K38" s="321" t="e">
        <f>(K9+K27+#REF!)/60</f>
        <v>#REF!</v>
      </c>
      <c r="L38" s="322">
        <f t="shared" si="2"/>
        <v>0</v>
      </c>
      <c r="M38" s="322">
        <f t="shared" si="2"/>
        <v>0</v>
      </c>
      <c r="N38" s="287"/>
      <c r="O38" s="287"/>
      <c r="P38" s="287"/>
      <c r="Q38" s="287"/>
    </row>
    <row r="39" spans="1:19" x14ac:dyDescent="0.45">
      <c r="A39" s="287" t="s">
        <v>141</v>
      </c>
      <c r="B39" s="255"/>
      <c r="C39" s="255"/>
      <c r="D39" s="255"/>
      <c r="E39" s="255"/>
      <c r="F39" s="255"/>
      <c r="G39" s="255"/>
      <c r="H39" s="321" t="e">
        <f>(#REF!)/60</f>
        <v>#REF!</v>
      </c>
      <c r="I39" s="321" t="e">
        <f>(#REF!)/60</f>
        <v>#REF!</v>
      </c>
      <c r="J39" s="321" t="e">
        <f>(#REF!)/60</f>
        <v>#REF!</v>
      </c>
      <c r="K39" s="321" t="e">
        <f>#REF!/60</f>
        <v>#REF!</v>
      </c>
      <c r="L39" s="255"/>
      <c r="M39" s="255"/>
      <c r="N39" s="255"/>
      <c r="O39" s="255"/>
      <c r="P39" s="255"/>
      <c r="Q39" s="255"/>
      <c r="R39" s="255"/>
      <c r="S39" s="255"/>
    </row>
    <row r="40" spans="1:19" x14ac:dyDescent="0.45">
      <c r="A40" s="287"/>
      <c r="B40" s="255"/>
      <c r="C40" s="255"/>
      <c r="D40" s="255"/>
      <c r="E40" s="255"/>
      <c r="F40" s="255"/>
      <c r="G40" s="255"/>
      <c r="H40" s="255"/>
      <c r="I40" s="287"/>
      <c r="J40" s="255"/>
      <c r="K40" s="255"/>
      <c r="L40" s="255"/>
      <c r="M40" s="255"/>
      <c r="N40" s="255"/>
      <c r="O40" s="255"/>
      <c r="P40" s="255"/>
      <c r="Q40" s="255"/>
      <c r="R40" s="255"/>
      <c r="S40" s="255"/>
    </row>
    <row r="41" spans="1:19" x14ac:dyDescent="0.45">
      <c r="A41" s="287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</row>
    <row r="42" spans="1:19" x14ac:dyDescent="0.45">
      <c r="A42" s="287"/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</row>
    <row r="43" spans="1:19" x14ac:dyDescent="0.45">
      <c r="A43" s="287"/>
      <c r="B43" s="255"/>
      <c r="C43" s="255"/>
      <c r="D43" s="255"/>
      <c r="E43" s="323"/>
      <c r="F43" s="323"/>
      <c r="G43" s="309"/>
      <c r="H43" s="309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</row>
    <row r="44" spans="1:19" x14ac:dyDescent="0.45">
      <c r="B44" s="255"/>
      <c r="C44" s="1358" t="s">
        <v>143</v>
      </c>
      <c r="D44" s="1359"/>
      <c r="E44" s="1359"/>
      <c r="F44" s="1359"/>
      <c r="G44" s="1360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</row>
    <row r="45" spans="1:19" ht="18.45" thickBot="1" x14ac:dyDescent="0.5"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</row>
    <row r="46" spans="1:19" ht="18.45" thickBot="1" x14ac:dyDescent="0.5">
      <c r="B46" s="255"/>
      <c r="C46" s="325"/>
      <c r="D46" s="325" t="s">
        <v>1</v>
      </c>
      <c r="E46" s="326" t="s">
        <v>101</v>
      </c>
      <c r="F46" s="326" t="s">
        <v>102</v>
      </c>
      <c r="G46" s="326" t="s">
        <v>103</v>
      </c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</row>
    <row r="47" spans="1:19" x14ac:dyDescent="0.45">
      <c r="B47" s="255"/>
      <c r="C47" s="327" t="s">
        <v>108</v>
      </c>
      <c r="D47" s="328">
        <f>H36</f>
        <v>1.5</v>
      </c>
      <c r="E47" s="328" t="e">
        <f t="shared" ref="E47:F50" si="3">J36</f>
        <v>#REF!</v>
      </c>
      <c r="F47" s="328" t="e">
        <f t="shared" si="3"/>
        <v>#REF!</v>
      </c>
      <c r="G47" s="329" t="e">
        <f>I36</f>
        <v>#REF!</v>
      </c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</row>
    <row r="48" spans="1:19" x14ac:dyDescent="0.45">
      <c r="A48" s="287"/>
      <c r="B48" s="255"/>
      <c r="C48" s="330" t="s">
        <v>109</v>
      </c>
      <c r="D48" s="331">
        <f>H37</f>
        <v>0.33333333333333331</v>
      </c>
      <c r="E48" s="331">
        <f t="shared" si="3"/>
        <v>0</v>
      </c>
      <c r="F48" s="331">
        <f t="shared" si="3"/>
        <v>0</v>
      </c>
      <c r="G48" s="332">
        <f>I37</f>
        <v>0</v>
      </c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</row>
    <row r="49" spans="1:19" x14ac:dyDescent="0.45">
      <c r="A49" s="354"/>
      <c r="B49" s="255"/>
      <c r="C49" s="330" t="s">
        <v>110</v>
      </c>
      <c r="D49" s="331">
        <f>H38</f>
        <v>0</v>
      </c>
      <c r="E49" s="331">
        <f t="shared" si="3"/>
        <v>0</v>
      </c>
      <c r="F49" s="331" t="e">
        <f t="shared" si="3"/>
        <v>#REF!</v>
      </c>
      <c r="G49" s="332">
        <f>I38</f>
        <v>0</v>
      </c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</row>
    <row r="50" spans="1:19" ht="18.45" thickBot="1" x14ac:dyDescent="0.5">
      <c r="A50" s="354"/>
      <c r="B50" s="255"/>
      <c r="C50" s="333" t="s">
        <v>111</v>
      </c>
      <c r="D50" s="334" t="e">
        <f>H39</f>
        <v>#REF!</v>
      </c>
      <c r="E50" s="334" t="e">
        <f t="shared" si="3"/>
        <v>#REF!</v>
      </c>
      <c r="F50" s="334" t="e">
        <f t="shared" si="3"/>
        <v>#REF!</v>
      </c>
      <c r="G50" s="334" t="e">
        <f>I39</f>
        <v>#REF!</v>
      </c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</row>
    <row r="51" spans="1:19" ht="18.45" thickBot="1" x14ac:dyDescent="0.5">
      <c r="A51" s="354"/>
      <c r="B51" s="255"/>
      <c r="C51" s="335" t="s">
        <v>100</v>
      </c>
      <c r="D51" s="336" t="e">
        <f>D47+D48+D49+D50</f>
        <v>#REF!</v>
      </c>
      <c r="E51" s="336" t="e">
        <f>E47+E48+E49+E50</f>
        <v>#REF!</v>
      </c>
      <c r="F51" s="336" t="e">
        <f>F47+F48+F49+F50</f>
        <v>#REF!</v>
      </c>
      <c r="G51" s="336" t="e">
        <f>G47+G48+G49+G50</f>
        <v>#REF!</v>
      </c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</row>
    <row r="52" spans="1:19" x14ac:dyDescent="0.45">
      <c r="A52" s="354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</row>
    <row r="53" spans="1:19" x14ac:dyDescent="0.45">
      <c r="A53" s="354"/>
      <c r="B53" s="255"/>
      <c r="C53" s="287" t="s">
        <v>106</v>
      </c>
      <c r="D53" s="337" t="e">
        <f>D47+D48+D49+E47+E48+E49+F47+F48+F49+G47+G48+G49</f>
        <v>#REF!</v>
      </c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</row>
    <row r="54" spans="1:19" x14ac:dyDescent="0.45">
      <c r="A54" s="354"/>
      <c r="B54" s="255"/>
      <c r="C54" s="287" t="s">
        <v>107</v>
      </c>
      <c r="D54" s="337" t="e">
        <f>AVERAGE(D50:G50)</f>
        <v>#REF!</v>
      </c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</row>
    <row r="55" spans="1:19" x14ac:dyDescent="0.45">
      <c r="A55" s="354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</row>
    <row r="56" spans="1:19" x14ac:dyDescent="0.45">
      <c r="A56" s="354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</row>
    <row r="57" spans="1:19" x14ac:dyDescent="0.45">
      <c r="A57" s="354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</row>
    <row r="58" spans="1:19" x14ac:dyDescent="0.45">
      <c r="A58" s="354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</row>
    <row r="59" spans="1:19" x14ac:dyDescent="0.45">
      <c r="A59" s="354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</row>
    <row r="60" spans="1:19" x14ac:dyDescent="0.45">
      <c r="A60" s="354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</row>
    <row r="61" spans="1:19" x14ac:dyDescent="0.45">
      <c r="A61" s="354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</row>
    <row r="62" spans="1:19" x14ac:dyDescent="0.45">
      <c r="A62" s="354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</row>
    <row r="63" spans="1:19" x14ac:dyDescent="0.45">
      <c r="A63" s="354"/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</row>
    <row r="64" spans="1:19" x14ac:dyDescent="0.45">
      <c r="A64" s="354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</row>
    <row r="65" spans="1:19" x14ac:dyDescent="0.45">
      <c r="A65" s="354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</row>
    <row r="66" spans="1:19" x14ac:dyDescent="0.45">
      <c r="A66" s="354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</row>
    <row r="67" spans="1:19" x14ac:dyDescent="0.45">
      <c r="A67" s="354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</row>
    <row r="68" spans="1:19" x14ac:dyDescent="0.45">
      <c r="A68" s="354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</row>
    <row r="69" spans="1:19" x14ac:dyDescent="0.45">
      <c r="A69" s="354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</row>
    <row r="70" spans="1:19" x14ac:dyDescent="0.45">
      <c r="A70" s="354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</row>
    <row r="71" spans="1:19" x14ac:dyDescent="0.45">
      <c r="A71" s="354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</row>
    <row r="72" spans="1:19" x14ac:dyDescent="0.45">
      <c r="A72" s="354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</row>
    <row r="73" spans="1:19" x14ac:dyDescent="0.45">
      <c r="A73" s="354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</row>
    <row r="74" spans="1:19" x14ac:dyDescent="0.45">
      <c r="A74" s="354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</row>
    <row r="75" spans="1:19" x14ac:dyDescent="0.45">
      <c r="A75" s="354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</row>
    <row r="76" spans="1:19" x14ac:dyDescent="0.45">
      <c r="A76" s="354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</row>
    <row r="77" spans="1:19" x14ac:dyDescent="0.45">
      <c r="A77" s="354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</row>
    <row r="78" spans="1:19" x14ac:dyDescent="0.45">
      <c r="A78" s="354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</row>
    <row r="79" spans="1:19" x14ac:dyDescent="0.45">
      <c r="A79" s="354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</row>
    <row r="80" spans="1:19" x14ac:dyDescent="0.45">
      <c r="A80" s="354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</row>
    <row r="81" spans="1:19" x14ac:dyDescent="0.45">
      <c r="A81" s="354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</row>
    <row r="82" spans="1:19" x14ac:dyDescent="0.45">
      <c r="A82" s="354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</row>
    <row r="83" spans="1:19" x14ac:dyDescent="0.45">
      <c r="A83" s="354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</row>
    <row r="84" spans="1:19" x14ac:dyDescent="0.45">
      <c r="A84" s="354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</row>
    <row r="85" spans="1:19" x14ac:dyDescent="0.45">
      <c r="A85" s="354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</row>
    <row r="86" spans="1:19" x14ac:dyDescent="0.45">
      <c r="A86" s="354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</row>
    <row r="87" spans="1:19" x14ac:dyDescent="0.45">
      <c r="A87" s="354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</row>
    <row r="88" spans="1:19" x14ac:dyDescent="0.45">
      <c r="A88" s="354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</row>
    <row r="89" spans="1:19" x14ac:dyDescent="0.45">
      <c r="A89" s="354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5"/>
    </row>
    <row r="90" spans="1:19" x14ac:dyDescent="0.45">
      <c r="A90" s="354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</row>
    <row r="91" spans="1:19" x14ac:dyDescent="0.45">
      <c r="A91" s="354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255"/>
    </row>
    <row r="92" spans="1:19" x14ac:dyDescent="0.45">
      <c r="A92" s="354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5"/>
      <c r="S92" s="255"/>
    </row>
    <row r="93" spans="1:19" x14ac:dyDescent="0.45">
      <c r="A93" s="354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5"/>
    </row>
    <row r="94" spans="1:19" x14ac:dyDescent="0.45">
      <c r="A94" s="354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255"/>
    </row>
    <row r="95" spans="1:19" x14ac:dyDescent="0.45">
      <c r="A95" s="354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5"/>
    </row>
    <row r="96" spans="1:19" x14ac:dyDescent="0.45">
      <c r="A96" s="354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5"/>
    </row>
    <row r="97" spans="1:19" x14ac:dyDescent="0.45">
      <c r="A97" s="354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5"/>
    </row>
    <row r="98" spans="1:19" x14ac:dyDescent="0.45">
      <c r="A98" s="354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  <c r="R98" s="255"/>
      <c r="S98" s="255"/>
    </row>
    <row r="99" spans="1:19" x14ac:dyDescent="0.45">
      <c r="A99" s="354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5"/>
    </row>
    <row r="100" spans="1:19" x14ac:dyDescent="0.45">
      <c r="A100" s="354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</row>
    <row r="101" spans="1:19" x14ac:dyDescent="0.45">
      <c r="A101" s="354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</row>
    <row r="102" spans="1:19" x14ac:dyDescent="0.45">
      <c r="A102" s="354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</row>
    <row r="103" spans="1:19" x14ac:dyDescent="0.45">
      <c r="A103" s="354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</row>
    <row r="104" spans="1:19" x14ac:dyDescent="0.45">
      <c r="A104" s="354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</row>
    <row r="105" spans="1:19" x14ac:dyDescent="0.45">
      <c r="A105" s="354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</row>
    <row r="106" spans="1:19" x14ac:dyDescent="0.45">
      <c r="A106" s="354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</row>
    <row r="107" spans="1:19" x14ac:dyDescent="0.45">
      <c r="A107" s="354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</row>
    <row r="108" spans="1:19" x14ac:dyDescent="0.45">
      <c r="A108" s="354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</row>
    <row r="109" spans="1:19" x14ac:dyDescent="0.45">
      <c r="A109" s="354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</row>
    <row r="110" spans="1:19" x14ac:dyDescent="0.45">
      <c r="A110" s="354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</row>
    <row r="111" spans="1:19" x14ac:dyDescent="0.45">
      <c r="A111" s="354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</row>
    <row r="112" spans="1:19" x14ac:dyDescent="0.45">
      <c r="A112" s="354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</row>
    <row r="113" spans="1:19" x14ac:dyDescent="0.45">
      <c r="A113" s="354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</row>
    <row r="114" spans="1:19" x14ac:dyDescent="0.45">
      <c r="A114" s="354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</row>
    <row r="115" spans="1:19" x14ac:dyDescent="0.45">
      <c r="A115" s="354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</row>
    <row r="116" spans="1:19" x14ac:dyDescent="0.45">
      <c r="A116" s="354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</row>
    <row r="117" spans="1:19" x14ac:dyDescent="0.45">
      <c r="A117" s="354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</row>
    <row r="118" spans="1:19" x14ac:dyDescent="0.45">
      <c r="A118" s="354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</row>
    <row r="119" spans="1:19" x14ac:dyDescent="0.45">
      <c r="A119" s="354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</row>
    <row r="120" spans="1:19" x14ac:dyDescent="0.45">
      <c r="A120" s="354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</row>
    <row r="121" spans="1:19" x14ac:dyDescent="0.45">
      <c r="A121" s="354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</row>
    <row r="122" spans="1:19" x14ac:dyDescent="0.45">
      <c r="A122" s="354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</row>
    <row r="123" spans="1:19" x14ac:dyDescent="0.45">
      <c r="A123" s="354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</row>
    <row r="124" spans="1:19" x14ac:dyDescent="0.45">
      <c r="A124" s="354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</row>
    <row r="125" spans="1:19" x14ac:dyDescent="0.45">
      <c r="A125" s="354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</row>
    <row r="126" spans="1:19" x14ac:dyDescent="0.45">
      <c r="A126" s="354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</row>
    <row r="127" spans="1:19" x14ac:dyDescent="0.45">
      <c r="A127" s="354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</row>
    <row r="128" spans="1:19" x14ac:dyDescent="0.45">
      <c r="A128" s="354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</row>
    <row r="129" spans="1:19" x14ac:dyDescent="0.45">
      <c r="A129" s="354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</row>
    <row r="130" spans="1:19" x14ac:dyDescent="0.45">
      <c r="A130" s="354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</row>
    <row r="131" spans="1:19" x14ac:dyDescent="0.45">
      <c r="A131" s="354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</row>
    <row r="132" spans="1:19" x14ac:dyDescent="0.45">
      <c r="A132" s="354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</row>
    <row r="133" spans="1:19" x14ac:dyDescent="0.45">
      <c r="A133" s="354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</row>
    <row r="134" spans="1:19" x14ac:dyDescent="0.45">
      <c r="A134" s="354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</row>
    <row r="135" spans="1:19" x14ac:dyDescent="0.45">
      <c r="A135" s="354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</row>
    <row r="136" spans="1:19" x14ac:dyDescent="0.45">
      <c r="A136" s="354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</row>
    <row r="137" spans="1:19" x14ac:dyDescent="0.45">
      <c r="A137" s="354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</row>
    <row r="138" spans="1:19" x14ac:dyDescent="0.45">
      <c r="A138" s="354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</row>
    <row r="139" spans="1:19" x14ac:dyDescent="0.45">
      <c r="A139" s="354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</row>
    <row r="140" spans="1:19" x14ac:dyDescent="0.45">
      <c r="A140" s="354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</row>
    <row r="141" spans="1:19" x14ac:dyDescent="0.45">
      <c r="A141" s="354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</row>
    <row r="142" spans="1:19" x14ac:dyDescent="0.45">
      <c r="A142" s="354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</row>
    <row r="143" spans="1:19" x14ac:dyDescent="0.45">
      <c r="A143" s="354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</row>
    <row r="144" spans="1:19" x14ac:dyDescent="0.45">
      <c r="A144" s="354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</row>
    <row r="145" spans="1:19" x14ac:dyDescent="0.45">
      <c r="A145" s="354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</row>
    <row r="146" spans="1:19" x14ac:dyDescent="0.45">
      <c r="A146" s="354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</row>
    <row r="147" spans="1:19" x14ac:dyDescent="0.45">
      <c r="A147" s="354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</row>
    <row r="148" spans="1:19" x14ac:dyDescent="0.45">
      <c r="A148" s="354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</row>
    <row r="149" spans="1:19" x14ac:dyDescent="0.45">
      <c r="A149" s="354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</row>
    <row r="150" spans="1:19" x14ac:dyDescent="0.45">
      <c r="A150" s="354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</row>
    <row r="151" spans="1:19" x14ac:dyDescent="0.45">
      <c r="A151" s="354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</row>
    <row r="152" spans="1:19" x14ac:dyDescent="0.45">
      <c r="A152" s="354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</row>
    <row r="153" spans="1:19" x14ac:dyDescent="0.45">
      <c r="A153" s="354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</row>
    <row r="154" spans="1:19" x14ac:dyDescent="0.45">
      <c r="A154" s="354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</row>
    <row r="155" spans="1:19" x14ac:dyDescent="0.45">
      <c r="A155" s="354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</row>
    <row r="156" spans="1:19" x14ac:dyDescent="0.45">
      <c r="A156" s="354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</row>
    <row r="157" spans="1:19" x14ac:dyDescent="0.45">
      <c r="A157" s="354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</row>
    <row r="158" spans="1:19" x14ac:dyDescent="0.45">
      <c r="A158" s="354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</row>
    <row r="159" spans="1:19" x14ac:dyDescent="0.45">
      <c r="A159" s="354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</row>
    <row r="160" spans="1:19" x14ac:dyDescent="0.45">
      <c r="A160" s="354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</row>
    <row r="161" spans="1:19" x14ac:dyDescent="0.45">
      <c r="A161" s="354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</row>
    <row r="162" spans="1:19" x14ac:dyDescent="0.45">
      <c r="A162" s="354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</row>
    <row r="163" spans="1:19" x14ac:dyDescent="0.45">
      <c r="A163" s="354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</row>
    <row r="164" spans="1:19" x14ac:dyDescent="0.45">
      <c r="A164" s="354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</row>
    <row r="165" spans="1:19" x14ac:dyDescent="0.45">
      <c r="A165" s="354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</row>
    <row r="166" spans="1:19" x14ac:dyDescent="0.45">
      <c r="A166" s="354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</row>
    <row r="167" spans="1:19" x14ac:dyDescent="0.45">
      <c r="A167" s="354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</row>
    <row r="168" spans="1:19" x14ac:dyDescent="0.45">
      <c r="A168" s="354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255"/>
    </row>
    <row r="169" spans="1:19" x14ac:dyDescent="0.45">
      <c r="A169" s="354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</row>
    <row r="170" spans="1:19" x14ac:dyDescent="0.45">
      <c r="A170" s="354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255"/>
      <c r="N170" s="255"/>
      <c r="O170" s="255"/>
      <c r="P170" s="255"/>
      <c r="Q170" s="255"/>
      <c r="R170" s="255"/>
      <c r="S170" s="255"/>
    </row>
    <row r="171" spans="1:19" x14ac:dyDescent="0.45">
      <c r="A171" s="354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  <c r="S171" s="255"/>
    </row>
    <row r="172" spans="1:19" x14ac:dyDescent="0.45">
      <c r="A172" s="354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  <c r="S172" s="255"/>
    </row>
    <row r="173" spans="1:19" x14ac:dyDescent="0.45">
      <c r="A173" s="354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  <c r="S173" s="255"/>
    </row>
    <row r="174" spans="1:19" x14ac:dyDescent="0.45">
      <c r="A174" s="354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  <c r="S174" s="255"/>
    </row>
    <row r="175" spans="1:19" x14ac:dyDescent="0.45">
      <c r="A175" s="354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  <c r="S175" s="255"/>
    </row>
    <row r="176" spans="1:19" x14ac:dyDescent="0.45">
      <c r="A176" s="354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</row>
    <row r="177" spans="1:19" x14ac:dyDescent="0.45">
      <c r="A177" s="354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255"/>
    </row>
    <row r="178" spans="1:19" x14ac:dyDescent="0.45">
      <c r="A178" s="354"/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5"/>
      <c r="R178" s="255"/>
      <c r="S178" s="255"/>
    </row>
    <row r="179" spans="1:19" x14ac:dyDescent="0.45">
      <c r="A179" s="354"/>
      <c r="B179" s="255"/>
      <c r="C179" s="255"/>
      <c r="D179" s="255"/>
      <c r="E179" s="255"/>
      <c r="F179" s="255"/>
      <c r="G179" s="255"/>
      <c r="H179" s="255"/>
      <c r="I179" s="255"/>
      <c r="J179" s="255"/>
      <c r="K179" s="255"/>
      <c r="L179" s="255"/>
      <c r="M179" s="255"/>
      <c r="N179" s="255"/>
      <c r="O179" s="255"/>
      <c r="P179" s="255"/>
      <c r="Q179" s="255"/>
      <c r="R179" s="255"/>
      <c r="S179" s="255"/>
    </row>
    <row r="180" spans="1:19" x14ac:dyDescent="0.45">
      <c r="A180" s="354"/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255"/>
    </row>
    <row r="181" spans="1:19" x14ac:dyDescent="0.45">
      <c r="A181" s="354"/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  <c r="S181" s="255"/>
    </row>
    <row r="182" spans="1:19" x14ac:dyDescent="0.45">
      <c r="A182" s="354"/>
      <c r="B182" s="255"/>
      <c r="C182" s="255"/>
      <c r="D182" s="255"/>
      <c r="E182" s="255"/>
      <c r="F182" s="255"/>
      <c r="G182" s="255"/>
      <c r="H182" s="255"/>
      <c r="I182" s="255"/>
      <c r="J182" s="255"/>
      <c r="K182" s="255"/>
      <c r="L182" s="255"/>
      <c r="M182" s="255"/>
      <c r="N182" s="255"/>
      <c r="O182" s="255"/>
      <c r="P182" s="255"/>
      <c r="Q182" s="255"/>
      <c r="R182" s="255"/>
      <c r="S182" s="255"/>
    </row>
    <row r="183" spans="1:19" x14ac:dyDescent="0.45">
      <c r="A183" s="354"/>
      <c r="B183" s="255"/>
      <c r="C183" s="255"/>
      <c r="D183" s="255"/>
      <c r="E183" s="255"/>
      <c r="F183" s="255"/>
      <c r="G183" s="255"/>
      <c r="H183" s="255"/>
      <c r="I183" s="255"/>
      <c r="J183" s="255"/>
      <c r="K183" s="255"/>
      <c r="L183" s="255"/>
      <c r="M183" s="255"/>
      <c r="N183" s="255"/>
      <c r="O183" s="255"/>
      <c r="P183" s="255"/>
      <c r="Q183" s="255"/>
      <c r="R183" s="255"/>
      <c r="S183" s="255"/>
    </row>
    <row r="184" spans="1:19" x14ac:dyDescent="0.45">
      <c r="A184" s="354"/>
      <c r="B184" s="255"/>
      <c r="C184" s="255"/>
      <c r="D184" s="255"/>
      <c r="E184" s="255"/>
      <c r="F184" s="255"/>
      <c r="G184" s="255"/>
      <c r="H184" s="255"/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  <c r="S184" s="255"/>
    </row>
    <row r="185" spans="1:19" x14ac:dyDescent="0.45">
      <c r="A185" s="354"/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  <c r="S185" s="255"/>
    </row>
    <row r="186" spans="1:19" x14ac:dyDescent="0.45">
      <c r="A186" s="354"/>
      <c r="B186" s="255"/>
      <c r="C186" s="255"/>
      <c r="D186" s="255"/>
      <c r="E186" s="255"/>
      <c r="F186" s="255"/>
      <c r="G186" s="255"/>
      <c r="H186" s="255"/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  <c r="S186" s="255"/>
    </row>
    <row r="187" spans="1:19" x14ac:dyDescent="0.45">
      <c r="A187" s="354"/>
      <c r="B187" s="255"/>
      <c r="C187" s="255"/>
      <c r="D187" s="255"/>
      <c r="E187" s="255"/>
      <c r="F187" s="255"/>
      <c r="G187" s="255"/>
      <c r="H187" s="255"/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  <c r="S187" s="255"/>
    </row>
    <row r="188" spans="1:19" x14ac:dyDescent="0.45">
      <c r="A188" s="354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5"/>
      <c r="S188" s="255"/>
    </row>
    <row r="189" spans="1:19" x14ac:dyDescent="0.45">
      <c r="A189" s="354"/>
      <c r="B189" s="255"/>
      <c r="C189" s="255"/>
      <c r="D189" s="255"/>
      <c r="E189" s="255"/>
      <c r="F189" s="255"/>
      <c r="G189" s="255"/>
      <c r="H189" s="255"/>
      <c r="I189" s="255"/>
      <c r="J189" s="255"/>
      <c r="K189" s="255"/>
      <c r="L189" s="255"/>
      <c r="M189" s="255"/>
      <c r="N189" s="255"/>
      <c r="O189" s="255"/>
      <c r="P189" s="255"/>
      <c r="Q189" s="255"/>
      <c r="R189" s="255"/>
      <c r="S189" s="255"/>
    </row>
    <row r="190" spans="1:19" x14ac:dyDescent="0.45">
      <c r="A190" s="354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5"/>
      <c r="R190" s="255"/>
      <c r="S190" s="255"/>
    </row>
    <row r="191" spans="1:19" x14ac:dyDescent="0.45">
      <c r="A191" s="354"/>
      <c r="B191" s="255"/>
      <c r="C191" s="255"/>
      <c r="D191" s="255"/>
      <c r="E191" s="255"/>
      <c r="F191" s="255"/>
      <c r="G191" s="255"/>
      <c r="H191" s="255"/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  <c r="S191" s="255"/>
    </row>
    <row r="192" spans="1:19" x14ac:dyDescent="0.45">
      <c r="A192" s="354"/>
      <c r="B192" s="255"/>
      <c r="C192" s="255"/>
      <c r="D192" s="255"/>
      <c r="E192" s="255"/>
      <c r="F192" s="255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5"/>
      <c r="R192" s="255"/>
      <c r="S192" s="255"/>
    </row>
    <row r="193" spans="1:19" x14ac:dyDescent="0.45">
      <c r="A193" s="354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  <c r="S193" s="255"/>
    </row>
    <row r="194" spans="1:19" x14ac:dyDescent="0.45">
      <c r="A194" s="354"/>
      <c r="B194" s="255"/>
      <c r="C194" s="255"/>
      <c r="D194" s="255"/>
      <c r="E194" s="255"/>
      <c r="F194" s="255"/>
      <c r="G194" s="255"/>
      <c r="H194" s="255"/>
      <c r="I194" s="255"/>
      <c r="J194" s="255"/>
      <c r="K194" s="255"/>
      <c r="L194" s="255"/>
      <c r="M194" s="255"/>
      <c r="N194" s="255"/>
      <c r="O194" s="255"/>
      <c r="P194" s="255"/>
      <c r="Q194" s="255"/>
      <c r="R194" s="255"/>
      <c r="S194" s="255"/>
    </row>
    <row r="195" spans="1:19" x14ac:dyDescent="0.45">
      <c r="A195" s="354"/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  <c r="S195" s="255"/>
    </row>
    <row r="196" spans="1:19" x14ac:dyDescent="0.45">
      <c r="A196" s="354"/>
      <c r="B196" s="255"/>
      <c r="C196" s="255"/>
      <c r="D196" s="255"/>
      <c r="E196" s="255"/>
      <c r="F196" s="255"/>
      <c r="G196" s="255"/>
      <c r="H196" s="255"/>
      <c r="I196" s="255"/>
      <c r="J196" s="255"/>
      <c r="K196" s="255"/>
      <c r="L196" s="255"/>
      <c r="M196" s="255"/>
      <c r="N196" s="255"/>
      <c r="O196" s="255"/>
      <c r="P196" s="255"/>
      <c r="Q196" s="255"/>
      <c r="R196" s="255"/>
      <c r="S196" s="255"/>
    </row>
    <row r="197" spans="1:19" x14ac:dyDescent="0.45">
      <c r="A197" s="354"/>
      <c r="B197" s="255"/>
      <c r="C197" s="255"/>
      <c r="D197" s="255"/>
      <c r="E197" s="255"/>
      <c r="F197" s="255"/>
      <c r="G197" s="255"/>
      <c r="H197" s="255"/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  <c r="S197" s="255"/>
    </row>
    <row r="198" spans="1:19" x14ac:dyDescent="0.45">
      <c r="A198" s="354"/>
      <c r="B198" s="255"/>
      <c r="C198" s="255"/>
      <c r="D198" s="255"/>
      <c r="E198" s="255"/>
      <c r="F198" s="255"/>
      <c r="G198" s="255"/>
      <c r="H198" s="255"/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  <c r="S198" s="255"/>
    </row>
    <row r="199" spans="1:19" x14ac:dyDescent="0.45">
      <c r="A199" s="354"/>
      <c r="B199" s="255"/>
      <c r="C199" s="255"/>
      <c r="D199" s="255"/>
      <c r="E199" s="255"/>
      <c r="F199" s="255"/>
      <c r="G199" s="255"/>
      <c r="H199" s="255"/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  <c r="S199" s="255"/>
    </row>
    <row r="200" spans="1:19" x14ac:dyDescent="0.45">
      <c r="A200" s="354"/>
      <c r="B200" s="255"/>
      <c r="C200" s="255"/>
      <c r="D200" s="255"/>
      <c r="E200" s="255"/>
      <c r="F200" s="255"/>
      <c r="G200" s="255"/>
      <c r="H200" s="255"/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  <c r="S200" s="255"/>
    </row>
    <row r="201" spans="1:19" x14ac:dyDescent="0.45">
      <c r="A201" s="354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255"/>
    </row>
    <row r="202" spans="1:19" x14ac:dyDescent="0.45">
      <c r="A202" s="354"/>
      <c r="B202" s="255"/>
      <c r="C202" s="255"/>
      <c r="D202" s="255"/>
      <c r="E202" s="255"/>
      <c r="F202" s="255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  <c r="S202" s="255"/>
    </row>
    <row r="203" spans="1:19" x14ac:dyDescent="0.45">
      <c r="A203" s="354"/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  <c r="S203" s="255"/>
    </row>
    <row r="204" spans="1:19" x14ac:dyDescent="0.45">
      <c r="A204" s="354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5"/>
      <c r="R204" s="255"/>
      <c r="S204" s="255"/>
    </row>
    <row r="205" spans="1:19" x14ac:dyDescent="0.45">
      <c r="A205" s="354"/>
      <c r="B205" s="255"/>
      <c r="C205" s="255"/>
      <c r="D205" s="255"/>
      <c r="E205" s="255"/>
      <c r="F205" s="255"/>
      <c r="G205" s="255"/>
      <c r="H205" s="255"/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  <c r="S205" s="255"/>
    </row>
    <row r="206" spans="1:19" x14ac:dyDescent="0.45">
      <c r="A206" s="354"/>
      <c r="B206" s="255"/>
      <c r="C206" s="255"/>
      <c r="D206" s="255"/>
      <c r="E206" s="255"/>
      <c r="F206" s="255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  <c r="S206" s="255"/>
    </row>
    <row r="207" spans="1:19" x14ac:dyDescent="0.45">
      <c r="A207" s="354"/>
      <c r="B207" s="255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255"/>
    </row>
    <row r="208" spans="1:19" x14ac:dyDescent="0.45">
      <c r="A208" s="354"/>
      <c r="B208" s="255"/>
      <c r="C208" s="255"/>
      <c r="D208" s="255"/>
      <c r="E208" s="255"/>
      <c r="F208" s="255"/>
      <c r="G208" s="255"/>
      <c r="H208" s="255"/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  <c r="S208" s="255"/>
    </row>
    <row r="209" spans="1:19" x14ac:dyDescent="0.45">
      <c r="A209" s="354"/>
      <c r="B209" s="255"/>
      <c r="C209" s="255"/>
      <c r="D209" s="255"/>
      <c r="E209" s="255"/>
      <c r="F209" s="255"/>
      <c r="G209" s="255"/>
      <c r="H209" s="255"/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  <c r="S209" s="255"/>
    </row>
    <row r="210" spans="1:19" x14ac:dyDescent="0.45">
      <c r="A210" s="354"/>
      <c r="B210" s="255"/>
      <c r="C210" s="255"/>
      <c r="D210" s="255"/>
      <c r="E210" s="255"/>
      <c r="F210" s="255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  <c r="S210" s="255"/>
    </row>
    <row r="211" spans="1:19" x14ac:dyDescent="0.45">
      <c r="A211" s="354"/>
      <c r="B211" s="255"/>
      <c r="C211" s="255"/>
      <c r="D211" s="255"/>
      <c r="E211" s="255"/>
      <c r="F211" s="255"/>
      <c r="G211" s="255"/>
      <c r="H211" s="255"/>
      <c r="I211" s="255"/>
      <c r="J211" s="255"/>
      <c r="K211" s="255"/>
      <c r="L211" s="255"/>
      <c r="M211" s="255"/>
      <c r="N211" s="255"/>
      <c r="O211" s="255"/>
      <c r="P211" s="255"/>
      <c r="Q211" s="255"/>
      <c r="R211" s="255"/>
      <c r="S211" s="255"/>
    </row>
    <row r="212" spans="1:19" x14ac:dyDescent="0.45">
      <c r="A212" s="354"/>
      <c r="B212" s="255"/>
      <c r="C212" s="255"/>
      <c r="D212" s="255"/>
      <c r="E212" s="255"/>
      <c r="F212" s="255"/>
      <c r="G212" s="255"/>
      <c r="H212" s="255"/>
      <c r="I212" s="255"/>
      <c r="J212" s="255"/>
      <c r="K212" s="255"/>
      <c r="L212" s="255"/>
      <c r="M212" s="255"/>
      <c r="N212" s="255"/>
      <c r="O212" s="255"/>
      <c r="P212" s="255"/>
      <c r="Q212" s="255"/>
      <c r="R212" s="255"/>
      <c r="S212" s="255"/>
    </row>
    <row r="213" spans="1:19" x14ac:dyDescent="0.45">
      <c r="A213" s="354"/>
      <c r="B213" s="255"/>
      <c r="C213" s="255"/>
      <c r="D213" s="255"/>
      <c r="E213" s="255"/>
      <c r="F213" s="255"/>
      <c r="G213" s="255"/>
      <c r="H213" s="255"/>
      <c r="I213" s="255"/>
      <c r="J213" s="255"/>
      <c r="K213" s="255"/>
      <c r="L213" s="255"/>
      <c r="M213" s="255"/>
      <c r="N213" s="255"/>
      <c r="O213" s="255"/>
      <c r="P213" s="255"/>
      <c r="Q213" s="255"/>
      <c r="R213" s="255"/>
      <c r="S213" s="255"/>
    </row>
    <row r="214" spans="1:19" x14ac:dyDescent="0.45">
      <c r="A214" s="354"/>
      <c r="B214" s="255"/>
      <c r="C214" s="255"/>
      <c r="D214" s="255"/>
      <c r="E214" s="255"/>
      <c r="F214" s="255"/>
      <c r="G214" s="255"/>
      <c r="H214" s="255"/>
      <c r="I214" s="255"/>
      <c r="J214" s="255"/>
      <c r="K214" s="255"/>
      <c r="L214" s="255"/>
      <c r="M214" s="255"/>
      <c r="N214" s="255"/>
      <c r="O214" s="255"/>
      <c r="P214" s="255"/>
      <c r="Q214" s="255"/>
      <c r="R214" s="255"/>
      <c r="S214" s="255"/>
    </row>
    <row r="215" spans="1:19" x14ac:dyDescent="0.45">
      <c r="A215" s="354"/>
      <c r="B215" s="255"/>
      <c r="C215" s="255"/>
      <c r="D215" s="255"/>
      <c r="E215" s="255"/>
      <c r="F215" s="255"/>
      <c r="G215" s="255"/>
      <c r="H215" s="255"/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  <c r="S215" s="255"/>
    </row>
    <row r="216" spans="1:19" x14ac:dyDescent="0.45">
      <c r="A216" s="354"/>
      <c r="B216" s="255"/>
      <c r="C216" s="255"/>
      <c r="D216" s="255"/>
      <c r="E216" s="255"/>
      <c r="F216" s="255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  <c r="S216" s="255"/>
    </row>
    <row r="217" spans="1:19" x14ac:dyDescent="0.45">
      <c r="A217" s="354"/>
      <c r="B217" s="255"/>
      <c r="C217" s="255"/>
      <c r="D217" s="255"/>
      <c r="E217" s="255"/>
      <c r="F217" s="255"/>
      <c r="G217" s="255"/>
      <c r="H217" s="255"/>
      <c r="I217" s="255"/>
      <c r="J217" s="255"/>
      <c r="K217" s="255"/>
      <c r="L217" s="255"/>
      <c r="M217" s="255"/>
      <c r="N217" s="255"/>
      <c r="O217" s="255"/>
      <c r="P217" s="255"/>
      <c r="Q217" s="255"/>
      <c r="R217" s="255"/>
      <c r="S217" s="255"/>
    </row>
    <row r="218" spans="1:19" x14ac:dyDescent="0.45">
      <c r="A218" s="354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  <c r="S218" s="255"/>
    </row>
    <row r="219" spans="1:19" x14ac:dyDescent="0.45">
      <c r="A219" s="354"/>
      <c r="B219" s="255"/>
      <c r="C219" s="255"/>
      <c r="D219" s="255"/>
      <c r="E219" s="255"/>
      <c r="F219" s="255"/>
      <c r="G219" s="255"/>
      <c r="H219" s="255"/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  <c r="S219" s="255"/>
    </row>
    <row r="220" spans="1:19" x14ac:dyDescent="0.45">
      <c r="A220" s="354"/>
      <c r="B220" s="255"/>
      <c r="C220" s="255"/>
      <c r="D220" s="255"/>
      <c r="E220" s="255"/>
      <c r="F220" s="255"/>
      <c r="G220" s="255"/>
      <c r="H220" s="255"/>
      <c r="I220" s="255"/>
      <c r="J220" s="255"/>
      <c r="K220" s="255"/>
      <c r="L220" s="255"/>
      <c r="M220" s="255"/>
      <c r="N220" s="255"/>
      <c r="O220" s="255"/>
      <c r="P220" s="255"/>
      <c r="Q220" s="255"/>
      <c r="R220" s="255"/>
      <c r="S220" s="255"/>
    </row>
    <row r="221" spans="1:19" x14ac:dyDescent="0.45">
      <c r="A221" s="354"/>
      <c r="B221" s="255"/>
      <c r="C221" s="255"/>
      <c r="D221" s="255"/>
      <c r="E221" s="255"/>
      <c r="F221" s="255"/>
      <c r="G221" s="255"/>
      <c r="H221" s="255"/>
      <c r="I221" s="255"/>
      <c r="J221" s="255"/>
      <c r="K221" s="255"/>
      <c r="L221" s="255"/>
      <c r="M221" s="255"/>
      <c r="N221" s="255"/>
      <c r="O221" s="255"/>
      <c r="P221" s="255"/>
      <c r="Q221" s="255"/>
      <c r="R221" s="255"/>
      <c r="S221" s="255"/>
    </row>
    <row r="222" spans="1:19" x14ac:dyDescent="0.45">
      <c r="A222" s="354"/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5"/>
      <c r="R222" s="255"/>
      <c r="S222" s="255"/>
    </row>
    <row r="223" spans="1:19" x14ac:dyDescent="0.45">
      <c r="A223" s="354"/>
      <c r="B223" s="255"/>
      <c r="C223" s="255"/>
      <c r="D223" s="255"/>
      <c r="E223" s="255"/>
      <c r="F223" s="255"/>
      <c r="G223" s="255"/>
      <c r="H223" s="255"/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  <c r="S223" s="255"/>
    </row>
    <row r="224" spans="1:19" x14ac:dyDescent="0.45">
      <c r="A224" s="354"/>
      <c r="B224" s="255"/>
      <c r="C224" s="255"/>
      <c r="D224" s="255"/>
      <c r="E224" s="255"/>
      <c r="F224" s="255"/>
      <c r="G224" s="255"/>
      <c r="H224" s="255"/>
      <c r="I224" s="255"/>
      <c r="J224" s="255"/>
      <c r="K224" s="255"/>
      <c r="L224" s="255"/>
      <c r="M224" s="255"/>
      <c r="N224" s="255"/>
      <c r="O224" s="255"/>
      <c r="P224" s="255"/>
      <c r="Q224" s="255"/>
      <c r="R224" s="255"/>
      <c r="S224" s="255"/>
    </row>
    <row r="225" spans="1:19" x14ac:dyDescent="0.45">
      <c r="A225" s="354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255"/>
    </row>
    <row r="226" spans="1:19" x14ac:dyDescent="0.45">
      <c r="A226" s="354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  <c r="S226" s="255"/>
    </row>
    <row r="227" spans="1:19" x14ac:dyDescent="0.45">
      <c r="A227" s="354"/>
      <c r="B227" s="255"/>
      <c r="C227" s="255"/>
      <c r="D227" s="255"/>
      <c r="E227" s="255"/>
      <c r="F227" s="255"/>
      <c r="G227" s="255"/>
      <c r="H227" s="255"/>
      <c r="I227" s="255"/>
      <c r="J227" s="255"/>
      <c r="K227" s="255"/>
      <c r="L227" s="255"/>
      <c r="M227" s="255"/>
      <c r="N227" s="255"/>
      <c r="O227" s="255"/>
      <c r="P227" s="255"/>
      <c r="Q227" s="255"/>
      <c r="R227" s="255"/>
      <c r="S227" s="255"/>
    </row>
    <row r="228" spans="1:19" x14ac:dyDescent="0.45">
      <c r="A228" s="354"/>
      <c r="B228" s="255"/>
      <c r="C228" s="255"/>
      <c r="D228" s="255"/>
      <c r="E228" s="255"/>
      <c r="F228" s="255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5"/>
      <c r="R228" s="255"/>
      <c r="S228" s="255"/>
    </row>
    <row r="229" spans="1:19" x14ac:dyDescent="0.45">
      <c r="A229" s="354"/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  <c r="S229" s="255"/>
    </row>
    <row r="230" spans="1:19" x14ac:dyDescent="0.45">
      <c r="A230" s="354"/>
      <c r="B230" s="255"/>
      <c r="C230" s="255"/>
      <c r="D230" s="255"/>
      <c r="E230" s="255"/>
      <c r="F230" s="255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  <c r="S230" s="255"/>
    </row>
    <row r="231" spans="1:19" x14ac:dyDescent="0.45">
      <c r="A231" s="354"/>
      <c r="B231" s="255"/>
      <c r="C231" s="255"/>
      <c r="D231" s="255"/>
      <c r="E231" s="255"/>
      <c r="F231" s="255"/>
      <c r="G231" s="255"/>
      <c r="H231" s="255"/>
      <c r="I231" s="255"/>
      <c r="J231" s="255"/>
      <c r="K231" s="255"/>
      <c r="L231" s="255"/>
      <c r="M231" s="255"/>
      <c r="N231" s="255"/>
      <c r="O231" s="255"/>
      <c r="P231" s="255"/>
      <c r="Q231" s="255"/>
      <c r="R231" s="255"/>
      <c r="S231" s="255"/>
    </row>
    <row r="232" spans="1:19" x14ac:dyDescent="0.45">
      <c r="A232" s="354"/>
      <c r="B232" s="255"/>
      <c r="C232" s="255"/>
      <c r="D232" s="255"/>
      <c r="E232" s="255"/>
      <c r="F232" s="255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  <c r="S232" s="255"/>
    </row>
    <row r="233" spans="1:19" x14ac:dyDescent="0.45">
      <c r="A233" s="354"/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  <c r="S233" s="255"/>
    </row>
    <row r="234" spans="1:19" x14ac:dyDescent="0.45">
      <c r="A234" s="354"/>
      <c r="B234" s="255"/>
      <c r="C234" s="255"/>
      <c r="D234" s="255"/>
      <c r="E234" s="255"/>
      <c r="F234" s="255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5"/>
      <c r="R234" s="255"/>
      <c r="S234" s="255"/>
    </row>
    <row r="235" spans="1:19" x14ac:dyDescent="0.45">
      <c r="A235" s="354"/>
      <c r="B235" s="255"/>
      <c r="C235" s="255"/>
      <c r="D235" s="255"/>
      <c r="E235" s="255"/>
      <c r="F235" s="255"/>
      <c r="G235" s="255"/>
      <c r="H235" s="255"/>
      <c r="I235" s="255"/>
      <c r="J235" s="255"/>
      <c r="K235" s="255"/>
      <c r="L235" s="255"/>
      <c r="M235" s="255"/>
      <c r="N235" s="255"/>
      <c r="O235" s="255"/>
      <c r="P235" s="255"/>
      <c r="Q235" s="255"/>
      <c r="R235" s="255"/>
      <c r="S235" s="255"/>
    </row>
    <row r="236" spans="1:19" x14ac:dyDescent="0.45">
      <c r="A236" s="354"/>
      <c r="B236" s="255"/>
      <c r="C236" s="255"/>
      <c r="D236" s="255"/>
      <c r="E236" s="255"/>
      <c r="F236" s="255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  <c r="S236" s="255"/>
    </row>
    <row r="237" spans="1:19" x14ac:dyDescent="0.45">
      <c r="A237" s="354"/>
      <c r="B237" s="255"/>
      <c r="C237" s="255"/>
      <c r="D237" s="255"/>
      <c r="E237" s="255"/>
      <c r="F237" s="255"/>
      <c r="G237" s="255"/>
      <c r="H237" s="255"/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  <c r="S237" s="255"/>
    </row>
    <row r="238" spans="1:19" x14ac:dyDescent="0.45">
      <c r="A238" s="354"/>
      <c r="B238" s="255"/>
      <c r="C238" s="255"/>
      <c r="D238" s="255"/>
      <c r="E238" s="255"/>
      <c r="F238" s="255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  <c r="S238" s="255"/>
    </row>
    <row r="239" spans="1:19" x14ac:dyDescent="0.45">
      <c r="A239" s="354"/>
      <c r="B239" s="255"/>
      <c r="C239" s="255"/>
      <c r="D239" s="255"/>
      <c r="E239" s="255"/>
      <c r="F239" s="255"/>
      <c r="G239" s="255"/>
      <c r="H239" s="255"/>
      <c r="I239" s="255"/>
      <c r="J239" s="255"/>
      <c r="K239" s="255"/>
      <c r="L239" s="255"/>
      <c r="M239" s="255"/>
      <c r="N239" s="255"/>
      <c r="O239" s="255"/>
      <c r="P239" s="255"/>
      <c r="Q239" s="255"/>
      <c r="R239" s="255"/>
      <c r="S239" s="255"/>
    </row>
    <row r="240" spans="1:19" x14ac:dyDescent="0.45">
      <c r="A240" s="354"/>
      <c r="B240" s="255"/>
      <c r="C240" s="255"/>
      <c r="D240" s="255"/>
      <c r="E240" s="255"/>
      <c r="F240" s="255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  <c r="S240" s="255"/>
    </row>
    <row r="241" spans="1:19" x14ac:dyDescent="0.45">
      <c r="A241" s="354"/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</row>
    <row r="242" spans="1:19" x14ac:dyDescent="0.45">
      <c r="A242" s="354"/>
      <c r="B242" s="255"/>
      <c r="C242" s="255"/>
      <c r="D242" s="255"/>
      <c r="E242" s="255"/>
      <c r="F242" s="255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5"/>
      <c r="R242" s="255"/>
      <c r="S242" s="255"/>
    </row>
    <row r="243" spans="1:19" x14ac:dyDescent="0.45">
      <c r="A243" s="354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  <c r="S243" s="255"/>
    </row>
    <row r="244" spans="1:19" x14ac:dyDescent="0.45">
      <c r="A244" s="354"/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5"/>
      <c r="S244" s="255"/>
    </row>
    <row r="245" spans="1:19" x14ac:dyDescent="0.45">
      <c r="A245" s="354"/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  <c r="S245" s="255"/>
    </row>
    <row r="246" spans="1:19" x14ac:dyDescent="0.45">
      <c r="A246" s="354"/>
      <c r="B246" s="255"/>
      <c r="C246" s="255"/>
      <c r="D246" s="255"/>
      <c r="E246" s="255"/>
      <c r="F246" s="255"/>
      <c r="G246" s="255"/>
      <c r="H246" s="255"/>
      <c r="I246" s="255"/>
      <c r="J246" s="255"/>
      <c r="K246" s="255"/>
      <c r="L246" s="255"/>
      <c r="M246" s="255"/>
      <c r="N246" s="255"/>
      <c r="O246" s="255"/>
      <c r="P246" s="255"/>
      <c r="Q246" s="255"/>
      <c r="R246" s="255"/>
      <c r="S246" s="255"/>
    </row>
    <row r="247" spans="1:19" x14ac:dyDescent="0.45">
      <c r="A247" s="354"/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5"/>
      <c r="R247" s="255"/>
      <c r="S247" s="255"/>
    </row>
    <row r="248" spans="1:19" x14ac:dyDescent="0.45">
      <c r="A248" s="354"/>
      <c r="B248" s="255"/>
      <c r="C248" s="255"/>
      <c r="D248" s="255"/>
      <c r="E248" s="255"/>
      <c r="F248" s="255"/>
      <c r="G248" s="255"/>
      <c r="H248" s="255"/>
      <c r="I248" s="255"/>
      <c r="J248" s="255"/>
      <c r="K248" s="255"/>
      <c r="L248" s="255"/>
      <c r="M248" s="255"/>
      <c r="N248" s="255"/>
      <c r="O248" s="255"/>
      <c r="P248" s="255"/>
      <c r="Q248" s="255"/>
      <c r="R248" s="255"/>
      <c r="S248" s="255"/>
    </row>
    <row r="249" spans="1:19" x14ac:dyDescent="0.45">
      <c r="A249" s="354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5"/>
      <c r="R249" s="255"/>
      <c r="S249" s="255"/>
    </row>
    <row r="250" spans="1:19" x14ac:dyDescent="0.45">
      <c r="A250" s="354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  <c r="S250" s="255"/>
    </row>
    <row r="251" spans="1:19" x14ac:dyDescent="0.45">
      <c r="A251" s="354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  <c r="S251" s="255"/>
    </row>
    <row r="252" spans="1:19" x14ac:dyDescent="0.45">
      <c r="A252" s="354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</row>
    <row r="253" spans="1:19" x14ac:dyDescent="0.45">
      <c r="A253" s="354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255"/>
    </row>
    <row r="254" spans="1:19" x14ac:dyDescent="0.45">
      <c r="A254" s="354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255"/>
    </row>
    <row r="255" spans="1:19" x14ac:dyDescent="0.45">
      <c r="A255" s="354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</row>
    <row r="256" spans="1:19" x14ac:dyDescent="0.45">
      <c r="A256" s="354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255"/>
    </row>
    <row r="257" spans="1:19" x14ac:dyDescent="0.45">
      <c r="A257" s="354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255"/>
    </row>
    <row r="258" spans="1:19" x14ac:dyDescent="0.45">
      <c r="A258" s="354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255"/>
    </row>
    <row r="259" spans="1:19" x14ac:dyDescent="0.45">
      <c r="A259" s="354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255"/>
    </row>
    <row r="260" spans="1:19" x14ac:dyDescent="0.45">
      <c r="A260" s="354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255"/>
    </row>
    <row r="261" spans="1:19" x14ac:dyDescent="0.45">
      <c r="A261" s="354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255"/>
    </row>
    <row r="262" spans="1:19" x14ac:dyDescent="0.45">
      <c r="A262" s="354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255"/>
    </row>
    <row r="263" spans="1:19" x14ac:dyDescent="0.45">
      <c r="A263" s="354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255"/>
    </row>
    <row r="264" spans="1:19" x14ac:dyDescent="0.45">
      <c r="A264" s="354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255"/>
    </row>
    <row r="265" spans="1:19" x14ac:dyDescent="0.45">
      <c r="A265" s="354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255"/>
    </row>
    <row r="266" spans="1:19" x14ac:dyDescent="0.45">
      <c r="A266" s="354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255"/>
    </row>
    <row r="267" spans="1:19" x14ac:dyDescent="0.45">
      <c r="A267" s="354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255"/>
    </row>
    <row r="268" spans="1:19" x14ac:dyDescent="0.45">
      <c r="A268" s="354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255"/>
    </row>
    <row r="269" spans="1:19" x14ac:dyDescent="0.45">
      <c r="A269" s="354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255"/>
    </row>
    <row r="270" spans="1:19" x14ac:dyDescent="0.45">
      <c r="A270" s="354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255"/>
    </row>
    <row r="271" spans="1:19" x14ac:dyDescent="0.45">
      <c r="A271" s="354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255"/>
    </row>
    <row r="272" spans="1:19" x14ac:dyDescent="0.45">
      <c r="A272" s="354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255"/>
    </row>
    <row r="273" spans="1:19" x14ac:dyDescent="0.45">
      <c r="A273" s="354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255"/>
    </row>
    <row r="274" spans="1:19" x14ac:dyDescent="0.45">
      <c r="A274" s="354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255"/>
    </row>
    <row r="275" spans="1:19" x14ac:dyDescent="0.45">
      <c r="A275" s="354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255"/>
    </row>
    <row r="276" spans="1:19" x14ac:dyDescent="0.45">
      <c r="A276" s="354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</row>
    <row r="277" spans="1:19" x14ac:dyDescent="0.45">
      <c r="A277" s="354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</row>
    <row r="278" spans="1:19" x14ac:dyDescent="0.45">
      <c r="A278" s="354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</row>
    <row r="279" spans="1:19" x14ac:dyDescent="0.45">
      <c r="A279" s="354"/>
    </row>
    <row r="280" spans="1:19" x14ac:dyDescent="0.45">
      <c r="A280" s="354"/>
    </row>
    <row r="281" spans="1:19" x14ac:dyDescent="0.45">
      <c r="A281" s="354"/>
    </row>
    <row r="282" spans="1:19" x14ac:dyDescent="0.45">
      <c r="A282" s="354"/>
    </row>
    <row r="283" spans="1:19" x14ac:dyDescent="0.45">
      <c r="A283" s="354"/>
    </row>
    <row r="284" spans="1:19" x14ac:dyDescent="0.45">
      <c r="A284" s="354"/>
    </row>
    <row r="285" spans="1:19" x14ac:dyDescent="0.45">
      <c r="A285" s="354"/>
    </row>
    <row r="286" spans="1:19" x14ac:dyDescent="0.45">
      <c r="A286" s="354"/>
    </row>
    <row r="287" spans="1:19" x14ac:dyDescent="0.45">
      <c r="A287" s="354"/>
    </row>
  </sheetData>
  <mergeCells count="7">
    <mergeCell ref="C44:G44"/>
    <mergeCell ref="B1:E1"/>
    <mergeCell ref="H1:M1"/>
    <mergeCell ref="N1:Q1"/>
    <mergeCell ref="H11:M11"/>
    <mergeCell ref="H24:H25"/>
    <mergeCell ref="J24:J25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9"/>
  <sheetViews>
    <sheetView zoomScale="80" zoomScaleNormal="80" workbookViewId="0">
      <pane xSplit="17" ySplit="2" topLeftCell="Y3" activePane="bottomRight" state="frozen"/>
      <selection pane="topRight" activeCell="O1" sqref="O1"/>
      <selection pane="bottomLeft" activeCell="A3" sqref="A3"/>
      <selection pane="bottomRight" activeCell="H1" sqref="H1:M1"/>
    </sheetView>
  </sheetViews>
  <sheetFormatPr defaultRowHeight="14.6" x14ac:dyDescent="0.4"/>
  <cols>
    <col min="1" max="1" width="20.15234375" style="4" customWidth="1"/>
    <col min="2" max="2" width="28" style="8" customWidth="1"/>
    <col min="3" max="3" width="30.3046875" style="9" customWidth="1"/>
    <col min="4" max="4" width="16" style="9" customWidth="1"/>
    <col min="5" max="5" width="20.84375" style="10" customWidth="1"/>
    <col min="6" max="6" width="19" style="43" customWidth="1"/>
    <col min="7" max="7" width="14.53515625" style="43" customWidth="1"/>
    <col min="8" max="8" width="11.53515625" style="8" bestFit="1" customWidth="1"/>
    <col min="9" max="9" width="10.15234375" style="9" bestFit="1" customWidth="1"/>
    <col min="10" max="10" width="9.84375" style="9" bestFit="1" customWidth="1"/>
    <col min="11" max="12" width="9.84375" style="25" customWidth="1"/>
    <col min="13" max="13" width="10.15234375" style="10" bestFit="1" customWidth="1"/>
    <col min="14" max="14" width="9.84375" style="8" bestFit="1" customWidth="1"/>
    <col min="15" max="15" width="10.15234375" style="9" bestFit="1" customWidth="1"/>
    <col min="16" max="16" width="9.84375" style="9" bestFit="1" customWidth="1"/>
    <col min="17" max="17" width="10.15234375" style="10" bestFit="1" customWidth="1"/>
    <col min="18" max="19" width="10.15234375" style="24" customWidth="1"/>
  </cols>
  <sheetData>
    <row r="1" spans="1:22" x14ac:dyDescent="0.4">
      <c r="A1" s="30"/>
      <c r="B1" s="1375" t="s">
        <v>3</v>
      </c>
      <c r="C1" s="1376"/>
      <c r="D1" s="1376"/>
      <c r="E1" s="1378"/>
      <c r="F1" s="40"/>
      <c r="G1" s="40"/>
      <c r="H1" s="1375" t="s">
        <v>6</v>
      </c>
      <c r="I1" s="1376"/>
      <c r="J1" s="1376"/>
      <c r="K1" s="1377"/>
      <c r="L1" s="1377"/>
      <c r="M1" s="1378"/>
      <c r="N1" s="1379" t="s">
        <v>13</v>
      </c>
      <c r="O1" s="1380"/>
      <c r="P1" s="1380"/>
      <c r="Q1" s="1381"/>
      <c r="R1" s="61"/>
      <c r="S1" s="52"/>
    </row>
    <row r="2" spans="1:22" x14ac:dyDescent="0.4">
      <c r="A2" s="31" t="s">
        <v>0</v>
      </c>
      <c r="B2" s="11" t="s">
        <v>1</v>
      </c>
      <c r="C2" s="12" t="s">
        <v>4</v>
      </c>
      <c r="D2" s="12" t="s">
        <v>2</v>
      </c>
      <c r="E2" s="13" t="s">
        <v>5</v>
      </c>
      <c r="F2" s="41" t="s">
        <v>26</v>
      </c>
      <c r="G2" s="41" t="s">
        <v>19</v>
      </c>
      <c r="H2" s="27" t="s">
        <v>1</v>
      </c>
      <c r="I2" s="28" t="s">
        <v>4</v>
      </c>
      <c r="J2" s="28" t="s">
        <v>2</v>
      </c>
      <c r="K2" s="28" t="s">
        <v>5</v>
      </c>
      <c r="L2" s="48" t="s">
        <v>26</v>
      </c>
      <c r="M2" s="29" t="s">
        <v>19</v>
      </c>
      <c r="N2" s="14" t="s">
        <v>1</v>
      </c>
      <c r="O2" s="15" t="s">
        <v>4</v>
      </c>
      <c r="P2" s="15" t="s">
        <v>2</v>
      </c>
      <c r="Q2" s="49" t="s">
        <v>5</v>
      </c>
      <c r="R2" s="65" t="s">
        <v>19</v>
      </c>
      <c r="S2" s="53" t="s">
        <v>26</v>
      </c>
    </row>
    <row r="3" spans="1:22" x14ac:dyDescent="0.4">
      <c r="A3" s="32">
        <v>44197</v>
      </c>
      <c r="B3" s="5" t="s">
        <v>24</v>
      </c>
      <c r="C3" s="6"/>
      <c r="D3" s="6"/>
      <c r="E3" s="7"/>
      <c r="F3" s="42"/>
      <c r="G3" s="42"/>
      <c r="H3" s="5">
        <v>28</v>
      </c>
      <c r="I3" s="6">
        <v>4</v>
      </c>
      <c r="J3" s="6"/>
      <c r="K3" s="6"/>
      <c r="L3" s="42"/>
      <c r="M3" s="26"/>
      <c r="N3" s="16" t="s">
        <v>8</v>
      </c>
      <c r="O3" s="17" t="s">
        <v>7</v>
      </c>
      <c r="P3" s="6"/>
      <c r="Q3" s="47"/>
      <c r="R3" s="66"/>
      <c r="S3" s="54"/>
      <c r="U3" s="2" t="s">
        <v>8</v>
      </c>
      <c r="V3" t="s">
        <v>10</v>
      </c>
    </row>
    <row r="4" spans="1:22" x14ac:dyDescent="0.4">
      <c r="A4" s="32">
        <v>44198</v>
      </c>
      <c r="D4" s="9" t="s">
        <v>23</v>
      </c>
      <c r="H4" s="8">
        <v>10</v>
      </c>
      <c r="I4" s="9">
        <v>80</v>
      </c>
      <c r="J4" s="9">
        <v>840</v>
      </c>
      <c r="K4" s="9"/>
      <c r="L4" s="43"/>
      <c r="M4" s="26"/>
      <c r="N4" s="18" t="s">
        <v>7</v>
      </c>
      <c r="O4" s="17" t="s">
        <v>7</v>
      </c>
      <c r="P4" s="19" t="s">
        <v>8</v>
      </c>
      <c r="Q4" s="25"/>
      <c r="S4" s="55"/>
      <c r="U4" s="1" t="s">
        <v>7</v>
      </c>
      <c r="V4" t="s">
        <v>11</v>
      </c>
    </row>
    <row r="5" spans="1:22" x14ac:dyDescent="0.4">
      <c r="A5" s="32">
        <v>44199</v>
      </c>
      <c r="D5" s="9" t="s">
        <v>23</v>
      </c>
      <c r="J5" s="9">
        <v>1220</v>
      </c>
      <c r="K5" s="9"/>
      <c r="L5" s="43"/>
      <c r="M5" s="26"/>
      <c r="P5" s="19" t="s">
        <v>8</v>
      </c>
      <c r="Q5" s="25"/>
      <c r="S5" s="55"/>
      <c r="U5" s="3" t="s">
        <v>9</v>
      </c>
      <c r="V5" t="s">
        <v>12</v>
      </c>
    </row>
    <row r="6" spans="1:22" x14ac:dyDescent="0.4">
      <c r="A6" s="32">
        <v>44200</v>
      </c>
      <c r="D6" s="9" t="s">
        <v>23</v>
      </c>
      <c r="J6" s="9">
        <v>85</v>
      </c>
      <c r="K6" s="9"/>
      <c r="L6" s="43"/>
      <c r="M6" s="26"/>
      <c r="O6" s="6"/>
      <c r="P6" s="19" t="s">
        <v>8</v>
      </c>
      <c r="Q6" s="25"/>
      <c r="S6" s="55"/>
    </row>
    <row r="7" spans="1:22" ht="29.15" x14ac:dyDescent="0.4">
      <c r="A7" s="32">
        <v>44201</v>
      </c>
      <c r="B7" s="22" t="s">
        <v>17</v>
      </c>
      <c r="E7" s="21" t="s">
        <v>23</v>
      </c>
      <c r="F7" s="44"/>
      <c r="G7" s="44"/>
      <c r="H7" s="8">
        <v>15</v>
      </c>
      <c r="K7" s="9">
        <v>840</v>
      </c>
      <c r="L7" s="43"/>
      <c r="M7" s="26"/>
      <c r="N7" s="18" t="s">
        <v>7</v>
      </c>
      <c r="Q7" s="50" t="s">
        <v>8</v>
      </c>
      <c r="R7" s="68"/>
      <c r="S7" s="56"/>
    </row>
    <row r="8" spans="1:22" ht="29.15" x14ac:dyDescent="0.4">
      <c r="A8" s="1382">
        <v>44202</v>
      </c>
      <c r="C8" s="21" t="s">
        <v>16</v>
      </c>
      <c r="E8" s="21" t="s">
        <v>23</v>
      </c>
      <c r="F8" s="44"/>
      <c r="G8" s="44"/>
      <c r="I8" s="9">
        <v>5</v>
      </c>
      <c r="K8" s="9">
        <v>425</v>
      </c>
      <c r="L8" s="43"/>
      <c r="M8" s="26"/>
      <c r="O8" s="19" t="s">
        <v>8</v>
      </c>
      <c r="Q8" s="50" t="s">
        <v>8</v>
      </c>
      <c r="R8" s="68"/>
      <c r="S8" s="56"/>
    </row>
    <row r="9" spans="1:22" x14ac:dyDescent="0.4">
      <c r="A9" s="1383"/>
      <c r="E9" s="10" t="s">
        <v>15</v>
      </c>
      <c r="K9" s="9">
        <v>168</v>
      </c>
      <c r="L9" s="43"/>
      <c r="M9" s="26"/>
      <c r="Q9" s="51" t="s">
        <v>7</v>
      </c>
      <c r="R9" s="68"/>
      <c r="S9" s="57"/>
    </row>
    <row r="10" spans="1:22" x14ac:dyDescent="0.4">
      <c r="A10" s="33">
        <v>44203</v>
      </c>
      <c r="C10" s="21" t="s">
        <v>25</v>
      </c>
      <c r="D10" s="21" t="s">
        <v>14</v>
      </c>
      <c r="I10" s="9">
        <v>133</v>
      </c>
      <c r="J10" s="9">
        <v>426</v>
      </c>
      <c r="K10" s="9"/>
      <c r="L10" s="43"/>
      <c r="M10" s="26"/>
      <c r="O10" s="3" t="s">
        <v>9</v>
      </c>
      <c r="P10" s="19" t="s">
        <v>8</v>
      </c>
      <c r="Q10" s="25"/>
      <c r="R10" s="69"/>
      <c r="S10" s="55"/>
    </row>
    <row r="11" spans="1:22" ht="29.15" x14ac:dyDescent="0.4">
      <c r="A11" s="33">
        <v>44205</v>
      </c>
      <c r="E11" s="23" t="s">
        <v>18</v>
      </c>
      <c r="F11" s="45"/>
      <c r="G11" s="45"/>
      <c r="K11" s="9">
        <v>26</v>
      </c>
      <c r="L11" s="43"/>
      <c r="M11" s="26"/>
      <c r="Q11" s="50" t="s">
        <v>8</v>
      </c>
      <c r="R11" s="68"/>
      <c r="S11" s="56"/>
    </row>
    <row r="12" spans="1:22" ht="29.15" x14ac:dyDescent="0.4">
      <c r="A12" s="33">
        <v>44206</v>
      </c>
      <c r="E12" s="23" t="s">
        <v>22</v>
      </c>
      <c r="F12" s="45"/>
      <c r="G12" s="45"/>
      <c r="M12" s="10">
        <v>710</v>
      </c>
      <c r="Q12" s="25"/>
      <c r="R12" s="69"/>
      <c r="S12" s="55"/>
    </row>
    <row r="13" spans="1:22" x14ac:dyDescent="0.4">
      <c r="A13" s="33">
        <v>44207</v>
      </c>
      <c r="H13" s="8">
        <v>161</v>
      </c>
      <c r="K13" s="25">
        <v>121</v>
      </c>
      <c r="N13" s="2" t="s">
        <v>8</v>
      </c>
      <c r="P13" s="1" t="s">
        <v>7</v>
      </c>
      <c r="Q13" s="25"/>
      <c r="R13" s="69"/>
      <c r="S13" s="55"/>
    </row>
    <row r="14" spans="1:22" x14ac:dyDescent="0.4">
      <c r="A14" s="33">
        <v>44208</v>
      </c>
      <c r="H14" s="8">
        <v>685</v>
      </c>
      <c r="I14" s="9">
        <v>15</v>
      </c>
      <c r="N14" s="2" t="s">
        <v>8</v>
      </c>
      <c r="O14" s="2" t="s">
        <v>8</v>
      </c>
      <c r="Q14" s="25"/>
      <c r="R14" s="69"/>
      <c r="S14" s="55"/>
    </row>
    <row r="15" spans="1:22" x14ac:dyDescent="0.4">
      <c r="A15" s="33">
        <v>44209</v>
      </c>
      <c r="B15" s="9"/>
      <c r="C15" s="10"/>
      <c r="D15" s="43" t="s">
        <v>37</v>
      </c>
      <c r="E15" s="8"/>
      <c r="F15" s="62"/>
      <c r="G15" s="9"/>
      <c r="H15" s="9"/>
      <c r="L15" s="25">
        <v>790</v>
      </c>
      <c r="Q15" s="25"/>
      <c r="R15" s="69"/>
      <c r="S15" s="1" t="s">
        <v>7</v>
      </c>
    </row>
    <row r="16" spans="1:22" x14ac:dyDescent="0.4">
      <c r="A16" s="33">
        <v>44210</v>
      </c>
      <c r="B16" s="8" t="s">
        <v>24</v>
      </c>
      <c r="H16" s="8">
        <v>13</v>
      </c>
      <c r="N16" s="3" t="s">
        <v>9</v>
      </c>
      <c r="Q16" s="25"/>
      <c r="R16" s="69"/>
      <c r="S16" s="55"/>
    </row>
    <row r="17" spans="1:23" x14ac:dyDescent="0.4">
      <c r="A17" s="33">
        <v>44211</v>
      </c>
      <c r="B17" s="8" t="s">
        <v>36</v>
      </c>
      <c r="H17" s="8">
        <v>3</v>
      </c>
      <c r="N17" s="1" t="s">
        <v>7</v>
      </c>
      <c r="Q17" s="25"/>
      <c r="R17" s="69"/>
      <c r="S17" s="55"/>
    </row>
    <row r="18" spans="1:23" x14ac:dyDescent="0.4">
      <c r="A18" s="33">
        <v>44212</v>
      </c>
      <c r="Q18" s="25"/>
      <c r="R18" s="69"/>
      <c r="S18" s="55"/>
    </row>
    <row r="19" spans="1:23" x14ac:dyDescent="0.4">
      <c r="A19" s="33">
        <v>44213</v>
      </c>
      <c r="D19" s="9" t="s">
        <v>28</v>
      </c>
      <c r="J19" s="9">
        <v>220</v>
      </c>
      <c r="P19" s="1" t="s">
        <v>7</v>
      </c>
      <c r="Q19" s="25"/>
      <c r="R19" s="69"/>
      <c r="S19" s="55"/>
    </row>
    <row r="20" spans="1:23" x14ac:dyDescent="0.4">
      <c r="A20" s="33">
        <v>44214</v>
      </c>
      <c r="C20" s="1388" t="s">
        <v>38</v>
      </c>
      <c r="O20" s="1390" t="s">
        <v>8</v>
      </c>
      <c r="Q20" s="25"/>
      <c r="R20" s="69"/>
      <c r="S20" s="55"/>
    </row>
    <row r="21" spans="1:23" x14ac:dyDescent="0.4">
      <c r="A21" s="33">
        <v>44215</v>
      </c>
      <c r="C21" s="1389"/>
      <c r="D21" s="9" t="s">
        <v>27</v>
      </c>
      <c r="I21" s="9">
        <v>2980</v>
      </c>
      <c r="J21" s="9">
        <v>10</v>
      </c>
      <c r="O21" s="1391"/>
      <c r="P21" s="3" t="s">
        <v>9</v>
      </c>
      <c r="Q21" s="25"/>
      <c r="R21" s="69"/>
      <c r="S21" s="55"/>
    </row>
    <row r="22" spans="1:23" ht="81" customHeight="1" x14ac:dyDescent="0.4">
      <c r="A22" s="33">
        <v>44216</v>
      </c>
      <c r="B22" s="60" t="s">
        <v>29</v>
      </c>
      <c r="C22" s="1392" t="s">
        <v>39</v>
      </c>
      <c r="H22" s="8">
        <v>67</v>
      </c>
      <c r="I22" s="9">
        <v>1931</v>
      </c>
      <c r="N22" s="59" t="s">
        <v>7</v>
      </c>
      <c r="O22" s="71" t="s">
        <v>8</v>
      </c>
      <c r="Q22" s="25"/>
      <c r="R22" s="69"/>
      <c r="S22" s="55"/>
      <c r="V22" s="20"/>
      <c r="W22" s="20"/>
    </row>
    <row r="23" spans="1:23" x14ac:dyDescent="0.4">
      <c r="A23" s="33">
        <v>44217</v>
      </c>
      <c r="C23" s="1393"/>
      <c r="O23" s="70"/>
      <c r="Q23" s="25"/>
      <c r="R23" s="69"/>
      <c r="S23" s="55"/>
    </row>
    <row r="24" spans="1:23" x14ac:dyDescent="0.4">
      <c r="A24" s="1386">
        <v>44218</v>
      </c>
      <c r="E24" s="1384" t="s">
        <v>30</v>
      </c>
      <c r="F24" s="63"/>
      <c r="Q24" s="25"/>
      <c r="R24" s="69"/>
      <c r="S24" s="55"/>
    </row>
    <row r="25" spans="1:23" ht="90.75" customHeight="1" x14ac:dyDescent="0.4">
      <c r="A25" s="1387"/>
      <c r="E25" s="1385"/>
      <c r="F25" s="64"/>
      <c r="K25" s="25">
        <v>481</v>
      </c>
      <c r="Q25" s="50" t="s">
        <v>8</v>
      </c>
      <c r="R25" s="68"/>
      <c r="S25" s="55"/>
    </row>
    <row r="26" spans="1:23" ht="43.75" x14ac:dyDescent="0.4">
      <c r="A26" s="33">
        <v>44219</v>
      </c>
      <c r="D26" s="21" t="s">
        <v>31</v>
      </c>
      <c r="F26" s="45"/>
      <c r="J26" s="9">
        <v>10</v>
      </c>
      <c r="P26" s="3" t="s">
        <v>9</v>
      </c>
      <c r="Q26" s="25"/>
      <c r="R26" s="69"/>
      <c r="S26" s="55"/>
    </row>
    <row r="27" spans="1:23" ht="58.3" x14ac:dyDescent="0.4">
      <c r="A27" s="33">
        <v>44220</v>
      </c>
      <c r="B27" s="22" t="s">
        <v>32</v>
      </c>
      <c r="D27" s="9" t="s">
        <v>28</v>
      </c>
      <c r="E27" s="23" t="s">
        <v>33</v>
      </c>
      <c r="F27" s="45"/>
      <c r="H27" s="8">
        <v>240</v>
      </c>
      <c r="J27" s="9">
        <v>320</v>
      </c>
      <c r="K27" s="25">
        <v>180</v>
      </c>
      <c r="N27" s="59" t="s">
        <v>7</v>
      </c>
      <c r="P27" s="59" t="s">
        <v>7</v>
      </c>
      <c r="Q27" s="59" t="s">
        <v>7</v>
      </c>
      <c r="R27" s="69"/>
      <c r="S27" s="55"/>
    </row>
    <row r="28" spans="1:23" x14ac:dyDescent="0.4">
      <c r="A28" s="33">
        <v>44221</v>
      </c>
      <c r="C28" s="9" t="s">
        <v>28</v>
      </c>
      <c r="I28" s="9">
        <v>160</v>
      </c>
      <c r="O28" s="59" t="s">
        <v>7</v>
      </c>
      <c r="Q28" s="25"/>
      <c r="R28" s="69"/>
      <c r="S28" s="55"/>
    </row>
    <row r="29" spans="1:23" x14ac:dyDescent="0.4">
      <c r="A29" s="33">
        <v>44222</v>
      </c>
      <c r="Q29" s="25"/>
      <c r="R29" s="69"/>
      <c r="S29" s="55"/>
    </row>
    <row r="30" spans="1:23" x14ac:dyDescent="0.4">
      <c r="A30" s="33">
        <v>44223</v>
      </c>
      <c r="Q30" s="25"/>
      <c r="R30" s="69"/>
      <c r="S30" s="55"/>
    </row>
    <row r="31" spans="1:23" ht="72.900000000000006" x14ac:dyDescent="0.4">
      <c r="A31" s="33">
        <v>44224</v>
      </c>
      <c r="B31" s="22" t="s">
        <v>34</v>
      </c>
      <c r="G31" s="45" t="s">
        <v>35</v>
      </c>
      <c r="H31" s="8">
        <v>150</v>
      </c>
      <c r="M31" s="10">
        <v>120</v>
      </c>
      <c r="N31" s="50" t="s">
        <v>8</v>
      </c>
      <c r="Q31" s="25"/>
      <c r="R31" s="50" t="s">
        <v>8</v>
      </c>
      <c r="S31" s="55"/>
    </row>
    <row r="32" spans="1:23" x14ac:dyDescent="0.4">
      <c r="A32" s="33">
        <v>44225</v>
      </c>
      <c r="Q32" s="25"/>
      <c r="R32" s="69"/>
      <c r="S32" s="55"/>
    </row>
    <row r="33" spans="1:19" x14ac:dyDescent="0.4">
      <c r="A33" s="33">
        <v>44226</v>
      </c>
      <c r="Q33" s="25"/>
      <c r="R33" s="69"/>
      <c r="S33" s="55"/>
    </row>
    <row r="34" spans="1:19" ht="87.45" x14ac:dyDescent="0.4">
      <c r="A34" s="33">
        <v>44227</v>
      </c>
      <c r="G34" s="45" t="s">
        <v>40</v>
      </c>
      <c r="M34" s="10">
        <v>210</v>
      </c>
      <c r="Q34" s="25"/>
      <c r="R34" s="50" t="s">
        <v>8</v>
      </c>
      <c r="S34" s="55"/>
    </row>
    <row r="35" spans="1:19" ht="15" thickBot="1" x14ac:dyDescent="0.45">
      <c r="A35" s="34" t="s">
        <v>20</v>
      </c>
      <c r="B35" s="35"/>
      <c r="C35" s="36"/>
      <c r="D35" s="36"/>
      <c r="E35" s="38"/>
      <c r="F35" s="46"/>
      <c r="G35" s="46"/>
      <c r="H35" s="35">
        <f t="shared" ref="H35:M35" si="0">SUM(H3:H34)</f>
        <v>1372</v>
      </c>
      <c r="I35" s="36">
        <f t="shared" si="0"/>
        <v>5308</v>
      </c>
      <c r="J35" s="36">
        <f t="shared" si="0"/>
        <v>3131</v>
      </c>
      <c r="K35" s="37">
        <f t="shared" si="0"/>
        <v>2241</v>
      </c>
      <c r="L35" s="37">
        <f t="shared" si="0"/>
        <v>790</v>
      </c>
      <c r="M35" s="38">
        <f t="shared" si="0"/>
        <v>1040</v>
      </c>
      <c r="N35" s="35"/>
      <c r="O35" s="36"/>
      <c r="P35" s="36"/>
      <c r="Q35" s="37"/>
      <c r="R35" s="67"/>
      <c r="S35" s="58"/>
    </row>
    <row r="36" spans="1:19" ht="15" thickBot="1" x14ac:dyDescent="0.45">
      <c r="A36" s="34" t="s">
        <v>21</v>
      </c>
      <c r="B36" s="24"/>
      <c r="C36" s="24"/>
      <c r="D36" s="24"/>
      <c r="E36" s="24"/>
      <c r="F36" s="24"/>
      <c r="G36" s="24"/>
      <c r="H36" s="39">
        <f t="shared" ref="H36:M36" si="1">H35/24</f>
        <v>57.166666666666664</v>
      </c>
      <c r="I36" s="39">
        <f t="shared" si="1"/>
        <v>221.16666666666666</v>
      </c>
      <c r="J36" s="39">
        <f t="shared" si="1"/>
        <v>130.45833333333334</v>
      </c>
      <c r="K36" s="39">
        <f t="shared" si="1"/>
        <v>93.375</v>
      </c>
      <c r="L36" s="39">
        <f t="shared" si="1"/>
        <v>32.916666666666664</v>
      </c>
      <c r="M36" s="73">
        <f t="shared" si="1"/>
        <v>43.333333333333336</v>
      </c>
      <c r="N36" s="24"/>
      <c r="O36" s="24"/>
      <c r="P36" s="24"/>
      <c r="Q36" s="24"/>
    </row>
    <row r="37" spans="1:19" x14ac:dyDescent="0.4">
      <c r="A37" s="24" t="s">
        <v>41</v>
      </c>
      <c r="B37" s="24"/>
      <c r="C37" s="24"/>
      <c r="D37" s="24"/>
      <c r="E37" s="24"/>
      <c r="F37" s="24"/>
      <c r="G37" s="24"/>
      <c r="H37" s="72">
        <f>(H3+H13+H14+H31)/24</f>
        <v>42.666666666666664</v>
      </c>
      <c r="I37" s="72">
        <f>(I8+I14+I21+I22)/24</f>
        <v>205.45833333333334</v>
      </c>
      <c r="J37" s="72">
        <f>(J4+J5+J6+J10+J21)/24</f>
        <v>107.54166666666667</v>
      </c>
      <c r="K37" s="72">
        <f>(K7+K8+K11+K25)/24</f>
        <v>73.833333333333329</v>
      </c>
      <c r="L37" s="24"/>
      <c r="M37" s="72">
        <f>(M12+M31+M34)/24</f>
        <v>43.333333333333336</v>
      </c>
      <c r="N37" s="24"/>
      <c r="O37" s="24"/>
      <c r="P37" s="24"/>
      <c r="Q37" s="24"/>
    </row>
    <row r="38" spans="1:19" x14ac:dyDescent="0.4">
      <c r="A38" s="24" t="s">
        <v>42</v>
      </c>
      <c r="B38" s="24"/>
      <c r="C38" s="24"/>
      <c r="D38" s="24"/>
      <c r="E38" s="24"/>
      <c r="F38" s="24"/>
      <c r="G38" s="24"/>
      <c r="H38" s="72">
        <f>(H4+H7+H17+H22+H27)/24</f>
        <v>13.958333333333334</v>
      </c>
      <c r="I38" s="72">
        <f>(I3+I4+I28)/24</f>
        <v>10.166666666666666</v>
      </c>
      <c r="J38" s="24">
        <f>(J19+J27)/24</f>
        <v>22.5</v>
      </c>
      <c r="K38" s="24">
        <f>(K9+K27)/24</f>
        <v>14.5</v>
      </c>
      <c r="L38" s="72">
        <f>L15/24</f>
        <v>32.916666666666664</v>
      </c>
      <c r="M38" s="24"/>
      <c r="N38" s="24"/>
      <c r="O38" s="24"/>
      <c r="P38" s="24"/>
      <c r="Q38" s="24"/>
    </row>
    <row r="39" spans="1:19" x14ac:dyDescent="0.4">
      <c r="A39" s="24" t="s">
        <v>43</v>
      </c>
      <c r="B39" s="24"/>
      <c r="C39" s="24"/>
      <c r="D39" s="24"/>
      <c r="E39" s="24"/>
      <c r="F39" s="24"/>
      <c r="G39" s="24"/>
      <c r="H39" s="72">
        <f>H16/24</f>
        <v>0.54166666666666663</v>
      </c>
      <c r="I39" s="72">
        <f>(I10)/24</f>
        <v>5.541666666666667</v>
      </c>
      <c r="J39" s="72">
        <f>(J26+J21)/24</f>
        <v>0.83333333333333337</v>
      </c>
      <c r="K39" s="24">
        <v>0</v>
      </c>
      <c r="L39" s="24"/>
      <c r="M39" s="24"/>
      <c r="N39" s="24"/>
      <c r="O39" s="24"/>
      <c r="P39" s="24"/>
      <c r="Q39" s="24"/>
    </row>
    <row r="40" spans="1:19" x14ac:dyDescent="0.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4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4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4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4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4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customFormat="1" x14ac:dyDescent="0.4"/>
    <row r="50" customFormat="1" x14ac:dyDescent="0.4"/>
    <row r="51" customFormat="1" x14ac:dyDescent="0.4"/>
    <row r="52" customFormat="1" x14ac:dyDescent="0.4"/>
    <row r="53" customFormat="1" x14ac:dyDescent="0.4"/>
    <row r="54" customFormat="1" x14ac:dyDescent="0.4"/>
    <row r="55" customFormat="1" x14ac:dyDescent="0.4"/>
    <row r="56" customFormat="1" x14ac:dyDescent="0.4"/>
    <row r="57" customFormat="1" x14ac:dyDescent="0.4"/>
    <row r="58" customFormat="1" x14ac:dyDescent="0.4"/>
    <row r="59" customFormat="1" x14ac:dyDescent="0.4"/>
    <row r="60" customFormat="1" x14ac:dyDescent="0.4"/>
    <row r="61" customFormat="1" x14ac:dyDescent="0.4"/>
    <row r="62" customFormat="1" x14ac:dyDescent="0.4"/>
    <row r="63" customFormat="1" x14ac:dyDescent="0.4"/>
    <row r="64" customFormat="1" x14ac:dyDescent="0.4"/>
    <row r="65" customFormat="1" x14ac:dyDescent="0.4"/>
    <row r="66" customFormat="1" x14ac:dyDescent="0.4"/>
    <row r="67" customFormat="1" x14ac:dyDescent="0.4"/>
    <row r="68" customFormat="1" x14ac:dyDescent="0.4"/>
    <row r="69" customFormat="1" x14ac:dyDescent="0.4"/>
    <row r="70" customFormat="1" x14ac:dyDescent="0.4"/>
    <row r="71" customFormat="1" x14ac:dyDescent="0.4"/>
    <row r="72" customFormat="1" x14ac:dyDescent="0.4"/>
    <row r="73" customFormat="1" x14ac:dyDescent="0.4"/>
    <row r="74" customFormat="1" x14ac:dyDescent="0.4"/>
    <row r="75" customFormat="1" x14ac:dyDescent="0.4"/>
    <row r="76" customFormat="1" x14ac:dyDescent="0.4"/>
    <row r="77" customFormat="1" x14ac:dyDescent="0.4"/>
    <row r="78" customFormat="1" x14ac:dyDescent="0.4"/>
    <row r="79" customFormat="1" x14ac:dyDescent="0.4"/>
    <row r="80" customFormat="1" x14ac:dyDescent="0.4"/>
    <row r="81" customFormat="1" x14ac:dyDescent="0.4"/>
    <row r="82" customFormat="1" x14ac:dyDescent="0.4"/>
    <row r="83" customFormat="1" x14ac:dyDescent="0.4"/>
    <row r="84" customFormat="1" x14ac:dyDescent="0.4"/>
    <row r="85" customFormat="1" x14ac:dyDescent="0.4"/>
    <row r="86" customFormat="1" x14ac:dyDescent="0.4"/>
    <row r="87" customFormat="1" x14ac:dyDescent="0.4"/>
    <row r="88" customFormat="1" x14ac:dyDescent="0.4"/>
    <row r="89" customFormat="1" x14ac:dyDescent="0.4"/>
    <row r="90" customFormat="1" x14ac:dyDescent="0.4"/>
    <row r="91" customFormat="1" x14ac:dyDescent="0.4"/>
    <row r="92" customFormat="1" x14ac:dyDescent="0.4"/>
    <row r="93" customFormat="1" x14ac:dyDescent="0.4"/>
    <row r="94" customFormat="1" x14ac:dyDescent="0.4"/>
    <row r="95" customFormat="1" x14ac:dyDescent="0.4"/>
    <row r="96" customFormat="1" x14ac:dyDescent="0.4"/>
    <row r="97" customFormat="1" x14ac:dyDescent="0.4"/>
    <row r="98" customFormat="1" x14ac:dyDescent="0.4"/>
    <row r="99" customFormat="1" x14ac:dyDescent="0.4"/>
    <row r="100" customFormat="1" x14ac:dyDescent="0.4"/>
    <row r="101" customFormat="1" x14ac:dyDescent="0.4"/>
    <row r="102" customFormat="1" x14ac:dyDescent="0.4"/>
    <row r="103" customFormat="1" x14ac:dyDescent="0.4"/>
    <row r="104" customFormat="1" x14ac:dyDescent="0.4"/>
    <row r="105" customFormat="1" x14ac:dyDescent="0.4"/>
    <row r="106" customFormat="1" x14ac:dyDescent="0.4"/>
    <row r="107" customFormat="1" x14ac:dyDescent="0.4"/>
    <row r="108" customFormat="1" x14ac:dyDescent="0.4"/>
    <row r="109" customFormat="1" x14ac:dyDescent="0.4"/>
    <row r="110" customFormat="1" x14ac:dyDescent="0.4"/>
    <row r="111" customFormat="1" x14ac:dyDescent="0.4"/>
    <row r="112" customFormat="1" x14ac:dyDescent="0.4"/>
    <row r="113" customFormat="1" x14ac:dyDescent="0.4"/>
    <row r="114" customFormat="1" x14ac:dyDescent="0.4"/>
    <row r="115" customFormat="1" x14ac:dyDescent="0.4"/>
    <row r="116" customFormat="1" x14ac:dyDescent="0.4"/>
    <row r="117" customFormat="1" x14ac:dyDescent="0.4"/>
    <row r="118" customFormat="1" x14ac:dyDescent="0.4"/>
    <row r="119" customFormat="1" x14ac:dyDescent="0.4"/>
    <row r="120" customFormat="1" x14ac:dyDescent="0.4"/>
    <row r="121" customFormat="1" x14ac:dyDescent="0.4"/>
    <row r="122" customFormat="1" x14ac:dyDescent="0.4"/>
    <row r="123" customFormat="1" x14ac:dyDescent="0.4"/>
    <row r="124" customFormat="1" x14ac:dyDescent="0.4"/>
    <row r="125" customFormat="1" x14ac:dyDescent="0.4"/>
    <row r="126" customFormat="1" x14ac:dyDescent="0.4"/>
    <row r="127" customFormat="1" x14ac:dyDescent="0.4"/>
    <row r="128" customFormat="1" x14ac:dyDescent="0.4"/>
    <row r="129" customFormat="1" x14ac:dyDescent="0.4"/>
    <row r="130" customFormat="1" x14ac:dyDescent="0.4"/>
    <row r="131" customFormat="1" x14ac:dyDescent="0.4"/>
    <row r="132" customFormat="1" x14ac:dyDescent="0.4"/>
    <row r="133" customFormat="1" x14ac:dyDescent="0.4"/>
    <row r="134" customFormat="1" x14ac:dyDescent="0.4"/>
    <row r="135" customFormat="1" x14ac:dyDescent="0.4"/>
    <row r="136" customFormat="1" x14ac:dyDescent="0.4"/>
    <row r="137" customFormat="1" x14ac:dyDescent="0.4"/>
    <row r="138" customFormat="1" x14ac:dyDescent="0.4"/>
    <row r="139" customFormat="1" x14ac:dyDescent="0.4"/>
    <row r="140" customFormat="1" x14ac:dyDescent="0.4"/>
    <row r="141" customFormat="1" x14ac:dyDescent="0.4"/>
    <row r="142" customFormat="1" x14ac:dyDescent="0.4"/>
    <row r="143" customFormat="1" x14ac:dyDescent="0.4"/>
    <row r="144" customFormat="1" x14ac:dyDescent="0.4"/>
    <row r="145" customFormat="1" x14ac:dyDescent="0.4"/>
    <row r="146" customFormat="1" x14ac:dyDescent="0.4"/>
    <row r="147" customFormat="1" x14ac:dyDescent="0.4"/>
    <row r="148" customFormat="1" x14ac:dyDescent="0.4"/>
    <row r="149" customFormat="1" x14ac:dyDescent="0.4"/>
    <row r="150" customFormat="1" x14ac:dyDescent="0.4"/>
    <row r="151" customFormat="1" x14ac:dyDescent="0.4"/>
    <row r="152" customFormat="1" x14ac:dyDescent="0.4"/>
    <row r="153" customFormat="1" x14ac:dyDescent="0.4"/>
    <row r="154" customFormat="1" x14ac:dyDescent="0.4"/>
    <row r="155" customFormat="1" x14ac:dyDescent="0.4"/>
    <row r="156" customFormat="1" x14ac:dyDescent="0.4"/>
    <row r="157" customFormat="1" x14ac:dyDescent="0.4"/>
    <row r="158" customFormat="1" x14ac:dyDescent="0.4"/>
    <row r="159" customFormat="1" x14ac:dyDescent="0.4"/>
    <row r="160" customFormat="1" x14ac:dyDescent="0.4"/>
    <row r="161" customFormat="1" x14ac:dyDescent="0.4"/>
    <row r="162" customFormat="1" x14ac:dyDescent="0.4"/>
    <row r="163" customFormat="1" x14ac:dyDescent="0.4"/>
    <row r="164" customFormat="1" x14ac:dyDescent="0.4"/>
    <row r="165" customFormat="1" x14ac:dyDescent="0.4"/>
    <row r="166" customFormat="1" x14ac:dyDescent="0.4"/>
    <row r="167" customFormat="1" x14ac:dyDescent="0.4"/>
    <row r="168" customFormat="1" x14ac:dyDescent="0.4"/>
    <row r="169" customFormat="1" x14ac:dyDescent="0.4"/>
    <row r="170" customFormat="1" x14ac:dyDescent="0.4"/>
    <row r="171" customFormat="1" x14ac:dyDescent="0.4"/>
    <row r="172" customFormat="1" x14ac:dyDescent="0.4"/>
    <row r="173" customFormat="1" x14ac:dyDescent="0.4"/>
    <row r="174" customFormat="1" x14ac:dyDescent="0.4"/>
    <row r="175" customFormat="1" x14ac:dyDescent="0.4"/>
    <row r="176" customFormat="1" x14ac:dyDescent="0.4"/>
    <row r="177" customFormat="1" x14ac:dyDescent="0.4"/>
    <row r="178" customFormat="1" x14ac:dyDescent="0.4"/>
    <row r="179" customFormat="1" x14ac:dyDescent="0.4"/>
    <row r="180" customFormat="1" x14ac:dyDescent="0.4"/>
    <row r="181" customFormat="1" x14ac:dyDescent="0.4"/>
    <row r="182" customFormat="1" x14ac:dyDescent="0.4"/>
    <row r="183" customFormat="1" x14ac:dyDescent="0.4"/>
    <row r="184" customFormat="1" x14ac:dyDescent="0.4"/>
    <row r="185" customFormat="1" x14ac:dyDescent="0.4"/>
    <row r="186" customFormat="1" x14ac:dyDescent="0.4"/>
    <row r="187" customFormat="1" x14ac:dyDescent="0.4"/>
    <row r="188" customFormat="1" x14ac:dyDescent="0.4"/>
    <row r="189" customFormat="1" x14ac:dyDescent="0.4"/>
    <row r="190" customFormat="1" x14ac:dyDescent="0.4"/>
    <row r="191" customFormat="1" x14ac:dyDescent="0.4"/>
    <row r="192" customFormat="1" x14ac:dyDescent="0.4"/>
    <row r="193" customFormat="1" x14ac:dyDescent="0.4"/>
    <row r="194" customFormat="1" x14ac:dyDescent="0.4"/>
    <row r="195" customFormat="1" x14ac:dyDescent="0.4"/>
    <row r="196" customFormat="1" x14ac:dyDescent="0.4"/>
    <row r="197" customFormat="1" x14ac:dyDescent="0.4"/>
    <row r="198" customFormat="1" x14ac:dyDescent="0.4"/>
    <row r="199" customFormat="1" x14ac:dyDescent="0.4"/>
    <row r="200" customFormat="1" x14ac:dyDescent="0.4"/>
    <row r="201" customFormat="1" x14ac:dyDescent="0.4"/>
    <row r="202" customFormat="1" x14ac:dyDescent="0.4"/>
    <row r="203" customFormat="1" x14ac:dyDescent="0.4"/>
    <row r="204" customFormat="1" x14ac:dyDescent="0.4"/>
    <row r="205" customFormat="1" x14ac:dyDescent="0.4"/>
    <row r="206" customFormat="1" x14ac:dyDescent="0.4"/>
    <row r="207" customFormat="1" x14ac:dyDescent="0.4"/>
    <row r="208" customFormat="1" x14ac:dyDescent="0.4"/>
    <row r="209" customFormat="1" x14ac:dyDescent="0.4"/>
    <row r="210" customFormat="1" x14ac:dyDescent="0.4"/>
    <row r="211" customFormat="1" x14ac:dyDescent="0.4"/>
    <row r="212" customFormat="1" x14ac:dyDescent="0.4"/>
    <row r="213" customFormat="1" x14ac:dyDescent="0.4"/>
    <row r="214" customFormat="1" x14ac:dyDescent="0.4"/>
    <row r="215" customFormat="1" x14ac:dyDescent="0.4"/>
    <row r="216" customFormat="1" x14ac:dyDescent="0.4"/>
    <row r="217" customFormat="1" x14ac:dyDescent="0.4"/>
    <row r="218" customFormat="1" x14ac:dyDescent="0.4"/>
    <row r="219" customFormat="1" x14ac:dyDescent="0.4"/>
    <row r="220" customFormat="1" x14ac:dyDescent="0.4"/>
    <row r="221" customFormat="1" x14ac:dyDescent="0.4"/>
    <row r="222" customFormat="1" x14ac:dyDescent="0.4"/>
    <row r="223" customFormat="1" x14ac:dyDescent="0.4"/>
    <row r="224" customFormat="1" x14ac:dyDescent="0.4"/>
    <row r="225" customFormat="1" x14ac:dyDescent="0.4"/>
    <row r="226" customFormat="1" x14ac:dyDescent="0.4"/>
    <row r="227" customFormat="1" x14ac:dyDescent="0.4"/>
    <row r="228" customFormat="1" x14ac:dyDescent="0.4"/>
    <row r="229" customFormat="1" x14ac:dyDescent="0.4"/>
    <row r="230" customFormat="1" x14ac:dyDescent="0.4"/>
    <row r="231" customFormat="1" x14ac:dyDescent="0.4"/>
    <row r="232" customFormat="1" x14ac:dyDescent="0.4"/>
    <row r="233" customFormat="1" x14ac:dyDescent="0.4"/>
    <row r="234" customFormat="1" x14ac:dyDescent="0.4"/>
    <row r="235" customFormat="1" x14ac:dyDescent="0.4"/>
    <row r="236" customFormat="1" x14ac:dyDescent="0.4"/>
    <row r="237" customFormat="1" x14ac:dyDescent="0.4"/>
    <row r="238" customFormat="1" x14ac:dyDescent="0.4"/>
    <row r="239" customFormat="1" x14ac:dyDescent="0.4"/>
    <row r="240" customFormat="1" x14ac:dyDescent="0.4"/>
    <row r="241" customFormat="1" x14ac:dyDescent="0.4"/>
    <row r="242" customFormat="1" x14ac:dyDescent="0.4"/>
    <row r="243" customFormat="1" x14ac:dyDescent="0.4"/>
    <row r="244" customFormat="1" x14ac:dyDescent="0.4"/>
    <row r="245" customFormat="1" x14ac:dyDescent="0.4"/>
    <row r="246" customFormat="1" x14ac:dyDescent="0.4"/>
    <row r="247" customFormat="1" x14ac:dyDescent="0.4"/>
    <row r="248" customFormat="1" x14ac:dyDescent="0.4"/>
    <row r="249" customFormat="1" x14ac:dyDescent="0.4"/>
    <row r="250" customFormat="1" x14ac:dyDescent="0.4"/>
    <row r="251" customFormat="1" x14ac:dyDescent="0.4"/>
    <row r="252" customFormat="1" x14ac:dyDescent="0.4"/>
    <row r="253" customFormat="1" x14ac:dyDescent="0.4"/>
    <row r="254" customFormat="1" x14ac:dyDescent="0.4"/>
    <row r="255" customFormat="1" x14ac:dyDescent="0.4"/>
    <row r="256" customFormat="1" x14ac:dyDescent="0.4"/>
    <row r="257" customFormat="1" x14ac:dyDescent="0.4"/>
    <row r="258" customFormat="1" x14ac:dyDescent="0.4"/>
    <row r="259" customFormat="1" x14ac:dyDescent="0.4"/>
    <row r="260" customFormat="1" x14ac:dyDescent="0.4"/>
    <row r="261" customFormat="1" x14ac:dyDescent="0.4"/>
    <row r="262" customFormat="1" x14ac:dyDescent="0.4"/>
    <row r="263" customFormat="1" x14ac:dyDescent="0.4"/>
    <row r="264" customFormat="1" x14ac:dyDescent="0.4"/>
    <row r="265" customFormat="1" x14ac:dyDescent="0.4"/>
    <row r="266" customFormat="1" x14ac:dyDescent="0.4"/>
    <row r="267" customFormat="1" x14ac:dyDescent="0.4"/>
    <row r="268" customFormat="1" x14ac:dyDescent="0.4"/>
    <row r="269" customFormat="1" x14ac:dyDescent="0.4"/>
    <row r="270" customFormat="1" x14ac:dyDescent="0.4"/>
    <row r="271" customFormat="1" x14ac:dyDescent="0.4"/>
    <row r="272" customFormat="1" x14ac:dyDescent="0.4"/>
    <row r="273" customFormat="1" x14ac:dyDescent="0.4"/>
    <row r="274" customFormat="1" x14ac:dyDescent="0.4"/>
    <row r="275" customFormat="1" x14ac:dyDescent="0.4"/>
    <row r="276" customFormat="1" x14ac:dyDescent="0.4"/>
    <row r="277" customFormat="1" x14ac:dyDescent="0.4"/>
    <row r="278" customFormat="1" x14ac:dyDescent="0.4"/>
    <row r="279" customFormat="1" x14ac:dyDescent="0.4"/>
  </sheetData>
  <autoFilter ref="N2:Q2" xr:uid="{00000000-0009-0000-0000-000001000000}"/>
  <mergeCells count="9">
    <mergeCell ref="H1:M1"/>
    <mergeCell ref="B1:E1"/>
    <mergeCell ref="N1:Q1"/>
    <mergeCell ref="A8:A9"/>
    <mergeCell ref="E24:E25"/>
    <mergeCell ref="A24:A25"/>
    <mergeCell ref="C20:C21"/>
    <mergeCell ref="O20:O21"/>
    <mergeCell ref="C22:C23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81"/>
  <sheetViews>
    <sheetView workbookViewId="0">
      <selection activeCell="F40" sqref="F40"/>
    </sheetView>
  </sheetViews>
  <sheetFormatPr defaultRowHeight="14.6" x14ac:dyDescent="0.4"/>
  <cols>
    <col min="1" max="1" width="20.15234375" style="4" customWidth="1"/>
    <col min="2" max="2" width="28" style="8" customWidth="1"/>
    <col min="3" max="3" width="30.3046875" style="9" customWidth="1"/>
    <col min="4" max="4" width="17" style="9" bestFit="1" customWidth="1"/>
    <col min="5" max="5" width="20.84375" style="10" customWidth="1"/>
    <col min="6" max="6" width="19" style="43" customWidth="1"/>
    <col min="7" max="7" width="17.15234375" style="43" customWidth="1"/>
    <col min="8" max="8" width="11.53515625" style="8" bestFit="1" customWidth="1"/>
    <col min="9" max="9" width="10.15234375" style="9" bestFit="1" customWidth="1"/>
    <col min="10" max="10" width="9.84375" style="9" bestFit="1" customWidth="1"/>
    <col min="11" max="12" width="9.84375" style="25" customWidth="1"/>
    <col min="13" max="13" width="10.15234375" style="10" bestFit="1" customWidth="1"/>
    <col min="14" max="14" width="9.84375" style="8" bestFit="1" customWidth="1"/>
    <col min="15" max="15" width="10.15234375" style="9" bestFit="1" customWidth="1"/>
    <col min="16" max="16" width="9.84375" style="9" bestFit="1" customWidth="1"/>
    <col min="17" max="17" width="10.15234375" style="10" bestFit="1" customWidth="1"/>
    <col min="18" max="19" width="10.15234375" style="24" customWidth="1"/>
  </cols>
  <sheetData>
    <row r="1" spans="1:22" ht="15.45" thickTop="1" thickBot="1" x14ac:dyDescent="0.45">
      <c r="A1" s="77"/>
      <c r="B1" s="1394" t="s">
        <v>3</v>
      </c>
      <c r="C1" s="1395"/>
      <c r="D1" s="1395"/>
      <c r="E1" s="1397"/>
      <c r="F1" s="61"/>
      <c r="G1" s="61"/>
      <c r="H1" s="1394" t="s">
        <v>6</v>
      </c>
      <c r="I1" s="1395"/>
      <c r="J1" s="1395"/>
      <c r="K1" s="1396"/>
      <c r="L1" s="1396"/>
      <c r="M1" s="1397"/>
      <c r="N1" s="1398" t="s">
        <v>13</v>
      </c>
      <c r="O1" s="1399"/>
      <c r="P1" s="1399"/>
      <c r="Q1" s="1400"/>
      <c r="R1" s="61"/>
      <c r="S1" s="78"/>
    </row>
    <row r="2" spans="1:22" ht="15.45" thickTop="1" thickBot="1" x14ac:dyDescent="0.45">
      <c r="A2" s="81" t="s">
        <v>0</v>
      </c>
      <c r="B2" s="82" t="s">
        <v>1</v>
      </c>
      <c r="C2" s="83" t="s">
        <v>4</v>
      </c>
      <c r="D2" s="83" t="s">
        <v>2</v>
      </c>
      <c r="E2" s="84" t="s">
        <v>5</v>
      </c>
      <c r="F2" s="85" t="s">
        <v>26</v>
      </c>
      <c r="G2" s="85" t="s">
        <v>19</v>
      </c>
      <c r="H2" s="86" t="s">
        <v>1</v>
      </c>
      <c r="I2" s="87" t="s">
        <v>4</v>
      </c>
      <c r="J2" s="87" t="s">
        <v>2</v>
      </c>
      <c r="K2" s="87" t="s">
        <v>5</v>
      </c>
      <c r="L2" s="88" t="s">
        <v>26</v>
      </c>
      <c r="M2" s="89" t="s">
        <v>19</v>
      </c>
      <c r="N2" s="82" t="s">
        <v>1</v>
      </c>
      <c r="O2" s="83" t="s">
        <v>4</v>
      </c>
      <c r="P2" s="83" t="s">
        <v>2</v>
      </c>
      <c r="Q2" s="90" t="s">
        <v>5</v>
      </c>
      <c r="R2" s="101" t="s">
        <v>19</v>
      </c>
      <c r="S2" s="91" t="s">
        <v>26</v>
      </c>
    </row>
    <row r="3" spans="1:22" ht="15" thickTop="1" x14ac:dyDescent="0.4">
      <c r="A3" s="79">
        <v>44228</v>
      </c>
      <c r="B3" s="106" t="s">
        <v>44</v>
      </c>
      <c r="C3" s="107"/>
      <c r="D3" s="107" t="s">
        <v>46</v>
      </c>
      <c r="E3" s="108"/>
      <c r="F3" s="92"/>
      <c r="G3" s="48"/>
      <c r="H3" s="27">
        <v>7</v>
      </c>
      <c r="I3" s="28"/>
      <c r="J3" s="28">
        <v>40</v>
      </c>
      <c r="K3" s="28"/>
      <c r="L3" s="94"/>
      <c r="M3" s="29"/>
      <c r="N3" s="59" t="s">
        <v>7</v>
      </c>
      <c r="O3" s="28"/>
      <c r="P3" s="126" t="s">
        <v>8</v>
      </c>
      <c r="Q3" s="80"/>
      <c r="R3" s="102"/>
      <c r="S3" s="98"/>
      <c r="U3" s="2" t="s">
        <v>8</v>
      </c>
      <c r="V3" t="s">
        <v>10</v>
      </c>
    </row>
    <row r="4" spans="1:22" x14ac:dyDescent="0.4">
      <c r="A4" s="32">
        <v>44229</v>
      </c>
      <c r="B4" s="109"/>
      <c r="C4" s="110"/>
      <c r="D4" s="110" t="s">
        <v>45</v>
      </c>
      <c r="E4" s="111"/>
      <c r="F4" s="8"/>
      <c r="J4" s="9">
        <v>230</v>
      </c>
      <c r="K4" s="9"/>
      <c r="L4" s="9"/>
      <c r="M4" s="26"/>
      <c r="N4" s="5"/>
      <c r="O4" s="6"/>
      <c r="P4" s="126" t="s">
        <v>8</v>
      </c>
      <c r="Q4" s="25"/>
      <c r="R4" s="103"/>
      <c r="S4" s="95"/>
      <c r="U4" s="1" t="s">
        <v>7</v>
      </c>
      <c r="V4" t="s">
        <v>11</v>
      </c>
    </row>
    <row r="5" spans="1:22" x14ac:dyDescent="0.4">
      <c r="A5" s="32">
        <v>44230</v>
      </c>
      <c r="B5" s="109" t="s">
        <v>46</v>
      </c>
      <c r="C5" s="110"/>
      <c r="D5" s="110" t="s">
        <v>28</v>
      </c>
      <c r="E5" s="111" t="s">
        <v>47</v>
      </c>
      <c r="F5" s="8"/>
      <c r="H5" s="8">
        <v>35</v>
      </c>
      <c r="J5" s="9">
        <v>100</v>
      </c>
      <c r="K5" s="9">
        <v>10</v>
      </c>
      <c r="L5" s="9"/>
      <c r="M5" s="26"/>
      <c r="N5" s="126" t="s">
        <v>8</v>
      </c>
      <c r="P5" s="59" t="s">
        <v>7</v>
      </c>
      <c r="Q5" s="126" t="s">
        <v>8</v>
      </c>
      <c r="R5" s="103"/>
      <c r="S5" s="95"/>
      <c r="U5" s="3" t="s">
        <v>9</v>
      </c>
      <c r="V5" t="s">
        <v>12</v>
      </c>
    </row>
    <row r="6" spans="1:22" x14ac:dyDescent="0.4">
      <c r="A6" s="32">
        <v>44231</v>
      </c>
      <c r="B6" s="109"/>
      <c r="C6" s="110"/>
      <c r="D6" s="110"/>
      <c r="E6" s="112" t="s">
        <v>48</v>
      </c>
      <c r="F6" s="8"/>
      <c r="K6" s="9"/>
      <c r="L6" s="9"/>
      <c r="M6" s="26"/>
      <c r="O6" s="6"/>
      <c r="P6" s="6"/>
      <c r="Q6" s="126" t="s">
        <v>8</v>
      </c>
      <c r="R6" s="103"/>
      <c r="S6" s="95"/>
      <c r="U6" s="130"/>
      <c r="V6" s="131" t="s">
        <v>51</v>
      </c>
    </row>
    <row r="7" spans="1:22" x14ac:dyDescent="0.4">
      <c r="A7" s="32">
        <v>44232</v>
      </c>
      <c r="B7" s="1404" t="s">
        <v>49</v>
      </c>
      <c r="C7" s="1405"/>
      <c r="D7" s="1405"/>
      <c r="E7" s="1406"/>
      <c r="F7" s="22"/>
      <c r="G7" s="44"/>
      <c r="H7" s="8">
        <v>5</v>
      </c>
      <c r="J7" s="9">
        <v>420</v>
      </c>
      <c r="K7" s="9"/>
      <c r="L7" s="9"/>
      <c r="M7" s="26"/>
      <c r="N7" s="5"/>
      <c r="Q7" s="47"/>
      <c r="R7" s="104"/>
      <c r="S7" s="99"/>
    </row>
    <row r="8" spans="1:22" x14ac:dyDescent="0.4">
      <c r="A8" s="32">
        <v>44233</v>
      </c>
      <c r="B8" s="109"/>
      <c r="C8" s="114"/>
      <c r="D8" s="110"/>
      <c r="E8" s="112"/>
      <c r="F8" s="22"/>
      <c r="G8" s="44"/>
      <c r="K8" s="9"/>
      <c r="L8" s="9"/>
      <c r="M8" s="26"/>
      <c r="O8" s="6"/>
      <c r="Q8" s="47"/>
      <c r="R8" s="104"/>
      <c r="S8" s="99"/>
    </row>
    <row r="9" spans="1:22" x14ac:dyDescent="0.4">
      <c r="A9" s="32">
        <v>44234</v>
      </c>
      <c r="B9" s="1401" t="s">
        <v>52</v>
      </c>
      <c r="C9" s="1402"/>
      <c r="D9" s="1402"/>
      <c r="E9" s="1403"/>
      <c r="F9" s="128" t="s">
        <v>50</v>
      </c>
      <c r="K9" s="9"/>
      <c r="L9" s="9">
        <v>840</v>
      </c>
      <c r="M9" s="26"/>
      <c r="N9" s="132"/>
      <c r="O9" s="133"/>
      <c r="P9" s="133"/>
      <c r="Q9" s="134"/>
      <c r="R9" s="135"/>
      <c r="S9" s="99"/>
    </row>
    <row r="10" spans="1:22" x14ac:dyDescent="0.4">
      <c r="A10" s="32">
        <v>44235</v>
      </c>
      <c r="B10" s="1401" t="s">
        <v>52</v>
      </c>
      <c r="C10" s="1402"/>
      <c r="D10" s="1402"/>
      <c r="E10" s="1403"/>
      <c r="F10" s="8" t="s">
        <v>53</v>
      </c>
      <c r="K10" s="9"/>
      <c r="L10" s="9">
        <v>480</v>
      </c>
      <c r="M10" s="26"/>
      <c r="N10" s="132"/>
      <c r="O10" s="133"/>
      <c r="P10" s="133"/>
      <c r="Q10" s="134"/>
      <c r="R10" s="135"/>
      <c r="S10" s="95"/>
    </row>
    <row r="11" spans="1:22" x14ac:dyDescent="0.4">
      <c r="A11" s="32">
        <v>44236</v>
      </c>
      <c r="B11" s="1401" t="s">
        <v>52</v>
      </c>
      <c r="C11" s="1402"/>
      <c r="D11" s="1402"/>
      <c r="E11" s="1403"/>
      <c r="F11" s="138" t="s">
        <v>54</v>
      </c>
      <c r="G11" s="45"/>
      <c r="K11" s="9"/>
      <c r="L11" s="9">
        <v>1440</v>
      </c>
      <c r="M11" s="26"/>
      <c r="N11" s="132"/>
      <c r="O11" s="133"/>
      <c r="P11" s="133"/>
      <c r="Q11" s="134"/>
      <c r="R11" s="135"/>
      <c r="S11" s="99"/>
    </row>
    <row r="12" spans="1:22" x14ac:dyDescent="0.4">
      <c r="A12" s="32" t="s">
        <v>57</v>
      </c>
      <c r="B12" s="1401" t="s">
        <v>52</v>
      </c>
      <c r="C12" s="1402"/>
      <c r="D12" s="1402"/>
      <c r="E12" s="1403"/>
      <c r="F12" s="22" t="s">
        <v>55</v>
      </c>
      <c r="G12" s="45"/>
      <c r="L12" s="9">
        <v>810</v>
      </c>
      <c r="M12" s="26"/>
      <c r="N12" s="132"/>
      <c r="O12" s="133"/>
      <c r="P12" s="133"/>
      <c r="Q12" s="134"/>
      <c r="R12" s="135"/>
      <c r="S12" s="95"/>
    </row>
    <row r="13" spans="1:22" x14ac:dyDescent="0.4">
      <c r="A13" s="32" t="s">
        <v>56</v>
      </c>
      <c r="B13" s="136"/>
      <c r="C13" s="118"/>
      <c r="D13" s="118" t="s">
        <v>46</v>
      </c>
      <c r="E13" s="137"/>
      <c r="F13" s="22"/>
      <c r="G13" s="45"/>
      <c r="J13" s="9">
        <v>20</v>
      </c>
      <c r="L13" s="9"/>
      <c r="M13" s="26"/>
      <c r="N13" s="24"/>
      <c r="P13" s="126" t="s">
        <v>8</v>
      </c>
      <c r="Q13" s="47"/>
      <c r="R13" s="104"/>
      <c r="S13" s="95"/>
    </row>
    <row r="14" spans="1:22" x14ac:dyDescent="0.4">
      <c r="A14" s="32">
        <v>44238</v>
      </c>
      <c r="B14" s="109"/>
      <c r="C14" s="110"/>
      <c r="D14" s="110"/>
      <c r="E14" s="111"/>
      <c r="F14" s="8"/>
      <c r="L14" s="9"/>
      <c r="M14" s="26"/>
      <c r="N14" s="24"/>
      <c r="P14" s="24"/>
      <c r="Q14" s="25"/>
      <c r="R14" s="103"/>
      <c r="S14" s="95"/>
    </row>
    <row r="15" spans="1:22" x14ac:dyDescent="0.4">
      <c r="A15" s="32">
        <v>44239</v>
      </c>
      <c r="B15" s="109"/>
      <c r="C15" s="110"/>
      <c r="D15" s="115" t="s">
        <v>58</v>
      </c>
      <c r="E15" s="111"/>
      <c r="F15" s="8"/>
      <c r="J15" s="9">
        <v>140</v>
      </c>
      <c r="N15" s="24"/>
      <c r="P15" s="126" t="s">
        <v>8</v>
      </c>
      <c r="Q15" s="25"/>
      <c r="R15" s="103"/>
      <c r="S15" s="95"/>
    </row>
    <row r="16" spans="1:22" x14ac:dyDescent="0.4">
      <c r="A16" s="32">
        <v>44240</v>
      </c>
      <c r="B16" s="109"/>
      <c r="C16" s="116"/>
      <c r="D16" s="117"/>
      <c r="E16" s="118"/>
      <c r="F16" s="8"/>
      <c r="G16" s="26"/>
      <c r="H16" s="62"/>
      <c r="Q16" s="25"/>
      <c r="R16" s="103"/>
      <c r="S16" s="100"/>
    </row>
    <row r="17" spans="1:23" ht="25.75" x14ac:dyDescent="0.4">
      <c r="A17" s="32">
        <v>44241</v>
      </c>
      <c r="B17" s="109"/>
      <c r="C17" s="114" t="s">
        <v>60</v>
      </c>
      <c r="D17" s="119"/>
      <c r="E17" s="111" t="s">
        <v>59</v>
      </c>
      <c r="F17" s="8"/>
      <c r="I17" s="9">
        <v>155</v>
      </c>
      <c r="M17" s="10">
        <v>41</v>
      </c>
      <c r="N17" s="24"/>
      <c r="O17" s="126" t="s">
        <v>8</v>
      </c>
      <c r="Q17" s="126" t="s">
        <v>8</v>
      </c>
      <c r="R17" s="103"/>
      <c r="S17" s="95"/>
    </row>
    <row r="18" spans="1:23" x14ac:dyDescent="0.4">
      <c r="A18" s="32">
        <v>44242</v>
      </c>
      <c r="B18" s="109"/>
      <c r="C18" s="107" t="s">
        <v>46</v>
      </c>
      <c r="D18" s="110"/>
      <c r="E18" s="107" t="s">
        <v>46</v>
      </c>
      <c r="F18" s="8"/>
      <c r="I18" s="9">
        <v>15</v>
      </c>
      <c r="K18" s="25">
        <v>10</v>
      </c>
      <c r="N18" s="24"/>
      <c r="O18" s="126" t="s">
        <v>8</v>
      </c>
      <c r="Q18" s="126" t="s">
        <v>8</v>
      </c>
      <c r="R18" s="103"/>
      <c r="S18" s="95"/>
    </row>
    <row r="19" spans="1:23" x14ac:dyDescent="0.4">
      <c r="A19" s="32">
        <v>44243</v>
      </c>
      <c r="B19" s="109" t="s">
        <v>61</v>
      </c>
      <c r="C19" s="110"/>
      <c r="D19" s="110"/>
      <c r="E19" s="111"/>
      <c r="F19" s="8"/>
      <c r="H19" s="8">
        <v>10</v>
      </c>
      <c r="J19" s="74"/>
      <c r="K19" s="127"/>
      <c r="L19" s="127"/>
      <c r="M19" s="139"/>
      <c r="N19" s="59" t="s">
        <v>7</v>
      </c>
      <c r="O19" s="74"/>
      <c r="P19" s="74"/>
      <c r="Q19" s="127"/>
      <c r="R19" s="105"/>
      <c r="S19" s="95"/>
    </row>
    <row r="20" spans="1:23" ht="38.6" x14ac:dyDescent="0.4">
      <c r="A20" s="1382">
        <v>44244</v>
      </c>
      <c r="B20" s="109"/>
      <c r="C20" s="110"/>
      <c r="D20" s="114" t="s">
        <v>63</v>
      </c>
      <c r="E20" s="112" t="s">
        <v>67</v>
      </c>
      <c r="F20" s="8"/>
      <c r="I20" s="25"/>
      <c r="J20" s="149">
        <v>75</v>
      </c>
      <c r="K20" s="149">
        <v>140</v>
      </c>
      <c r="L20" s="144"/>
      <c r="M20" s="145"/>
      <c r="N20" s="146"/>
      <c r="O20" s="147"/>
      <c r="P20" s="126" t="s">
        <v>8</v>
      </c>
      <c r="Q20" s="126" t="s">
        <v>8</v>
      </c>
      <c r="R20" s="148"/>
      <c r="S20" s="95"/>
    </row>
    <row r="21" spans="1:23" ht="38.6" x14ac:dyDescent="0.4">
      <c r="A21" s="1383"/>
      <c r="B21" s="109"/>
      <c r="C21" s="115"/>
      <c r="D21" s="114" t="s">
        <v>65</v>
      </c>
      <c r="E21" s="112" t="s">
        <v>66</v>
      </c>
      <c r="F21" s="8"/>
      <c r="I21" s="25"/>
      <c r="J21" s="24">
        <v>40</v>
      </c>
      <c r="K21" s="24">
        <v>15</v>
      </c>
      <c r="L21" s="24"/>
      <c r="M21" s="150"/>
      <c r="N21" s="151"/>
      <c r="O21" s="142"/>
      <c r="P21" s="59" t="s">
        <v>7</v>
      </c>
      <c r="Q21" s="59" t="s">
        <v>7</v>
      </c>
      <c r="S21" s="95"/>
    </row>
    <row r="22" spans="1:23" x14ac:dyDescent="0.4">
      <c r="A22" s="32">
        <v>44245</v>
      </c>
      <c r="B22" s="109"/>
      <c r="C22" s="120"/>
      <c r="D22" s="110"/>
      <c r="E22" s="111"/>
      <c r="F22" s="8"/>
      <c r="J22" s="96"/>
      <c r="K22" s="97"/>
      <c r="L22" s="97"/>
      <c r="M22" s="140"/>
      <c r="N22" s="141"/>
      <c r="O22" s="142"/>
      <c r="P22" s="96"/>
      <c r="Q22" s="97"/>
      <c r="R22" s="143"/>
      <c r="S22" s="95"/>
    </row>
    <row r="23" spans="1:23" x14ac:dyDescent="0.4">
      <c r="A23" s="32">
        <v>44246</v>
      </c>
      <c r="B23" s="1401" t="s">
        <v>52</v>
      </c>
      <c r="C23" s="1402"/>
      <c r="D23" s="1402"/>
      <c r="E23" s="1402"/>
      <c r="F23" s="137" t="s">
        <v>62</v>
      </c>
      <c r="L23" s="25">
        <v>375</v>
      </c>
      <c r="N23" s="132"/>
      <c r="O23" s="133"/>
      <c r="P23" s="133"/>
      <c r="Q23" s="134"/>
      <c r="R23" s="135"/>
      <c r="S23" s="95"/>
    </row>
    <row r="24" spans="1:23" x14ac:dyDescent="0.4">
      <c r="A24" s="32">
        <v>44247</v>
      </c>
      <c r="B24" s="121"/>
      <c r="C24" s="122"/>
      <c r="D24" s="110"/>
      <c r="E24" s="111"/>
      <c r="F24" s="8"/>
      <c r="N24" s="24"/>
      <c r="O24" s="74"/>
      <c r="Q24" s="25"/>
      <c r="R24" s="103"/>
      <c r="S24" s="95"/>
      <c r="V24" s="20"/>
      <c r="W24" s="20"/>
    </row>
    <row r="25" spans="1:23" x14ac:dyDescent="0.4">
      <c r="A25" s="32">
        <v>44248</v>
      </c>
      <c r="B25" s="109"/>
      <c r="C25" s="123"/>
      <c r="D25" s="110"/>
      <c r="E25" s="111" t="s">
        <v>64</v>
      </c>
      <c r="F25" s="8"/>
      <c r="K25" s="25">
        <v>180</v>
      </c>
      <c r="O25" s="96"/>
      <c r="Q25" s="126" t="s">
        <v>8</v>
      </c>
      <c r="R25" s="103"/>
      <c r="S25" s="95"/>
    </row>
    <row r="26" spans="1:23" x14ac:dyDescent="0.4">
      <c r="A26" s="32">
        <v>44249</v>
      </c>
      <c r="B26" s="109"/>
      <c r="C26" s="114"/>
      <c r="D26" s="110"/>
      <c r="E26" s="124"/>
      <c r="F26" s="22"/>
      <c r="Q26" s="25"/>
      <c r="R26" s="103"/>
      <c r="S26" s="95"/>
    </row>
    <row r="27" spans="1:23" x14ac:dyDescent="0.4">
      <c r="A27" s="32">
        <v>44250</v>
      </c>
      <c r="B27" s="109"/>
      <c r="C27" s="110"/>
      <c r="D27" s="110"/>
      <c r="E27" s="125"/>
      <c r="F27" s="93"/>
      <c r="Q27" s="47"/>
      <c r="R27" s="104"/>
      <c r="S27" s="95"/>
    </row>
    <row r="28" spans="1:23" x14ac:dyDescent="0.4">
      <c r="A28" s="32">
        <v>44251</v>
      </c>
      <c r="B28" s="109"/>
      <c r="C28" s="110"/>
      <c r="D28" s="114"/>
      <c r="E28" s="111"/>
      <c r="F28" s="22"/>
      <c r="P28" s="24"/>
      <c r="Q28" s="25"/>
      <c r="R28" s="103"/>
      <c r="S28" s="95"/>
    </row>
    <row r="29" spans="1:23" x14ac:dyDescent="0.4">
      <c r="A29" s="32">
        <v>44252</v>
      </c>
      <c r="B29" s="113"/>
      <c r="C29" s="110"/>
      <c r="D29" s="110"/>
      <c r="E29" s="112"/>
      <c r="F29" s="22"/>
      <c r="N29" s="24"/>
      <c r="P29" s="25"/>
      <c r="Q29" s="25"/>
      <c r="R29" s="103"/>
      <c r="S29" s="95"/>
    </row>
    <row r="30" spans="1:23" x14ac:dyDescent="0.4">
      <c r="A30" s="32">
        <v>44253</v>
      </c>
      <c r="B30" s="109"/>
      <c r="C30" s="110"/>
      <c r="D30" s="110"/>
      <c r="E30" s="111"/>
      <c r="F30" s="8"/>
      <c r="O30" s="24"/>
      <c r="Q30" s="25"/>
      <c r="R30" s="105"/>
      <c r="S30" s="95"/>
    </row>
    <row r="31" spans="1:23" x14ac:dyDescent="0.4">
      <c r="A31" s="32">
        <v>44254</v>
      </c>
      <c r="B31" s="109"/>
      <c r="C31" s="110"/>
      <c r="D31" s="110"/>
      <c r="E31" s="111"/>
      <c r="F31" s="8"/>
      <c r="Q31" s="25"/>
      <c r="R31" s="29"/>
      <c r="S31" s="75"/>
    </row>
    <row r="32" spans="1:23" x14ac:dyDescent="0.4">
      <c r="A32" s="32">
        <v>44255</v>
      </c>
      <c r="B32" s="109"/>
      <c r="C32" s="110"/>
      <c r="D32" s="110"/>
      <c r="E32" s="111"/>
      <c r="F32" s="8"/>
      <c r="Q32" s="25"/>
      <c r="S32" s="75"/>
    </row>
    <row r="33" spans="1:19" x14ac:dyDescent="0.4">
      <c r="A33" s="32"/>
      <c r="B33" s="22"/>
      <c r="F33" s="8"/>
      <c r="G33" s="45"/>
      <c r="N33" s="47"/>
      <c r="Q33" s="25"/>
      <c r="R33" s="47"/>
      <c r="S33" s="75"/>
    </row>
    <row r="34" spans="1:19" x14ac:dyDescent="0.4">
      <c r="A34" s="32"/>
      <c r="F34" s="8"/>
      <c r="Q34" s="25"/>
      <c r="R34" s="26"/>
      <c r="S34" s="75"/>
    </row>
    <row r="35" spans="1:19" x14ac:dyDescent="0.4">
      <c r="A35" s="32"/>
      <c r="F35" s="8"/>
      <c r="Q35" s="25"/>
      <c r="S35" s="75"/>
    </row>
    <row r="36" spans="1:19" x14ac:dyDescent="0.4">
      <c r="A36" s="32"/>
      <c r="F36" s="8"/>
      <c r="G36" s="45"/>
      <c r="Q36" s="25"/>
      <c r="R36" s="47"/>
      <c r="S36" s="75"/>
    </row>
    <row r="37" spans="1:19" ht="15" thickBot="1" x14ac:dyDescent="0.45">
      <c r="A37" s="34" t="s">
        <v>20</v>
      </c>
      <c r="B37" s="35"/>
      <c r="C37" s="36"/>
      <c r="D37" s="36"/>
      <c r="E37" s="38"/>
      <c r="F37" s="46"/>
      <c r="G37" s="46"/>
      <c r="H37" s="35">
        <f t="shared" ref="H37:M37" si="0">SUM(H3:H36)</f>
        <v>57</v>
      </c>
      <c r="I37" s="36">
        <f t="shared" si="0"/>
        <v>170</v>
      </c>
      <c r="J37" s="36">
        <f t="shared" si="0"/>
        <v>1065</v>
      </c>
      <c r="K37" s="37">
        <f t="shared" si="0"/>
        <v>355</v>
      </c>
      <c r="L37" s="37">
        <f>SUM(L3:L36)</f>
        <v>3945</v>
      </c>
      <c r="M37" s="38">
        <f t="shared" si="0"/>
        <v>41</v>
      </c>
      <c r="N37" s="35"/>
      <c r="O37" s="36"/>
      <c r="P37" s="36"/>
      <c r="Q37" s="37"/>
      <c r="R37" s="67"/>
      <c r="S37" s="76"/>
    </row>
    <row r="38" spans="1:19" ht="15" thickBot="1" x14ac:dyDescent="0.45">
      <c r="A38" s="34" t="s">
        <v>21</v>
      </c>
      <c r="B38" s="24"/>
      <c r="C38" s="24"/>
      <c r="D38" s="24"/>
      <c r="E38" s="24"/>
      <c r="F38" s="24"/>
      <c r="G38" s="24"/>
      <c r="H38" s="39">
        <f t="shared" ref="H38:M38" si="1">H37/60</f>
        <v>0.95</v>
      </c>
      <c r="I38" s="39">
        <f t="shared" si="1"/>
        <v>2.8333333333333335</v>
      </c>
      <c r="J38" s="39">
        <f t="shared" si="1"/>
        <v>17.75</v>
      </c>
      <c r="K38" s="39">
        <f t="shared" si="1"/>
        <v>5.916666666666667</v>
      </c>
      <c r="L38" s="39">
        <f t="shared" si="1"/>
        <v>65.75</v>
      </c>
      <c r="M38" s="39">
        <f t="shared" si="1"/>
        <v>0.68333333333333335</v>
      </c>
      <c r="N38" s="24"/>
      <c r="O38" s="24"/>
      <c r="P38" s="24"/>
      <c r="Q38" s="24"/>
    </row>
    <row r="39" spans="1:19" x14ac:dyDescent="0.4">
      <c r="A39" s="24" t="s">
        <v>41</v>
      </c>
      <c r="B39" s="24"/>
      <c r="C39" s="24"/>
      <c r="D39" s="24"/>
      <c r="E39" s="24"/>
      <c r="F39" s="24"/>
      <c r="G39" s="24"/>
      <c r="H39" s="72">
        <f>(H4+H14+H15+H33)/24</f>
        <v>0</v>
      </c>
      <c r="I39" s="72">
        <f>(I9+I15+I23+I24)/24</f>
        <v>0</v>
      </c>
      <c r="J39" s="72">
        <f>(J5+J6+J7+J11+J23)/24</f>
        <v>21.666666666666668</v>
      </c>
      <c r="K39" s="72">
        <f>(K8+K9+K12+K27)/24</f>
        <v>0</v>
      </c>
      <c r="L39" s="24"/>
      <c r="M39" s="72">
        <f>(M13+M33+M36)/24</f>
        <v>0</v>
      </c>
      <c r="N39" s="24"/>
      <c r="O39" s="24"/>
      <c r="P39" s="24"/>
      <c r="Q39" s="24"/>
    </row>
    <row r="40" spans="1:19" x14ac:dyDescent="0.4">
      <c r="A40" s="24" t="s">
        <v>42</v>
      </c>
      <c r="B40" s="24"/>
      <c r="C40" s="24"/>
      <c r="D40" s="24"/>
      <c r="E40" s="24"/>
      <c r="F40" s="24"/>
      <c r="G40" s="24"/>
      <c r="H40" s="72">
        <f>(H5+H8+H18+H24+H29)/24</f>
        <v>1.4583333333333333</v>
      </c>
      <c r="I40" s="72">
        <f>(I4+I5+I30)/24</f>
        <v>0</v>
      </c>
      <c r="J40" s="24">
        <f>(J20+J29)/24</f>
        <v>3.125</v>
      </c>
      <c r="K40" s="24">
        <f>(K10+K29)/24</f>
        <v>0</v>
      </c>
      <c r="L40" s="72">
        <f>L16/24</f>
        <v>0</v>
      </c>
      <c r="M40" s="24"/>
      <c r="N40" s="24"/>
      <c r="O40" s="24"/>
      <c r="P40" s="24"/>
      <c r="Q40" s="24"/>
    </row>
    <row r="41" spans="1:19" x14ac:dyDescent="0.4">
      <c r="A41" s="24" t="s">
        <v>43</v>
      </c>
      <c r="B41" s="24"/>
      <c r="C41" s="24"/>
      <c r="D41" s="24"/>
      <c r="E41" s="24"/>
      <c r="F41" s="24"/>
      <c r="G41" s="24"/>
      <c r="H41" s="72">
        <f>H17/24</f>
        <v>0</v>
      </c>
      <c r="I41" s="72">
        <f>(I11)/24</f>
        <v>0</v>
      </c>
      <c r="J41" s="72">
        <f>(J28+J23)/24</f>
        <v>0</v>
      </c>
      <c r="K41" s="24">
        <v>0</v>
      </c>
      <c r="L41" s="24"/>
      <c r="M41" s="24"/>
      <c r="N41" s="24"/>
      <c r="O41" s="24"/>
      <c r="P41" s="24"/>
      <c r="Q41" s="24"/>
    </row>
    <row r="42" spans="1:19" x14ac:dyDescent="0.4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4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4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4">
      <c r="A46"/>
      <c r="B46"/>
      <c r="C46"/>
      <c r="D46"/>
      <c r="E46" s="129"/>
      <c r="F46" s="129"/>
      <c r="G46" s="20"/>
      <c r="H46" s="20"/>
      <c r="I46"/>
      <c r="J46"/>
      <c r="K46"/>
      <c r="L46"/>
      <c r="M46"/>
      <c r="N46"/>
      <c r="O46"/>
      <c r="P46"/>
      <c r="Q46"/>
      <c r="R46"/>
      <c r="S46"/>
    </row>
    <row r="47" spans="1:19" x14ac:dyDescent="0.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4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5:7" customFormat="1" x14ac:dyDescent="0.4">
      <c r="E49" s="20"/>
      <c r="F49" s="20"/>
      <c r="G49" s="20"/>
    </row>
    <row r="50" spans="5:7" customFormat="1" x14ac:dyDescent="0.4"/>
    <row r="51" spans="5:7" customFormat="1" x14ac:dyDescent="0.4"/>
    <row r="52" spans="5:7" customFormat="1" x14ac:dyDescent="0.4"/>
    <row r="53" spans="5:7" customFormat="1" x14ac:dyDescent="0.4"/>
    <row r="54" spans="5:7" customFormat="1" x14ac:dyDescent="0.4"/>
    <row r="55" spans="5:7" customFormat="1" x14ac:dyDescent="0.4"/>
    <row r="56" spans="5:7" customFormat="1" x14ac:dyDescent="0.4"/>
    <row r="57" spans="5:7" customFormat="1" x14ac:dyDescent="0.4"/>
    <row r="58" spans="5:7" customFormat="1" x14ac:dyDescent="0.4"/>
    <row r="59" spans="5:7" customFormat="1" x14ac:dyDescent="0.4"/>
    <row r="60" spans="5:7" customFormat="1" x14ac:dyDescent="0.4"/>
    <row r="61" spans="5:7" customFormat="1" x14ac:dyDescent="0.4"/>
    <row r="62" spans="5:7" customFormat="1" x14ac:dyDescent="0.4"/>
    <row r="63" spans="5:7" customFormat="1" x14ac:dyDescent="0.4"/>
    <row r="64" spans="5:7" customFormat="1" x14ac:dyDescent="0.4"/>
    <row r="65" customFormat="1" x14ac:dyDescent="0.4"/>
    <row r="66" customFormat="1" x14ac:dyDescent="0.4"/>
    <row r="67" customFormat="1" x14ac:dyDescent="0.4"/>
    <row r="68" customFormat="1" x14ac:dyDescent="0.4"/>
    <row r="69" customFormat="1" x14ac:dyDescent="0.4"/>
    <row r="70" customFormat="1" x14ac:dyDescent="0.4"/>
    <row r="71" customFormat="1" x14ac:dyDescent="0.4"/>
    <row r="72" customFormat="1" x14ac:dyDescent="0.4"/>
    <row r="73" customFormat="1" x14ac:dyDescent="0.4"/>
    <row r="74" customFormat="1" x14ac:dyDescent="0.4"/>
    <row r="75" customFormat="1" x14ac:dyDescent="0.4"/>
    <row r="76" customFormat="1" x14ac:dyDescent="0.4"/>
    <row r="77" customFormat="1" x14ac:dyDescent="0.4"/>
    <row r="78" customFormat="1" x14ac:dyDescent="0.4"/>
    <row r="79" customFormat="1" x14ac:dyDescent="0.4"/>
    <row r="80" customFormat="1" x14ac:dyDescent="0.4"/>
    <row r="81" customFormat="1" x14ac:dyDescent="0.4"/>
    <row r="82" customFormat="1" x14ac:dyDescent="0.4"/>
    <row r="83" customFormat="1" x14ac:dyDescent="0.4"/>
    <row r="84" customFormat="1" x14ac:dyDescent="0.4"/>
    <row r="85" customFormat="1" x14ac:dyDescent="0.4"/>
    <row r="86" customFormat="1" x14ac:dyDescent="0.4"/>
    <row r="87" customFormat="1" x14ac:dyDescent="0.4"/>
    <row r="88" customFormat="1" x14ac:dyDescent="0.4"/>
    <row r="89" customFormat="1" x14ac:dyDescent="0.4"/>
    <row r="90" customFormat="1" x14ac:dyDescent="0.4"/>
    <row r="91" customFormat="1" x14ac:dyDescent="0.4"/>
    <row r="92" customFormat="1" x14ac:dyDescent="0.4"/>
    <row r="93" customFormat="1" x14ac:dyDescent="0.4"/>
    <row r="94" customFormat="1" x14ac:dyDescent="0.4"/>
    <row r="95" customFormat="1" x14ac:dyDescent="0.4"/>
    <row r="96" customFormat="1" x14ac:dyDescent="0.4"/>
    <row r="97" customFormat="1" x14ac:dyDescent="0.4"/>
    <row r="98" customFormat="1" x14ac:dyDescent="0.4"/>
    <row r="99" customFormat="1" x14ac:dyDescent="0.4"/>
    <row r="100" customFormat="1" x14ac:dyDescent="0.4"/>
    <row r="101" customFormat="1" x14ac:dyDescent="0.4"/>
    <row r="102" customFormat="1" x14ac:dyDescent="0.4"/>
    <row r="103" customFormat="1" x14ac:dyDescent="0.4"/>
    <row r="104" customFormat="1" x14ac:dyDescent="0.4"/>
    <row r="105" customFormat="1" x14ac:dyDescent="0.4"/>
    <row r="106" customFormat="1" x14ac:dyDescent="0.4"/>
    <row r="107" customFormat="1" x14ac:dyDescent="0.4"/>
    <row r="108" customFormat="1" x14ac:dyDescent="0.4"/>
    <row r="109" customFormat="1" x14ac:dyDescent="0.4"/>
    <row r="110" customFormat="1" x14ac:dyDescent="0.4"/>
    <row r="111" customFormat="1" x14ac:dyDescent="0.4"/>
    <row r="112" customFormat="1" x14ac:dyDescent="0.4"/>
    <row r="113" customFormat="1" x14ac:dyDescent="0.4"/>
    <row r="114" customFormat="1" x14ac:dyDescent="0.4"/>
    <row r="115" customFormat="1" x14ac:dyDescent="0.4"/>
    <row r="116" customFormat="1" x14ac:dyDescent="0.4"/>
    <row r="117" customFormat="1" x14ac:dyDescent="0.4"/>
    <row r="118" customFormat="1" x14ac:dyDescent="0.4"/>
    <row r="119" customFormat="1" x14ac:dyDescent="0.4"/>
    <row r="120" customFormat="1" x14ac:dyDescent="0.4"/>
    <row r="121" customFormat="1" x14ac:dyDescent="0.4"/>
    <row r="122" customFormat="1" x14ac:dyDescent="0.4"/>
    <row r="123" customFormat="1" x14ac:dyDescent="0.4"/>
    <row r="124" customFormat="1" x14ac:dyDescent="0.4"/>
    <row r="125" customFormat="1" x14ac:dyDescent="0.4"/>
    <row r="126" customFormat="1" x14ac:dyDescent="0.4"/>
    <row r="127" customFormat="1" x14ac:dyDescent="0.4"/>
    <row r="128" customFormat="1" x14ac:dyDescent="0.4"/>
    <row r="129" customFormat="1" x14ac:dyDescent="0.4"/>
    <row r="130" customFormat="1" x14ac:dyDescent="0.4"/>
    <row r="131" customFormat="1" x14ac:dyDescent="0.4"/>
    <row r="132" customFormat="1" x14ac:dyDescent="0.4"/>
    <row r="133" customFormat="1" x14ac:dyDescent="0.4"/>
    <row r="134" customFormat="1" x14ac:dyDescent="0.4"/>
    <row r="135" customFormat="1" x14ac:dyDescent="0.4"/>
    <row r="136" customFormat="1" x14ac:dyDescent="0.4"/>
    <row r="137" customFormat="1" x14ac:dyDescent="0.4"/>
    <row r="138" customFormat="1" x14ac:dyDescent="0.4"/>
    <row r="139" customFormat="1" x14ac:dyDescent="0.4"/>
    <row r="140" customFormat="1" x14ac:dyDescent="0.4"/>
    <row r="141" customFormat="1" x14ac:dyDescent="0.4"/>
    <row r="142" customFormat="1" x14ac:dyDescent="0.4"/>
    <row r="143" customFormat="1" x14ac:dyDescent="0.4"/>
    <row r="144" customFormat="1" x14ac:dyDescent="0.4"/>
    <row r="145" customFormat="1" x14ac:dyDescent="0.4"/>
    <row r="146" customFormat="1" x14ac:dyDescent="0.4"/>
    <row r="147" customFormat="1" x14ac:dyDescent="0.4"/>
    <row r="148" customFormat="1" x14ac:dyDescent="0.4"/>
    <row r="149" customFormat="1" x14ac:dyDescent="0.4"/>
    <row r="150" customFormat="1" x14ac:dyDescent="0.4"/>
    <row r="151" customFormat="1" x14ac:dyDescent="0.4"/>
    <row r="152" customFormat="1" x14ac:dyDescent="0.4"/>
    <row r="153" customFormat="1" x14ac:dyDescent="0.4"/>
    <row r="154" customFormat="1" x14ac:dyDescent="0.4"/>
    <row r="155" customFormat="1" x14ac:dyDescent="0.4"/>
    <row r="156" customFormat="1" x14ac:dyDescent="0.4"/>
    <row r="157" customFormat="1" x14ac:dyDescent="0.4"/>
    <row r="158" customFormat="1" x14ac:dyDescent="0.4"/>
    <row r="159" customFormat="1" x14ac:dyDescent="0.4"/>
    <row r="160" customFormat="1" x14ac:dyDescent="0.4"/>
    <row r="161" customFormat="1" x14ac:dyDescent="0.4"/>
    <row r="162" customFormat="1" x14ac:dyDescent="0.4"/>
    <row r="163" customFormat="1" x14ac:dyDescent="0.4"/>
    <row r="164" customFormat="1" x14ac:dyDescent="0.4"/>
    <row r="165" customFormat="1" x14ac:dyDescent="0.4"/>
    <row r="166" customFormat="1" x14ac:dyDescent="0.4"/>
    <row r="167" customFormat="1" x14ac:dyDescent="0.4"/>
    <row r="168" customFormat="1" x14ac:dyDescent="0.4"/>
    <row r="169" customFormat="1" x14ac:dyDescent="0.4"/>
    <row r="170" customFormat="1" x14ac:dyDescent="0.4"/>
    <row r="171" customFormat="1" x14ac:dyDescent="0.4"/>
    <row r="172" customFormat="1" x14ac:dyDescent="0.4"/>
    <row r="173" customFormat="1" x14ac:dyDescent="0.4"/>
    <row r="174" customFormat="1" x14ac:dyDescent="0.4"/>
    <row r="175" customFormat="1" x14ac:dyDescent="0.4"/>
    <row r="176" customFormat="1" x14ac:dyDescent="0.4"/>
    <row r="177" customFormat="1" x14ac:dyDescent="0.4"/>
    <row r="178" customFormat="1" x14ac:dyDescent="0.4"/>
    <row r="179" customFormat="1" x14ac:dyDescent="0.4"/>
    <row r="180" customFormat="1" x14ac:dyDescent="0.4"/>
    <row r="181" customFormat="1" x14ac:dyDescent="0.4"/>
    <row r="182" customFormat="1" x14ac:dyDescent="0.4"/>
    <row r="183" customFormat="1" x14ac:dyDescent="0.4"/>
    <row r="184" customFormat="1" x14ac:dyDescent="0.4"/>
    <row r="185" customFormat="1" x14ac:dyDescent="0.4"/>
    <row r="186" customFormat="1" x14ac:dyDescent="0.4"/>
    <row r="187" customFormat="1" x14ac:dyDescent="0.4"/>
    <row r="188" customFormat="1" x14ac:dyDescent="0.4"/>
    <row r="189" customFormat="1" x14ac:dyDescent="0.4"/>
    <row r="190" customFormat="1" x14ac:dyDescent="0.4"/>
    <row r="191" customFormat="1" x14ac:dyDescent="0.4"/>
    <row r="192" customFormat="1" x14ac:dyDescent="0.4"/>
    <row r="193" customFormat="1" x14ac:dyDescent="0.4"/>
    <row r="194" customFormat="1" x14ac:dyDescent="0.4"/>
    <row r="195" customFormat="1" x14ac:dyDescent="0.4"/>
    <row r="196" customFormat="1" x14ac:dyDescent="0.4"/>
    <row r="197" customFormat="1" x14ac:dyDescent="0.4"/>
    <row r="198" customFormat="1" x14ac:dyDescent="0.4"/>
    <row r="199" customFormat="1" x14ac:dyDescent="0.4"/>
    <row r="200" customFormat="1" x14ac:dyDescent="0.4"/>
    <row r="201" customFormat="1" x14ac:dyDescent="0.4"/>
    <row r="202" customFormat="1" x14ac:dyDescent="0.4"/>
    <row r="203" customFormat="1" x14ac:dyDescent="0.4"/>
    <row r="204" customFormat="1" x14ac:dyDescent="0.4"/>
    <row r="205" customFormat="1" x14ac:dyDescent="0.4"/>
    <row r="206" customFormat="1" x14ac:dyDescent="0.4"/>
    <row r="207" customFormat="1" x14ac:dyDescent="0.4"/>
    <row r="208" customFormat="1" x14ac:dyDescent="0.4"/>
    <row r="209" customFormat="1" x14ac:dyDescent="0.4"/>
    <row r="210" customFormat="1" x14ac:dyDescent="0.4"/>
    <row r="211" customFormat="1" x14ac:dyDescent="0.4"/>
    <row r="212" customFormat="1" x14ac:dyDescent="0.4"/>
    <row r="213" customFormat="1" x14ac:dyDescent="0.4"/>
    <row r="214" customFormat="1" x14ac:dyDescent="0.4"/>
    <row r="215" customFormat="1" x14ac:dyDescent="0.4"/>
    <row r="216" customFormat="1" x14ac:dyDescent="0.4"/>
    <row r="217" customFormat="1" x14ac:dyDescent="0.4"/>
    <row r="218" customFormat="1" x14ac:dyDescent="0.4"/>
    <row r="219" customFormat="1" x14ac:dyDescent="0.4"/>
    <row r="220" customFormat="1" x14ac:dyDescent="0.4"/>
    <row r="221" customFormat="1" x14ac:dyDescent="0.4"/>
    <row r="222" customFormat="1" x14ac:dyDescent="0.4"/>
    <row r="223" customFormat="1" x14ac:dyDescent="0.4"/>
    <row r="224" customFormat="1" x14ac:dyDescent="0.4"/>
    <row r="225" customFormat="1" x14ac:dyDescent="0.4"/>
    <row r="226" customFormat="1" x14ac:dyDescent="0.4"/>
    <row r="227" customFormat="1" x14ac:dyDescent="0.4"/>
    <row r="228" customFormat="1" x14ac:dyDescent="0.4"/>
    <row r="229" customFormat="1" x14ac:dyDescent="0.4"/>
    <row r="230" customFormat="1" x14ac:dyDescent="0.4"/>
    <row r="231" customFormat="1" x14ac:dyDescent="0.4"/>
    <row r="232" customFormat="1" x14ac:dyDescent="0.4"/>
    <row r="233" customFormat="1" x14ac:dyDescent="0.4"/>
    <row r="234" customFormat="1" x14ac:dyDescent="0.4"/>
    <row r="235" customFormat="1" x14ac:dyDescent="0.4"/>
    <row r="236" customFormat="1" x14ac:dyDescent="0.4"/>
    <row r="237" customFormat="1" x14ac:dyDescent="0.4"/>
    <row r="238" customFormat="1" x14ac:dyDescent="0.4"/>
    <row r="239" customFormat="1" x14ac:dyDescent="0.4"/>
    <row r="240" customFormat="1" x14ac:dyDescent="0.4"/>
    <row r="241" customFormat="1" x14ac:dyDescent="0.4"/>
    <row r="242" customFormat="1" x14ac:dyDescent="0.4"/>
    <row r="243" customFormat="1" x14ac:dyDescent="0.4"/>
    <row r="244" customFormat="1" x14ac:dyDescent="0.4"/>
    <row r="245" customFormat="1" x14ac:dyDescent="0.4"/>
    <row r="246" customFormat="1" x14ac:dyDescent="0.4"/>
    <row r="247" customFormat="1" x14ac:dyDescent="0.4"/>
    <row r="248" customFormat="1" x14ac:dyDescent="0.4"/>
    <row r="249" customFormat="1" x14ac:dyDescent="0.4"/>
    <row r="250" customFormat="1" x14ac:dyDescent="0.4"/>
    <row r="251" customFormat="1" x14ac:dyDescent="0.4"/>
    <row r="252" customFormat="1" x14ac:dyDescent="0.4"/>
    <row r="253" customFormat="1" x14ac:dyDescent="0.4"/>
    <row r="254" customFormat="1" x14ac:dyDescent="0.4"/>
    <row r="255" customFormat="1" x14ac:dyDescent="0.4"/>
    <row r="256" customFormat="1" x14ac:dyDescent="0.4"/>
    <row r="257" customFormat="1" x14ac:dyDescent="0.4"/>
    <row r="258" customFormat="1" x14ac:dyDescent="0.4"/>
    <row r="259" customFormat="1" x14ac:dyDescent="0.4"/>
    <row r="260" customFormat="1" x14ac:dyDescent="0.4"/>
    <row r="261" customFormat="1" x14ac:dyDescent="0.4"/>
    <row r="262" customFormat="1" x14ac:dyDescent="0.4"/>
    <row r="263" customFormat="1" x14ac:dyDescent="0.4"/>
    <row r="264" customFormat="1" x14ac:dyDescent="0.4"/>
    <row r="265" customFormat="1" x14ac:dyDescent="0.4"/>
    <row r="266" customFormat="1" x14ac:dyDescent="0.4"/>
    <row r="267" customFormat="1" x14ac:dyDescent="0.4"/>
    <row r="268" customFormat="1" x14ac:dyDescent="0.4"/>
    <row r="269" customFormat="1" x14ac:dyDescent="0.4"/>
    <row r="270" customFormat="1" x14ac:dyDescent="0.4"/>
    <row r="271" customFormat="1" x14ac:dyDescent="0.4"/>
    <row r="272" customFormat="1" x14ac:dyDescent="0.4"/>
    <row r="273" customFormat="1" x14ac:dyDescent="0.4"/>
    <row r="274" customFormat="1" x14ac:dyDescent="0.4"/>
    <row r="275" customFormat="1" x14ac:dyDescent="0.4"/>
    <row r="276" customFormat="1" x14ac:dyDescent="0.4"/>
    <row r="277" customFormat="1" x14ac:dyDescent="0.4"/>
    <row r="278" customFormat="1" x14ac:dyDescent="0.4"/>
    <row r="279" customFormat="1" x14ac:dyDescent="0.4"/>
    <row r="280" customFormat="1" x14ac:dyDescent="0.4"/>
    <row r="281" customFormat="1" x14ac:dyDescent="0.4"/>
  </sheetData>
  <mergeCells count="10">
    <mergeCell ref="A20:A21"/>
    <mergeCell ref="B23:E23"/>
    <mergeCell ref="B12:E12"/>
    <mergeCell ref="B7:E7"/>
    <mergeCell ref="B1:E1"/>
    <mergeCell ref="H1:M1"/>
    <mergeCell ref="N1:Q1"/>
    <mergeCell ref="B9:E9"/>
    <mergeCell ref="B10:E10"/>
    <mergeCell ref="B11:E11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86"/>
  <sheetViews>
    <sheetView topLeftCell="C31" workbookViewId="0">
      <selection activeCell="D62" sqref="D62"/>
    </sheetView>
  </sheetViews>
  <sheetFormatPr defaultRowHeight="14.6" x14ac:dyDescent="0.4"/>
  <cols>
    <col min="1" max="1" width="20.15234375" style="4" customWidth="1"/>
    <col min="2" max="2" width="28" style="8" customWidth="1"/>
    <col min="3" max="3" width="30.3046875" style="9" customWidth="1"/>
    <col min="4" max="4" width="22.3828125" style="9" customWidth="1"/>
    <col min="5" max="5" width="22.3828125" style="10" customWidth="1"/>
    <col min="6" max="6" width="19" style="43" customWidth="1"/>
    <col min="7" max="7" width="17.15234375" style="43" customWidth="1"/>
    <col min="8" max="8" width="11.53515625" style="8" bestFit="1" customWidth="1"/>
    <col min="9" max="9" width="16.69140625" style="9" customWidth="1"/>
    <col min="10" max="10" width="10.53515625" style="9" bestFit="1" customWidth="1"/>
    <col min="11" max="12" width="9.84375" style="25" customWidth="1"/>
    <col min="13" max="13" width="10.15234375" style="10" bestFit="1" customWidth="1"/>
    <col min="14" max="14" width="9.84375" style="8" bestFit="1" customWidth="1"/>
    <col min="15" max="15" width="10.15234375" style="9" bestFit="1" customWidth="1"/>
    <col min="16" max="16" width="9.84375" style="9" bestFit="1" customWidth="1"/>
    <col min="17" max="17" width="10.15234375" style="10" bestFit="1" customWidth="1"/>
    <col min="18" max="19" width="10.15234375" style="24" customWidth="1"/>
  </cols>
  <sheetData>
    <row r="1" spans="1:22" ht="15.45" thickTop="1" thickBot="1" x14ac:dyDescent="0.45">
      <c r="A1" s="77"/>
      <c r="B1" s="1394" t="s">
        <v>3</v>
      </c>
      <c r="C1" s="1395"/>
      <c r="D1" s="1395"/>
      <c r="E1" s="1397"/>
      <c r="F1" s="61"/>
      <c r="G1" s="61"/>
      <c r="H1" s="1394" t="s">
        <v>6</v>
      </c>
      <c r="I1" s="1395"/>
      <c r="J1" s="1395"/>
      <c r="K1" s="1396"/>
      <c r="L1" s="1396"/>
      <c r="M1" s="1397"/>
      <c r="N1" s="1398" t="s">
        <v>13</v>
      </c>
      <c r="O1" s="1399"/>
      <c r="P1" s="1399"/>
      <c r="Q1" s="1400"/>
      <c r="R1" s="61"/>
      <c r="S1" s="78"/>
    </row>
    <row r="2" spans="1:22" ht="15.45" thickTop="1" thickBot="1" x14ac:dyDescent="0.45">
      <c r="A2" s="81" t="s">
        <v>0</v>
      </c>
      <c r="B2" s="82" t="s">
        <v>1</v>
      </c>
      <c r="C2" s="83" t="s">
        <v>4</v>
      </c>
      <c r="D2" s="83" t="s">
        <v>2</v>
      </c>
      <c r="E2" s="84" t="s">
        <v>5</v>
      </c>
      <c r="F2" s="85" t="s">
        <v>26</v>
      </c>
      <c r="G2" s="85" t="s">
        <v>19</v>
      </c>
      <c r="H2" s="86" t="s">
        <v>1</v>
      </c>
      <c r="I2" s="87" t="s">
        <v>4</v>
      </c>
      <c r="J2" s="87" t="s">
        <v>2</v>
      </c>
      <c r="K2" s="87" t="s">
        <v>5</v>
      </c>
      <c r="L2" s="88" t="s">
        <v>26</v>
      </c>
      <c r="M2" s="89" t="s">
        <v>19</v>
      </c>
      <c r="N2" s="82" t="s">
        <v>1</v>
      </c>
      <c r="O2" s="83" t="s">
        <v>4</v>
      </c>
      <c r="P2" s="83" t="s">
        <v>2</v>
      </c>
      <c r="Q2" s="90" t="s">
        <v>5</v>
      </c>
      <c r="R2" s="101" t="s">
        <v>19</v>
      </c>
      <c r="S2" s="91" t="s">
        <v>26</v>
      </c>
    </row>
    <row r="3" spans="1:22" ht="15" customHeight="1" thickTop="1" x14ac:dyDescent="0.4">
      <c r="A3" s="79" t="s">
        <v>68</v>
      </c>
      <c r="B3" s="106"/>
      <c r="C3" s="107"/>
      <c r="D3" s="107" t="s">
        <v>28</v>
      </c>
      <c r="E3" s="108"/>
      <c r="F3" s="92"/>
      <c r="G3" s="48"/>
      <c r="H3" s="27"/>
      <c r="I3" s="28"/>
      <c r="J3" s="28">
        <v>90</v>
      </c>
      <c r="K3" s="28"/>
      <c r="L3" s="94"/>
      <c r="M3" s="29"/>
      <c r="N3" s="154"/>
      <c r="O3" s="28"/>
      <c r="P3" s="1" t="s">
        <v>7</v>
      </c>
      <c r="Q3" s="80"/>
      <c r="R3" s="102"/>
      <c r="S3" s="98"/>
      <c r="U3" s="2" t="s">
        <v>8</v>
      </c>
      <c r="V3" t="s">
        <v>10</v>
      </c>
    </row>
    <row r="4" spans="1:22" ht="15" customHeight="1" x14ac:dyDescent="0.4">
      <c r="A4" s="79">
        <v>44257</v>
      </c>
      <c r="B4" s="106" t="s">
        <v>69</v>
      </c>
      <c r="C4" s="110"/>
      <c r="D4" s="110"/>
      <c r="E4" s="111"/>
      <c r="F4" s="8"/>
      <c r="H4" s="8">
        <v>144</v>
      </c>
      <c r="K4" s="9"/>
      <c r="L4" s="9"/>
      <c r="M4" s="26"/>
      <c r="N4" s="2" t="s">
        <v>8</v>
      </c>
      <c r="O4" s="6"/>
      <c r="P4" s="6"/>
      <c r="Q4" s="6"/>
      <c r="R4" s="103"/>
      <c r="S4" s="95"/>
      <c r="U4" s="1" t="s">
        <v>7</v>
      </c>
      <c r="V4" t="s">
        <v>11</v>
      </c>
    </row>
    <row r="5" spans="1:22" ht="25.75" x14ac:dyDescent="0.4">
      <c r="A5" s="79">
        <v>44258</v>
      </c>
      <c r="B5" s="109"/>
      <c r="C5" s="110"/>
      <c r="D5" s="110"/>
      <c r="E5" s="112" t="s">
        <v>70</v>
      </c>
      <c r="F5" s="8"/>
      <c r="K5" s="9">
        <v>720</v>
      </c>
      <c r="L5" s="9"/>
      <c r="M5" s="26"/>
      <c r="N5" s="24"/>
      <c r="P5" s="24"/>
      <c r="Q5" s="157" t="s">
        <v>9</v>
      </c>
      <c r="R5" s="103"/>
      <c r="S5" s="95"/>
      <c r="U5" s="3" t="s">
        <v>9</v>
      </c>
      <c r="V5" t="s">
        <v>12</v>
      </c>
    </row>
    <row r="6" spans="1:22" ht="15" customHeight="1" x14ac:dyDescent="0.4">
      <c r="A6" s="79">
        <v>44259</v>
      </c>
      <c r="B6" s="109" t="s">
        <v>72</v>
      </c>
      <c r="C6" s="110" t="s">
        <v>72</v>
      </c>
      <c r="D6" s="110" t="s">
        <v>72</v>
      </c>
      <c r="E6" s="111" t="s">
        <v>73</v>
      </c>
      <c r="F6" s="8"/>
      <c r="K6" s="9">
        <v>720</v>
      </c>
      <c r="L6" s="9">
        <v>720</v>
      </c>
      <c r="M6" s="9"/>
      <c r="N6" s="158" t="s">
        <v>71</v>
      </c>
      <c r="O6" s="158" t="s">
        <v>71</v>
      </c>
      <c r="P6" s="158" t="s">
        <v>71</v>
      </c>
      <c r="Q6" s="158" t="s">
        <v>71</v>
      </c>
      <c r="R6" s="158" t="s">
        <v>71</v>
      </c>
      <c r="S6" s="95"/>
      <c r="U6" s="158" t="s">
        <v>71</v>
      </c>
      <c r="V6" s="131" t="s">
        <v>51</v>
      </c>
    </row>
    <row r="7" spans="1:22" ht="15" customHeight="1" x14ac:dyDescent="0.4">
      <c r="A7" s="79" t="s">
        <v>75</v>
      </c>
      <c r="B7" s="152" t="s">
        <v>72</v>
      </c>
      <c r="C7" s="110" t="s">
        <v>72</v>
      </c>
      <c r="D7" s="110" t="s">
        <v>72</v>
      </c>
      <c r="E7" s="153" t="s">
        <v>74</v>
      </c>
      <c r="F7" s="22"/>
      <c r="G7" s="44"/>
      <c r="K7" s="9"/>
      <c r="L7" s="9">
        <v>720</v>
      </c>
      <c r="M7" s="26"/>
      <c r="N7" s="158" t="s">
        <v>71</v>
      </c>
      <c r="O7" s="158" t="s">
        <v>71</v>
      </c>
      <c r="P7" s="158" t="s">
        <v>71</v>
      </c>
      <c r="Q7" s="158" t="s">
        <v>71</v>
      </c>
      <c r="R7" s="158" t="s">
        <v>71</v>
      </c>
      <c r="S7" s="99"/>
    </row>
    <row r="8" spans="1:22" ht="15" customHeight="1" x14ac:dyDescent="0.4">
      <c r="A8" s="79" t="s">
        <v>76</v>
      </c>
      <c r="B8" s="109"/>
      <c r="C8" s="110"/>
      <c r="D8" s="110" t="s">
        <v>78</v>
      </c>
      <c r="E8" s="112" t="s">
        <v>77</v>
      </c>
      <c r="F8" s="22"/>
      <c r="G8" s="44"/>
      <c r="J8" s="9">
        <v>15</v>
      </c>
      <c r="K8" s="9">
        <v>65</v>
      </c>
      <c r="L8" s="9"/>
      <c r="M8" s="26"/>
      <c r="O8" s="6"/>
      <c r="P8" s="2" t="s">
        <v>8</v>
      </c>
      <c r="Q8" s="2" t="s">
        <v>8</v>
      </c>
      <c r="R8" s="104"/>
      <c r="S8" s="99"/>
    </row>
    <row r="9" spans="1:22" ht="15" customHeight="1" x14ac:dyDescent="0.4">
      <c r="A9" s="79">
        <v>44261</v>
      </c>
      <c r="B9" s="136" t="s">
        <v>79</v>
      </c>
      <c r="C9" s="110"/>
      <c r="D9" s="110" t="s">
        <v>79</v>
      </c>
      <c r="E9" s="156"/>
      <c r="F9" s="128"/>
      <c r="H9" s="8">
        <v>25</v>
      </c>
      <c r="J9" s="9">
        <v>20</v>
      </c>
      <c r="K9" s="9"/>
      <c r="L9" s="9"/>
      <c r="M9" s="26"/>
      <c r="N9" s="157" t="s">
        <v>9</v>
      </c>
      <c r="P9" s="157" t="s">
        <v>9</v>
      </c>
      <c r="Q9" s="6"/>
      <c r="R9" s="104"/>
      <c r="S9" s="99"/>
    </row>
    <row r="10" spans="1:22" ht="15" customHeight="1" x14ac:dyDescent="0.4">
      <c r="A10" s="79">
        <v>44262</v>
      </c>
      <c r="B10" s="155"/>
      <c r="C10" s="110"/>
      <c r="D10" s="110"/>
      <c r="E10" s="156"/>
      <c r="F10" s="8"/>
      <c r="K10" s="9"/>
      <c r="L10" s="9"/>
      <c r="M10" s="26"/>
      <c r="Q10" s="6"/>
      <c r="R10" s="104"/>
      <c r="S10" s="95"/>
    </row>
    <row r="11" spans="1:22" ht="15" customHeight="1" x14ac:dyDescent="0.4">
      <c r="A11" s="1382">
        <v>44263</v>
      </c>
      <c r="B11" s="155"/>
      <c r="C11" s="110"/>
      <c r="D11" s="110" t="s">
        <v>80</v>
      </c>
      <c r="E11" s="156"/>
      <c r="F11" s="138"/>
      <c r="G11" s="45"/>
      <c r="J11" s="9">
        <v>240</v>
      </c>
      <c r="K11" s="9"/>
      <c r="L11" s="9"/>
      <c r="M11" s="26"/>
      <c r="P11" s="1" t="s">
        <v>7</v>
      </c>
      <c r="Q11" s="6"/>
      <c r="R11" s="104"/>
      <c r="S11" s="99"/>
    </row>
    <row r="12" spans="1:22" ht="15" customHeight="1" x14ac:dyDescent="0.4">
      <c r="A12" s="1383"/>
      <c r="B12" s="155"/>
      <c r="C12" s="110"/>
      <c r="D12" s="110" t="s">
        <v>81</v>
      </c>
      <c r="E12" s="156"/>
      <c r="F12" s="138"/>
      <c r="G12" s="45"/>
      <c r="J12" s="9">
        <v>240</v>
      </c>
      <c r="L12" s="9"/>
      <c r="M12" s="26"/>
      <c r="P12" s="2" t="s">
        <v>8</v>
      </c>
      <c r="Q12" s="6"/>
      <c r="R12" s="104"/>
      <c r="S12" s="99"/>
    </row>
    <row r="13" spans="1:22" ht="15" customHeight="1" x14ac:dyDescent="0.4">
      <c r="A13" s="79">
        <v>44264</v>
      </c>
      <c r="B13" s="155"/>
      <c r="C13" s="110"/>
      <c r="D13" s="110" t="s">
        <v>82</v>
      </c>
      <c r="E13" s="156"/>
      <c r="F13" s="22"/>
      <c r="G13" s="45"/>
      <c r="J13" s="9">
        <v>30</v>
      </c>
      <c r="L13" s="9"/>
      <c r="M13" s="26"/>
      <c r="P13" s="157" t="s">
        <v>9</v>
      </c>
      <c r="Q13" s="6"/>
      <c r="R13" s="104"/>
      <c r="S13" s="95"/>
    </row>
    <row r="14" spans="1:22" ht="15" customHeight="1" x14ac:dyDescent="0.4">
      <c r="A14" s="79">
        <v>44265</v>
      </c>
      <c r="B14" s="136" t="s">
        <v>83</v>
      </c>
      <c r="C14" s="110"/>
      <c r="D14" s="110"/>
      <c r="E14" s="137"/>
      <c r="F14" s="22"/>
      <c r="G14" s="45"/>
      <c r="H14" s="8">
        <v>60</v>
      </c>
      <c r="L14" s="9"/>
      <c r="M14" s="26"/>
      <c r="N14" s="1" t="s">
        <v>7</v>
      </c>
      <c r="Q14" s="6"/>
      <c r="R14" s="104"/>
      <c r="S14" s="95"/>
    </row>
    <row r="15" spans="1:22" ht="15" customHeight="1" x14ac:dyDescent="0.4">
      <c r="A15" s="79">
        <v>44266</v>
      </c>
      <c r="B15" s="109" t="s">
        <v>79</v>
      </c>
      <c r="C15" s="110"/>
      <c r="D15" s="110" t="s">
        <v>79</v>
      </c>
      <c r="E15" s="111"/>
      <c r="F15" s="8"/>
      <c r="H15" s="8">
        <v>60</v>
      </c>
      <c r="J15" s="9">
        <v>30</v>
      </c>
      <c r="L15" s="9"/>
      <c r="M15" s="26"/>
      <c r="N15" s="157" t="s">
        <v>9</v>
      </c>
      <c r="P15" s="157" t="s">
        <v>9</v>
      </c>
      <c r="Q15" s="6"/>
      <c r="R15" s="104"/>
      <c r="S15" s="95"/>
    </row>
    <row r="16" spans="1:22" ht="15" customHeight="1" x14ac:dyDescent="0.4">
      <c r="A16" s="79">
        <v>44267</v>
      </c>
      <c r="B16" s="109"/>
      <c r="C16" s="110"/>
      <c r="D16" s="110"/>
      <c r="E16" s="111"/>
      <c r="F16" s="8"/>
      <c r="Q16" s="6"/>
      <c r="R16" s="104"/>
      <c r="S16" s="95"/>
    </row>
    <row r="17" spans="1:23" ht="15" customHeight="1" x14ac:dyDescent="0.4">
      <c r="A17" s="79">
        <v>44268</v>
      </c>
      <c r="B17" s="109"/>
      <c r="C17" s="110"/>
      <c r="D17" s="110"/>
      <c r="E17" s="118" t="s">
        <v>84</v>
      </c>
      <c r="F17" s="8"/>
      <c r="G17" s="26"/>
      <c r="H17" s="62"/>
      <c r="K17" s="25">
        <v>180</v>
      </c>
      <c r="Q17" s="2" t="s">
        <v>8</v>
      </c>
      <c r="R17" s="104"/>
      <c r="S17" s="100"/>
    </row>
    <row r="18" spans="1:23" ht="15" customHeight="1" x14ac:dyDescent="0.4">
      <c r="A18" s="79">
        <v>44269</v>
      </c>
      <c r="B18" s="109"/>
      <c r="C18" s="110"/>
      <c r="D18" s="110"/>
      <c r="E18" s="111"/>
      <c r="F18" s="8"/>
      <c r="Q18" s="6"/>
      <c r="R18" s="104"/>
      <c r="S18" s="95"/>
    </row>
    <row r="19" spans="1:23" ht="15" customHeight="1" x14ac:dyDescent="0.4">
      <c r="A19" s="1382">
        <v>44270</v>
      </c>
      <c r="B19" s="109" t="s">
        <v>79</v>
      </c>
      <c r="C19" s="110"/>
      <c r="D19" s="110" t="s">
        <v>85</v>
      </c>
      <c r="E19" s="107"/>
      <c r="F19" s="8"/>
      <c r="H19" s="8">
        <v>30</v>
      </c>
      <c r="J19" s="9">
        <v>180</v>
      </c>
      <c r="N19" s="157" t="s">
        <v>9</v>
      </c>
      <c r="P19" s="1" t="s">
        <v>7</v>
      </c>
      <c r="Q19" s="6"/>
      <c r="R19" s="104"/>
      <c r="S19" s="95"/>
    </row>
    <row r="20" spans="1:23" ht="15" customHeight="1" x14ac:dyDescent="0.4">
      <c r="A20" s="1383"/>
      <c r="B20" s="109"/>
      <c r="C20" s="110"/>
      <c r="D20" s="110" t="s">
        <v>86</v>
      </c>
      <c r="E20" s="160"/>
      <c r="F20" s="8"/>
      <c r="J20" s="74">
        <v>60</v>
      </c>
      <c r="K20" s="127"/>
      <c r="L20" s="127"/>
      <c r="M20" s="139"/>
      <c r="P20" s="2" t="s">
        <v>8</v>
      </c>
      <c r="Q20" s="6"/>
      <c r="R20" s="104"/>
      <c r="S20" s="95"/>
    </row>
    <row r="21" spans="1:23" ht="15" customHeight="1" x14ac:dyDescent="0.4">
      <c r="A21" s="79">
        <v>44271</v>
      </c>
      <c r="B21" s="109"/>
      <c r="C21" s="110"/>
      <c r="D21" s="110"/>
      <c r="E21" s="111"/>
      <c r="F21" s="8"/>
      <c r="J21" s="74"/>
      <c r="K21" s="127"/>
      <c r="L21" s="127"/>
      <c r="M21" s="139"/>
      <c r="Q21" s="6"/>
      <c r="R21" s="104"/>
      <c r="S21" s="95"/>
    </row>
    <row r="22" spans="1:23" ht="15" customHeight="1" x14ac:dyDescent="0.4">
      <c r="A22" s="79">
        <v>44272</v>
      </c>
      <c r="B22" s="109"/>
      <c r="C22" s="110"/>
      <c r="D22" s="110"/>
      <c r="E22" s="112"/>
      <c r="F22" s="8"/>
      <c r="J22" s="74"/>
      <c r="K22" s="127"/>
      <c r="L22" s="127"/>
      <c r="M22" s="139"/>
      <c r="Q22" s="6"/>
      <c r="R22" s="104"/>
      <c r="S22" s="95"/>
    </row>
    <row r="23" spans="1:23" ht="15" customHeight="1" x14ac:dyDescent="0.4">
      <c r="A23" s="79">
        <v>44273</v>
      </c>
      <c r="B23" s="109"/>
      <c r="C23" s="110"/>
      <c r="D23" s="110"/>
      <c r="E23" s="112"/>
      <c r="F23" s="8"/>
      <c r="J23" s="74"/>
      <c r="K23" s="127"/>
      <c r="L23" s="127"/>
      <c r="M23" s="139"/>
      <c r="Q23" s="6"/>
      <c r="R23" s="104"/>
      <c r="S23" s="95"/>
    </row>
    <row r="24" spans="1:23" ht="41.25" customHeight="1" x14ac:dyDescent="0.4">
      <c r="A24" s="1382">
        <v>44274</v>
      </c>
      <c r="B24" s="109" t="s">
        <v>87</v>
      </c>
      <c r="C24" s="110"/>
      <c r="D24" s="114" t="s">
        <v>88</v>
      </c>
      <c r="E24" s="111"/>
      <c r="F24" s="8"/>
      <c r="H24" s="8">
        <v>20</v>
      </c>
      <c r="J24" s="74">
        <v>30</v>
      </c>
      <c r="K24" s="127"/>
      <c r="L24" s="127"/>
      <c r="M24" s="139"/>
      <c r="N24" s="126" t="s">
        <v>98</v>
      </c>
      <c r="Q24" s="6"/>
      <c r="R24" s="104"/>
      <c r="S24" s="95"/>
    </row>
    <row r="25" spans="1:23" ht="61.5" customHeight="1" x14ac:dyDescent="0.4">
      <c r="A25" s="1383"/>
      <c r="B25" s="109"/>
      <c r="C25" s="114" t="s">
        <v>90</v>
      </c>
      <c r="D25" s="114" t="s">
        <v>89</v>
      </c>
      <c r="E25" s="111"/>
      <c r="F25" s="8"/>
      <c r="I25" s="9">
        <v>6186</v>
      </c>
      <c r="J25" s="74">
        <v>1786</v>
      </c>
      <c r="K25" s="127"/>
      <c r="L25" s="127"/>
      <c r="M25" s="139"/>
      <c r="N25" s="161"/>
      <c r="O25" s="59" t="s">
        <v>7</v>
      </c>
      <c r="P25" s="59" t="s">
        <v>7</v>
      </c>
      <c r="Q25" s="6"/>
      <c r="R25" s="104"/>
      <c r="S25" s="95"/>
    </row>
    <row r="26" spans="1:23" ht="15" customHeight="1" x14ac:dyDescent="0.4">
      <c r="A26" s="79">
        <v>44275</v>
      </c>
      <c r="B26" s="1401" t="s">
        <v>91</v>
      </c>
      <c r="C26" s="1402"/>
      <c r="D26" s="1402"/>
      <c r="E26" s="1403"/>
      <c r="F26" s="8"/>
      <c r="J26" s="74"/>
      <c r="K26" s="127"/>
      <c r="L26" s="127">
        <v>540</v>
      </c>
      <c r="M26" s="139"/>
      <c r="N26" s="1410" t="s">
        <v>104</v>
      </c>
      <c r="O26" s="1411"/>
      <c r="P26" s="1411"/>
      <c r="Q26" s="1411"/>
      <c r="R26" s="1412"/>
      <c r="S26" s="95"/>
    </row>
    <row r="27" spans="1:23" ht="15" customHeight="1" x14ac:dyDescent="0.4">
      <c r="A27" s="79">
        <v>44276</v>
      </c>
      <c r="B27" s="121"/>
      <c r="C27" s="122"/>
      <c r="D27" s="110" t="s">
        <v>81</v>
      </c>
      <c r="E27" s="111"/>
      <c r="F27" s="8"/>
      <c r="J27" s="9">
        <v>55</v>
      </c>
      <c r="M27" s="139"/>
      <c r="P27" s="126" t="s">
        <v>98</v>
      </c>
      <c r="Q27" s="6"/>
      <c r="R27" s="104"/>
      <c r="S27" s="95"/>
      <c r="V27" s="20"/>
      <c r="W27" s="20"/>
    </row>
    <row r="28" spans="1:23" ht="15" customHeight="1" x14ac:dyDescent="0.4">
      <c r="A28" s="79">
        <v>44277</v>
      </c>
      <c r="B28" s="109"/>
      <c r="C28" s="153" t="s">
        <v>74</v>
      </c>
      <c r="D28" s="110" t="s">
        <v>81</v>
      </c>
      <c r="E28" s="111"/>
      <c r="F28" s="8"/>
      <c r="I28" s="9">
        <v>1440</v>
      </c>
      <c r="J28" s="9">
        <v>50</v>
      </c>
      <c r="M28" s="139"/>
      <c r="O28" s="126" t="s">
        <v>98</v>
      </c>
      <c r="P28" s="126" t="s">
        <v>98</v>
      </c>
      <c r="Q28" s="6"/>
      <c r="R28" s="103"/>
      <c r="S28" s="95"/>
    </row>
    <row r="29" spans="1:23" ht="15" customHeight="1" x14ac:dyDescent="0.4">
      <c r="A29" s="1382">
        <v>44278</v>
      </c>
      <c r="B29" s="136"/>
      <c r="C29" s="166"/>
      <c r="D29" s="118"/>
      <c r="E29" s="137"/>
      <c r="F29" s="8"/>
      <c r="M29" s="139"/>
      <c r="P29" s="126"/>
      <c r="Q29" s="6"/>
      <c r="R29" s="103"/>
      <c r="S29" s="95"/>
    </row>
    <row r="30" spans="1:23" ht="15" customHeight="1" x14ac:dyDescent="0.4">
      <c r="A30" s="1383"/>
      <c r="B30" s="1401" t="s">
        <v>92</v>
      </c>
      <c r="C30" s="1402"/>
      <c r="D30" s="1402"/>
      <c r="E30" s="1403"/>
      <c r="F30" s="22"/>
      <c r="H30" s="8">
        <v>40</v>
      </c>
      <c r="J30" s="9">
        <v>32</v>
      </c>
      <c r="K30" s="25">
        <v>34</v>
      </c>
      <c r="N30" s="163"/>
      <c r="O30" s="164"/>
      <c r="P30" s="1" t="s">
        <v>7</v>
      </c>
      <c r="Q30" s="17"/>
      <c r="R30" s="165"/>
      <c r="S30" s="95"/>
    </row>
    <row r="31" spans="1:23" ht="15" customHeight="1" x14ac:dyDescent="0.4">
      <c r="A31" s="79">
        <v>44279</v>
      </c>
      <c r="B31" s="109" t="s">
        <v>72</v>
      </c>
      <c r="C31" s="110" t="s">
        <v>72</v>
      </c>
      <c r="D31" s="110" t="s">
        <v>72</v>
      </c>
      <c r="E31" s="110" t="s">
        <v>72</v>
      </c>
      <c r="F31" s="93"/>
      <c r="I31" s="21"/>
      <c r="L31" s="25">
        <v>984</v>
      </c>
      <c r="N31" s="158" t="s">
        <v>71</v>
      </c>
      <c r="O31" s="158" t="s">
        <v>71</v>
      </c>
      <c r="P31" s="158" t="s">
        <v>71</v>
      </c>
      <c r="Q31" s="158" t="s">
        <v>71</v>
      </c>
      <c r="R31" s="158" t="s">
        <v>71</v>
      </c>
      <c r="S31" s="95"/>
    </row>
    <row r="32" spans="1:23" ht="23.25" customHeight="1" x14ac:dyDescent="0.4">
      <c r="A32" s="79">
        <v>44280</v>
      </c>
      <c r="B32" s="109"/>
      <c r="C32" s="110"/>
      <c r="D32" s="110"/>
      <c r="E32" s="111"/>
      <c r="F32" s="22"/>
      <c r="P32" s="24"/>
      <c r="Q32" s="6"/>
      <c r="R32" s="103"/>
      <c r="S32" s="95"/>
    </row>
    <row r="33" spans="1:19" ht="15" customHeight="1" x14ac:dyDescent="0.4">
      <c r="A33" s="1382">
        <v>44281</v>
      </c>
      <c r="B33" s="1401" t="s">
        <v>93</v>
      </c>
      <c r="C33" s="1402"/>
      <c r="D33" s="1402"/>
      <c r="E33" s="1403"/>
      <c r="F33" s="22"/>
      <c r="H33" s="8">
        <v>40</v>
      </c>
      <c r="J33" s="9">
        <v>20</v>
      </c>
      <c r="K33" s="25">
        <v>22</v>
      </c>
      <c r="N33" s="1413" t="s">
        <v>7</v>
      </c>
      <c r="O33" s="1414"/>
      <c r="P33" s="1414"/>
      <c r="Q33" s="1414"/>
      <c r="R33" s="1415"/>
      <c r="S33" s="95"/>
    </row>
    <row r="34" spans="1:19" ht="36.75" customHeight="1" x14ac:dyDescent="0.4">
      <c r="A34" s="1383"/>
      <c r="B34" s="113" t="s">
        <v>94</v>
      </c>
      <c r="C34" s="110"/>
      <c r="D34" s="114" t="s">
        <v>95</v>
      </c>
      <c r="E34" s="112"/>
      <c r="F34" s="22"/>
      <c r="H34" s="8">
        <v>120</v>
      </c>
      <c r="J34" s="9">
        <v>487</v>
      </c>
      <c r="N34" s="126" t="s">
        <v>98</v>
      </c>
      <c r="P34" s="126" t="s">
        <v>98</v>
      </c>
      <c r="Q34" s="6"/>
      <c r="R34" s="103"/>
      <c r="S34" s="95"/>
    </row>
    <row r="35" spans="1:19" ht="15" customHeight="1" x14ac:dyDescent="0.4">
      <c r="A35" s="79">
        <v>44282</v>
      </c>
      <c r="B35" s="109"/>
      <c r="C35" s="110" t="s">
        <v>82</v>
      </c>
      <c r="D35" s="110"/>
      <c r="E35" s="111" t="s">
        <v>96</v>
      </c>
      <c r="F35" s="8"/>
      <c r="I35" s="9">
        <v>135</v>
      </c>
      <c r="K35" s="25">
        <v>87</v>
      </c>
      <c r="O35" s="157" t="s">
        <v>9</v>
      </c>
      <c r="Q35" s="1" t="s">
        <v>7</v>
      </c>
      <c r="R35" s="105"/>
      <c r="S35" s="95"/>
    </row>
    <row r="36" spans="1:19" ht="15" customHeight="1" x14ac:dyDescent="0.4">
      <c r="A36" s="79">
        <v>44283</v>
      </c>
      <c r="B36" s="109" t="s">
        <v>87</v>
      </c>
      <c r="C36" s="110"/>
      <c r="D36" s="110"/>
      <c r="E36" s="111"/>
      <c r="F36" s="8"/>
      <c r="H36" s="8">
        <v>15</v>
      </c>
      <c r="N36" s="126" t="s">
        <v>98</v>
      </c>
      <c r="Q36" s="6"/>
      <c r="R36" s="29"/>
      <c r="S36" s="75"/>
    </row>
    <row r="37" spans="1:19" ht="15" customHeight="1" x14ac:dyDescent="0.4">
      <c r="A37" s="79">
        <v>44284</v>
      </c>
      <c r="B37" s="109"/>
      <c r="C37" s="110"/>
      <c r="D37" s="110" t="s">
        <v>97</v>
      </c>
      <c r="E37" s="111"/>
      <c r="F37" s="8"/>
      <c r="J37" s="9">
        <v>55</v>
      </c>
      <c r="P37" s="157" t="s">
        <v>9</v>
      </c>
      <c r="Q37" s="6"/>
      <c r="S37" s="75"/>
    </row>
    <row r="38" spans="1:19" ht="15" customHeight="1" x14ac:dyDescent="0.4">
      <c r="A38" s="79">
        <v>44285</v>
      </c>
      <c r="B38" s="22"/>
      <c r="D38" s="110"/>
      <c r="F38" s="8"/>
      <c r="G38" s="45"/>
      <c r="N38" s="47"/>
      <c r="Q38" s="6"/>
      <c r="R38" s="47"/>
      <c r="S38" s="75"/>
    </row>
    <row r="39" spans="1:19" ht="15" customHeight="1" x14ac:dyDescent="0.4">
      <c r="A39" s="159">
        <v>44286</v>
      </c>
      <c r="D39" s="110"/>
      <c r="F39" s="8"/>
      <c r="Q39" s="6"/>
      <c r="R39" s="26"/>
      <c r="S39" s="75"/>
    </row>
    <row r="40" spans="1:19" ht="15" customHeight="1" x14ac:dyDescent="0.4">
      <c r="A40" s="32"/>
      <c r="D40" s="110"/>
      <c r="F40" s="8"/>
      <c r="Q40" s="6"/>
      <c r="S40" s="75"/>
    </row>
    <row r="41" spans="1:19" ht="15" customHeight="1" x14ac:dyDescent="0.4">
      <c r="A41" s="32"/>
      <c r="F41" s="8"/>
      <c r="G41" s="45"/>
      <c r="Q41" s="6"/>
      <c r="R41" s="47"/>
      <c r="S41" s="75"/>
    </row>
    <row r="42" spans="1:19" ht="15" thickBot="1" x14ac:dyDescent="0.45">
      <c r="A42" s="34" t="s">
        <v>20</v>
      </c>
      <c r="B42" s="35"/>
      <c r="C42" s="36"/>
      <c r="D42" s="36"/>
      <c r="E42" s="38"/>
      <c r="F42" s="35">
        <f t="shared" ref="F42:M42" si="0">SUM(F3:F41)</f>
        <v>0</v>
      </c>
      <c r="G42" s="46"/>
      <c r="H42" s="35">
        <f>SUM(H3:H41)</f>
        <v>554</v>
      </c>
      <c r="I42" s="36">
        <f t="shared" si="0"/>
        <v>7761</v>
      </c>
      <c r="J42" s="36">
        <f t="shared" si="0"/>
        <v>3420</v>
      </c>
      <c r="K42" s="37">
        <f>SUM(K3:K41)</f>
        <v>1828</v>
      </c>
      <c r="L42" s="37">
        <f>SUM(L3:L41)</f>
        <v>2964</v>
      </c>
      <c r="M42" s="38">
        <f t="shared" si="0"/>
        <v>0</v>
      </c>
      <c r="N42" s="35"/>
      <c r="O42" s="36"/>
      <c r="P42" s="36"/>
      <c r="Q42" s="37"/>
      <c r="R42" s="67"/>
      <c r="S42" s="76"/>
    </row>
    <row r="43" spans="1:19" ht="15" thickBot="1" x14ac:dyDescent="0.45">
      <c r="A43" s="34" t="s">
        <v>21</v>
      </c>
      <c r="B43" s="24"/>
      <c r="C43" s="24"/>
      <c r="D43" s="24"/>
      <c r="E43" s="24"/>
      <c r="F43" s="24">
        <f>F42/60</f>
        <v>0</v>
      </c>
      <c r="G43" s="24"/>
      <c r="H43" s="39">
        <f t="shared" ref="H43:M43" si="1">H42/60</f>
        <v>9.2333333333333325</v>
      </c>
      <c r="I43" s="39">
        <f t="shared" si="1"/>
        <v>129.35</v>
      </c>
      <c r="J43" s="39">
        <f t="shared" si="1"/>
        <v>57</v>
      </c>
      <c r="K43" s="39">
        <f t="shared" si="1"/>
        <v>30.466666666666665</v>
      </c>
      <c r="L43" s="39">
        <f t="shared" si="1"/>
        <v>49.4</v>
      </c>
      <c r="M43" s="39">
        <f t="shared" si="1"/>
        <v>0</v>
      </c>
      <c r="N43" s="24"/>
      <c r="O43" s="24"/>
      <c r="P43" s="24"/>
      <c r="Q43" s="24"/>
    </row>
    <row r="44" spans="1:19" x14ac:dyDescent="0.4">
      <c r="A44" s="24" t="s">
        <v>41</v>
      </c>
      <c r="B44" s="24"/>
      <c r="C44" s="24"/>
      <c r="D44" s="24"/>
      <c r="E44" s="24"/>
      <c r="F44" s="24"/>
      <c r="G44" s="24"/>
      <c r="H44" s="162">
        <f>(H4+H24+H34+H36)/60</f>
        <v>4.9833333333333334</v>
      </c>
      <c r="I44" s="72">
        <f>(I3+I4+I34+I28)/60</f>
        <v>24</v>
      </c>
      <c r="J44" s="162">
        <f>(J8+J12+J20+J27+J28+J34)/60</f>
        <v>15.116666666666667</v>
      </c>
      <c r="K44" s="162">
        <f>(K8+K17+K6+K7)/60</f>
        <v>16.083333333333332</v>
      </c>
      <c r="L44" s="24"/>
      <c r="M44" s="72">
        <f>(M14+M38+M41)/24</f>
        <v>0</v>
      </c>
      <c r="N44" s="24"/>
      <c r="O44" s="24"/>
      <c r="P44" s="24"/>
      <c r="Q44" s="24"/>
    </row>
    <row r="45" spans="1:19" x14ac:dyDescent="0.4">
      <c r="A45" s="24" t="s">
        <v>42</v>
      </c>
      <c r="B45" s="24"/>
      <c r="C45" s="24"/>
      <c r="D45" s="24"/>
      <c r="E45" s="24"/>
      <c r="F45" s="24"/>
      <c r="G45" s="24"/>
      <c r="H45" s="162">
        <f>(H14+H33+H30)/60</f>
        <v>2.3333333333333335</v>
      </c>
      <c r="I45" s="72">
        <f>(I4+I5+I35+I25)/60</f>
        <v>105.35</v>
      </c>
      <c r="J45" s="162">
        <f>(J3+J11+J19+J25+J26+J30+J33)/60</f>
        <v>39.133333333333333</v>
      </c>
      <c r="K45" s="162">
        <f>(K26+K33+K35+K30)/60</f>
        <v>2.3833333333333333</v>
      </c>
      <c r="L45" s="72">
        <f>L17/24</f>
        <v>0</v>
      </c>
      <c r="M45" s="24"/>
      <c r="N45" s="24"/>
      <c r="O45" s="24"/>
      <c r="P45" s="24"/>
      <c r="Q45" s="24"/>
    </row>
    <row r="46" spans="1:19" x14ac:dyDescent="0.4">
      <c r="A46" s="24" t="s">
        <v>43</v>
      </c>
      <c r="B46" s="24"/>
      <c r="C46" s="24"/>
      <c r="D46" s="24"/>
      <c r="E46" s="24"/>
      <c r="F46" s="24"/>
      <c r="G46" s="24"/>
      <c r="H46" s="162">
        <f>(H9+H15+H19)/60</f>
        <v>1.9166666666666667</v>
      </c>
      <c r="I46" s="72">
        <f>(I11)/24</f>
        <v>0</v>
      </c>
      <c r="J46" s="162">
        <f>(J9+J13+J15+J37)/60</f>
        <v>2.25</v>
      </c>
      <c r="K46" s="162">
        <f>(K5)/60</f>
        <v>12</v>
      </c>
      <c r="L46" s="24"/>
      <c r="M46" s="24"/>
      <c r="N46" s="24"/>
      <c r="O46" s="24"/>
      <c r="P46" s="24"/>
      <c r="Q46" s="24"/>
    </row>
    <row r="47" spans="1:19" x14ac:dyDescent="0.4">
      <c r="A47" s="24" t="s">
        <v>99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4">
      <c r="A48"/>
      <c r="B48"/>
      <c r="C48"/>
      <c r="D48"/>
      <c r="E48"/>
      <c r="F48"/>
      <c r="G48"/>
      <c r="H48"/>
      <c r="I48" s="24"/>
      <c r="J48"/>
      <c r="K48"/>
      <c r="L48"/>
      <c r="M48"/>
      <c r="N48"/>
      <c r="O48"/>
      <c r="P48"/>
      <c r="Q48"/>
      <c r="R48"/>
      <c r="S48"/>
    </row>
    <row r="49" spans="3:8" customFormat="1" x14ac:dyDescent="0.4"/>
    <row r="50" spans="3:8" customFormat="1" x14ac:dyDescent="0.4"/>
    <row r="51" spans="3:8" customFormat="1" x14ac:dyDescent="0.4">
      <c r="E51" s="129"/>
      <c r="F51" s="129"/>
      <c r="G51" s="20"/>
      <c r="H51" s="20"/>
    </row>
    <row r="52" spans="3:8" customFormat="1" x14ac:dyDescent="0.4">
      <c r="C52" s="1407" t="s">
        <v>105</v>
      </c>
      <c r="D52" s="1408"/>
      <c r="E52" s="1408"/>
      <c r="F52" s="1408"/>
      <c r="G52" s="1409"/>
    </row>
    <row r="53" spans="3:8" customFormat="1" ht="15" thickBot="1" x14ac:dyDescent="0.45"/>
    <row r="54" spans="3:8" customFormat="1" ht="15" thickBot="1" x14ac:dyDescent="0.45">
      <c r="C54" s="168"/>
      <c r="D54" s="168" t="s">
        <v>1</v>
      </c>
      <c r="E54" s="173" t="s">
        <v>101</v>
      </c>
      <c r="F54" s="173" t="s">
        <v>102</v>
      </c>
      <c r="G54" s="173" t="s">
        <v>103</v>
      </c>
    </row>
    <row r="55" spans="3:8" customFormat="1" x14ac:dyDescent="0.4">
      <c r="C55" s="176" t="s">
        <v>108</v>
      </c>
      <c r="D55" s="169">
        <v>4.9833333333333298</v>
      </c>
      <c r="E55" s="169">
        <v>15.116666666666667</v>
      </c>
      <c r="F55" s="169">
        <v>4.083333333333333</v>
      </c>
      <c r="G55" s="174">
        <v>24</v>
      </c>
    </row>
    <row r="56" spans="3:8" customFormat="1" x14ac:dyDescent="0.4">
      <c r="C56" s="177" t="s">
        <v>109</v>
      </c>
      <c r="D56" s="170">
        <v>2.3333333333333335</v>
      </c>
      <c r="E56" s="170">
        <v>39.133333333333333</v>
      </c>
      <c r="F56" s="170">
        <v>2.3833333333333333</v>
      </c>
      <c r="G56" s="175">
        <v>105.35</v>
      </c>
    </row>
    <row r="57" spans="3:8" customFormat="1" x14ac:dyDescent="0.4">
      <c r="C57" s="177" t="s">
        <v>110</v>
      </c>
      <c r="D57" s="170">
        <v>1.9166666666666667</v>
      </c>
      <c r="E57" s="170">
        <v>2.25</v>
      </c>
      <c r="F57" s="170">
        <v>12</v>
      </c>
      <c r="G57" s="175">
        <v>0</v>
      </c>
    </row>
    <row r="58" spans="3:8" customFormat="1" ht="15" thickBot="1" x14ac:dyDescent="0.45">
      <c r="C58" s="178" t="s">
        <v>111</v>
      </c>
      <c r="D58" s="171">
        <v>49.4</v>
      </c>
      <c r="E58" s="171">
        <v>49.4</v>
      </c>
      <c r="F58" s="171">
        <v>49.4</v>
      </c>
      <c r="G58" s="171">
        <v>49.4</v>
      </c>
    </row>
    <row r="59" spans="3:8" customFormat="1" ht="15" thickBot="1" x14ac:dyDescent="0.45">
      <c r="C59" s="179" t="s">
        <v>100</v>
      </c>
      <c r="D59" s="172">
        <f>D55+D56+D57+D58</f>
        <v>58.633333333333326</v>
      </c>
      <c r="E59" s="172">
        <f>E55+E56+E57+E58</f>
        <v>105.9</v>
      </c>
      <c r="F59" s="172">
        <f>F55+F56+F57+F58</f>
        <v>67.866666666666674</v>
      </c>
      <c r="G59" s="172">
        <f>G55+G56+G57+G58</f>
        <v>178.75</v>
      </c>
    </row>
    <row r="60" spans="3:8" customFormat="1" x14ac:dyDescent="0.4"/>
    <row r="61" spans="3:8" customFormat="1" x14ac:dyDescent="0.4">
      <c r="C61" s="24" t="s">
        <v>106</v>
      </c>
      <c r="D61" s="167">
        <f>D55+D56+D57+E55+E56+E57+F55+F56+F57+G55+G56+G57</f>
        <v>213.54999999999998</v>
      </c>
    </row>
    <row r="62" spans="3:8" customFormat="1" x14ac:dyDescent="0.4">
      <c r="C62" s="24" t="s">
        <v>107</v>
      </c>
      <c r="D62" s="154">
        <v>49.4</v>
      </c>
    </row>
    <row r="63" spans="3:8" customFormat="1" x14ac:dyDescent="0.4"/>
    <row r="64" spans="3:8" customFormat="1" x14ac:dyDescent="0.4"/>
    <row r="65" customFormat="1" x14ac:dyDescent="0.4"/>
    <row r="66" customFormat="1" x14ac:dyDescent="0.4"/>
    <row r="67" customFormat="1" x14ac:dyDescent="0.4"/>
    <row r="68" customFormat="1" x14ac:dyDescent="0.4"/>
    <row r="69" customFormat="1" x14ac:dyDescent="0.4"/>
    <row r="70" customFormat="1" x14ac:dyDescent="0.4"/>
    <row r="71" customFormat="1" x14ac:dyDescent="0.4"/>
    <row r="72" customFormat="1" x14ac:dyDescent="0.4"/>
    <row r="73" customFormat="1" x14ac:dyDescent="0.4"/>
    <row r="74" customFormat="1" x14ac:dyDescent="0.4"/>
    <row r="75" customFormat="1" x14ac:dyDescent="0.4"/>
    <row r="76" customFormat="1" x14ac:dyDescent="0.4"/>
    <row r="77" customFormat="1" x14ac:dyDescent="0.4"/>
    <row r="78" customFormat="1" x14ac:dyDescent="0.4"/>
    <row r="79" customFormat="1" x14ac:dyDescent="0.4"/>
    <row r="80" customFormat="1" x14ac:dyDescent="0.4"/>
    <row r="81" customFormat="1" x14ac:dyDescent="0.4"/>
    <row r="82" customFormat="1" x14ac:dyDescent="0.4"/>
    <row r="83" customFormat="1" x14ac:dyDescent="0.4"/>
    <row r="84" customFormat="1" x14ac:dyDescent="0.4"/>
    <row r="85" customFormat="1" x14ac:dyDescent="0.4"/>
    <row r="86" customFormat="1" x14ac:dyDescent="0.4"/>
    <row r="87" customFormat="1" x14ac:dyDescent="0.4"/>
    <row r="88" customFormat="1" x14ac:dyDescent="0.4"/>
    <row r="89" customFormat="1" x14ac:dyDescent="0.4"/>
    <row r="90" customFormat="1" x14ac:dyDescent="0.4"/>
    <row r="91" customFormat="1" x14ac:dyDescent="0.4"/>
    <row r="92" customFormat="1" x14ac:dyDescent="0.4"/>
    <row r="93" customFormat="1" x14ac:dyDescent="0.4"/>
    <row r="94" customFormat="1" x14ac:dyDescent="0.4"/>
    <row r="95" customFormat="1" x14ac:dyDescent="0.4"/>
    <row r="96" customFormat="1" x14ac:dyDescent="0.4"/>
    <row r="97" customFormat="1" x14ac:dyDescent="0.4"/>
    <row r="98" customFormat="1" x14ac:dyDescent="0.4"/>
    <row r="99" customFormat="1" x14ac:dyDescent="0.4"/>
    <row r="100" customFormat="1" x14ac:dyDescent="0.4"/>
    <row r="101" customFormat="1" x14ac:dyDescent="0.4"/>
    <row r="102" customFormat="1" x14ac:dyDescent="0.4"/>
    <row r="103" customFormat="1" x14ac:dyDescent="0.4"/>
    <row r="104" customFormat="1" x14ac:dyDescent="0.4"/>
    <row r="105" customFormat="1" x14ac:dyDescent="0.4"/>
    <row r="106" customFormat="1" x14ac:dyDescent="0.4"/>
    <row r="107" customFormat="1" x14ac:dyDescent="0.4"/>
    <row r="108" customFormat="1" x14ac:dyDescent="0.4"/>
    <row r="109" customFormat="1" x14ac:dyDescent="0.4"/>
    <row r="110" customFormat="1" x14ac:dyDescent="0.4"/>
    <row r="111" customFormat="1" x14ac:dyDescent="0.4"/>
    <row r="112" customFormat="1" x14ac:dyDescent="0.4"/>
    <row r="113" customFormat="1" x14ac:dyDescent="0.4"/>
    <row r="114" customFormat="1" x14ac:dyDescent="0.4"/>
    <row r="115" customFormat="1" x14ac:dyDescent="0.4"/>
    <row r="116" customFormat="1" x14ac:dyDescent="0.4"/>
    <row r="117" customFormat="1" x14ac:dyDescent="0.4"/>
    <row r="118" customFormat="1" x14ac:dyDescent="0.4"/>
    <row r="119" customFormat="1" x14ac:dyDescent="0.4"/>
    <row r="120" customFormat="1" x14ac:dyDescent="0.4"/>
    <row r="121" customFormat="1" x14ac:dyDescent="0.4"/>
    <row r="122" customFormat="1" x14ac:dyDescent="0.4"/>
    <row r="123" customFormat="1" x14ac:dyDescent="0.4"/>
    <row r="124" customFormat="1" x14ac:dyDescent="0.4"/>
    <row r="125" customFormat="1" x14ac:dyDescent="0.4"/>
    <row r="126" customFormat="1" x14ac:dyDescent="0.4"/>
    <row r="127" customFormat="1" x14ac:dyDescent="0.4"/>
    <row r="128" customFormat="1" x14ac:dyDescent="0.4"/>
    <row r="129" customFormat="1" x14ac:dyDescent="0.4"/>
    <row r="130" customFormat="1" x14ac:dyDescent="0.4"/>
    <row r="131" customFormat="1" x14ac:dyDescent="0.4"/>
    <row r="132" customFormat="1" x14ac:dyDescent="0.4"/>
    <row r="133" customFormat="1" x14ac:dyDescent="0.4"/>
    <row r="134" customFormat="1" x14ac:dyDescent="0.4"/>
    <row r="135" customFormat="1" x14ac:dyDescent="0.4"/>
    <row r="136" customFormat="1" x14ac:dyDescent="0.4"/>
    <row r="137" customFormat="1" x14ac:dyDescent="0.4"/>
    <row r="138" customFormat="1" x14ac:dyDescent="0.4"/>
    <row r="139" customFormat="1" x14ac:dyDescent="0.4"/>
    <row r="140" customFormat="1" x14ac:dyDescent="0.4"/>
    <row r="141" customFormat="1" x14ac:dyDescent="0.4"/>
    <row r="142" customFormat="1" x14ac:dyDescent="0.4"/>
    <row r="143" customFormat="1" x14ac:dyDescent="0.4"/>
    <row r="144" customFormat="1" x14ac:dyDescent="0.4"/>
    <row r="145" customFormat="1" x14ac:dyDescent="0.4"/>
    <row r="146" customFormat="1" x14ac:dyDescent="0.4"/>
    <row r="147" customFormat="1" x14ac:dyDescent="0.4"/>
    <row r="148" customFormat="1" x14ac:dyDescent="0.4"/>
    <row r="149" customFormat="1" x14ac:dyDescent="0.4"/>
    <row r="150" customFormat="1" x14ac:dyDescent="0.4"/>
    <row r="151" customFormat="1" x14ac:dyDescent="0.4"/>
    <row r="152" customFormat="1" x14ac:dyDescent="0.4"/>
    <row r="153" customFormat="1" x14ac:dyDescent="0.4"/>
    <row r="154" customFormat="1" x14ac:dyDescent="0.4"/>
    <row r="155" customFormat="1" x14ac:dyDescent="0.4"/>
    <row r="156" customFormat="1" x14ac:dyDescent="0.4"/>
    <row r="157" customFormat="1" x14ac:dyDescent="0.4"/>
    <row r="158" customFormat="1" x14ac:dyDescent="0.4"/>
    <row r="159" customFormat="1" x14ac:dyDescent="0.4"/>
    <row r="160" customFormat="1" x14ac:dyDescent="0.4"/>
    <row r="161" customFormat="1" x14ac:dyDescent="0.4"/>
    <row r="162" customFormat="1" x14ac:dyDescent="0.4"/>
    <row r="163" customFormat="1" x14ac:dyDescent="0.4"/>
    <row r="164" customFormat="1" x14ac:dyDescent="0.4"/>
    <row r="165" customFormat="1" x14ac:dyDescent="0.4"/>
    <row r="166" customFormat="1" x14ac:dyDescent="0.4"/>
    <row r="167" customFormat="1" x14ac:dyDescent="0.4"/>
    <row r="168" customFormat="1" x14ac:dyDescent="0.4"/>
    <row r="169" customFormat="1" x14ac:dyDescent="0.4"/>
    <row r="170" customFormat="1" x14ac:dyDescent="0.4"/>
    <row r="171" customFormat="1" x14ac:dyDescent="0.4"/>
    <row r="172" customFormat="1" x14ac:dyDescent="0.4"/>
    <row r="173" customFormat="1" x14ac:dyDescent="0.4"/>
    <row r="174" customFormat="1" x14ac:dyDescent="0.4"/>
    <row r="175" customFormat="1" x14ac:dyDescent="0.4"/>
    <row r="176" customFormat="1" x14ac:dyDescent="0.4"/>
    <row r="177" customFormat="1" x14ac:dyDescent="0.4"/>
    <row r="178" customFormat="1" x14ac:dyDescent="0.4"/>
    <row r="179" customFormat="1" x14ac:dyDescent="0.4"/>
    <row r="180" customFormat="1" x14ac:dyDescent="0.4"/>
    <row r="181" customFormat="1" x14ac:dyDescent="0.4"/>
    <row r="182" customFormat="1" x14ac:dyDescent="0.4"/>
    <row r="183" customFormat="1" x14ac:dyDescent="0.4"/>
    <row r="184" customFormat="1" x14ac:dyDescent="0.4"/>
    <row r="185" customFormat="1" x14ac:dyDescent="0.4"/>
    <row r="186" customFormat="1" x14ac:dyDescent="0.4"/>
    <row r="187" customFormat="1" x14ac:dyDescent="0.4"/>
    <row r="188" customFormat="1" x14ac:dyDescent="0.4"/>
    <row r="189" customFormat="1" x14ac:dyDescent="0.4"/>
    <row r="190" customFormat="1" x14ac:dyDescent="0.4"/>
    <row r="191" customFormat="1" x14ac:dyDescent="0.4"/>
    <row r="192" customFormat="1" x14ac:dyDescent="0.4"/>
    <row r="193" customFormat="1" x14ac:dyDescent="0.4"/>
    <row r="194" customFormat="1" x14ac:dyDescent="0.4"/>
    <row r="195" customFormat="1" x14ac:dyDescent="0.4"/>
    <row r="196" customFormat="1" x14ac:dyDescent="0.4"/>
    <row r="197" customFormat="1" x14ac:dyDescent="0.4"/>
    <row r="198" customFormat="1" x14ac:dyDescent="0.4"/>
    <row r="199" customFormat="1" x14ac:dyDescent="0.4"/>
    <row r="200" customFormat="1" x14ac:dyDescent="0.4"/>
    <row r="201" customFormat="1" x14ac:dyDescent="0.4"/>
    <row r="202" customFormat="1" x14ac:dyDescent="0.4"/>
    <row r="203" customFormat="1" x14ac:dyDescent="0.4"/>
    <row r="204" customFormat="1" x14ac:dyDescent="0.4"/>
    <row r="205" customFormat="1" x14ac:dyDescent="0.4"/>
    <row r="206" customFormat="1" x14ac:dyDescent="0.4"/>
    <row r="207" customFormat="1" x14ac:dyDescent="0.4"/>
    <row r="208" customFormat="1" x14ac:dyDescent="0.4"/>
    <row r="209" customFormat="1" x14ac:dyDescent="0.4"/>
    <row r="210" customFormat="1" x14ac:dyDescent="0.4"/>
    <row r="211" customFormat="1" x14ac:dyDescent="0.4"/>
    <row r="212" customFormat="1" x14ac:dyDescent="0.4"/>
    <row r="213" customFormat="1" x14ac:dyDescent="0.4"/>
    <row r="214" customFormat="1" x14ac:dyDescent="0.4"/>
    <row r="215" customFormat="1" x14ac:dyDescent="0.4"/>
    <row r="216" customFormat="1" x14ac:dyDescent="0.4"/>
    <row r="217" customFormat="1" x14ac:dyDescent="0.4"/>
    <row r="218" customFormat="1" x14ac:dyDescent="0.4"/>
    <row r="219" customFormat="1" x14ac:dyDescent="0.4"/>
    <row r="220" customFormat="1" x14ac:dyDescent="0.4"/>
    <row r="221" customFormat="1" x14ac:dyDescent="0.4"/>
    <row r="222" customFormat="1" x14ac:dyDescent="0.4"/>
    <row r="223" customFormat="1" x14ac:dyDescent="0.4"/>
    <row r="224" customFormat="1" x14ac:dyDescent="0.4"/>
    <row r="225" customFormat="1" x14ac:dyDescent="0.4"/>
    <row r="226" customFormat="1" x14ac:dyDescent="0.4"/>
    <row r="227" customFormat="1" x14ac:dyDescent="0.4"/>
    <row r="228" customFormat="1" x14ac:dyDescent="0.4"/>
    <row r="229" customFormat="1" x14ac:dyDescent="0.4"/>
    <row r="230" customFormat="1" x14ac:dyDescent="0.4"/>
    <row r="231" customFormat="1" x14ac:dyDescent="0.4"/>
    <row r="232" customFormat="1" x14ac:dyDescent="0.4"/>
    <row r="233" customFormat="1" x14ac:dyDescent="0.4"/>
    <row r="234" customFormat="1" x14ac:dyDescent="0.4"/>
    <row r="235" customFormat="1" x14ac:dyDescent="0.4"/>
    <row r="236" customFormat="1" x14ac:dyDescent="0.4"/>
    <row r="237" customFormat="1" x14ac:dyDescent="0.4"/>
    <row r="238" customFormat="1" x14ac:dyDescent="0.4"/>
    <row r="239" customFormat="1" x14ac:dyDescent="0.4"/>
    <row r="240" customFormat="1" x14ac:dyDescent="0.4"/>
    <row r="241" customFormat="1" x14ac:dyDescent="0.4"/>
    <row r="242" customFormat="1" x14ac:dyDescent="0.4"/>
    <row r="243" customFormat="1" x14ac:dyDescent="0.4"/>
    <row r="244" customFormat="1" x14ac:dyDescent="0.4"/>
    <row r="245" customFormat="1" x14ac:dyDescent="0.4"/>
    <row r="246" customFormat="1" x14ac:dyDescent="0.4"/>
    <row r="247" customFormat="1" x14ac:dyDescent="0.4"/>
    <row r="248" customFormat="1" x14ac:dyDescent="0.4"/>
    <row r="249" customFormat="1" x14ac:dyDescent="0.4"/>
    <row r="250" customFormat="1" x14ac:dyDescent="0.4"/>
    <row r="251" customFormat="1" x14ac:dyDescent="0.4"/>
    <row r="252" customFormat="1" x14ac:dyDescent="0.4"/>
    <row r="253" customFormat="1" x14ac:dyDescent="0.4"/>
    <row r="254" customFormat="1" x14ac:dyDescent="0.4"/>
    <row r="255" customFormat="1" x14ac:dyDescent="0.4"/>
    <row r="256" customFormat="1" x14ac:dyDescent="0.4"/>
    <row r="257" customFormat="1" x14ac:dyDescent="0.4"/>
    <row r="258" customFormat="1" x14ac:dyDescent="0.4"/>
    <row r="259" customFormat="1" x14ac:dyDescent="0.4"/>
    <row r="260" customFormat="1" x14ac:dyDescent="0.4"/>
    <row r="261" customFormat="1" x14ac:dyDescent="0.4"/>
    <row r="262" customFormat="1" x14ac:dyDescent="0.4"/>
    <row r="263" customFormat="1" x14ac:dyDescent="0.4"/>
    <row r="264" customFormat="1" x14ac:dyDescent="0.4"/>
    <row r="265" customFormat="1" x14ac:dyDescent="0.4"/>
    <row r="266" customFormat="1" x14ac:dyDescent="0.4"/>
    <row r="267" customFormat="1" x14ac:dyDescent="0.4"/>
    <row r="268" customFormat="1" x14ac:dyDescent="0.4"/>
    <row r="269" customFormat="1" x14ac:dyDescent="0.4"/>
    <row r="270" customFormat="1" x14ac:dyDescent="0.4"/>
    <row r="271" customFormat="1" x14ac:dyDescent="0.4"/>
    <row r="272" customFormat="1" x14ac:dyDescent="0.4"/>
    <row r="273" customFormat="1" x14ac:dyDescent="0.4"/>
    <row r="274" customFormat="1" x14ac:dyDescent="0.4"/>
    <row r="275" customFormat="1" x14ac:dyDescent="0.4"/>
    <row r="276" customFormat="1" x14ac:dyDescent="0.4"/>
    <row r="277" customFormat="1" x14ac:dyDescent="0.4"/>
    <row r="278" customFormat="1" x14ac:dyDescent="0.4"/>
    <row r="279" customFormat="1" x14ac:dyDescent="0.4"/>
    <row r="280" customFormat="1" x14ac:dyDescent="0.4"/>
    <row r="281" customFormat="1" x14ac:dyDescent="0.4"/>
    <row r="282" customFormat="1" x14ac:dyDescent="0.4"/>
    <row r="283" customFormat="1" x14ac:dyDescent="0.4"/>
    <row r="284" customFormat="1" x14ac:dyDescent="0.4"/>
    <row r="285" customFormat="1" x14ac:dyDescent="0.4"/>
    <row r="286" customFormat="1" x14ac:dyDescent="0.4"/>
  </sheetData>
  <mergeCells count="14">
    <mergeCell ref="C52:G52"/>
    <mergeCell ref="B1:E1"/>
    <mergeCell ref="H1:M1"/>
    <mergeCell ref="N1:Q1"/>
    <mergeCell ref="A11:A12"/>
    <mergeCell ref="A19:A20"/>
    <mergeCell ref="N26:R26"/>
    <mergeCell ref="N33:R33"/>
    <mergeCell ref="A24:A25"/>
    <mergeCell ref="B26:E26"/>
    <mergeCell ref="B30:E30"/>
    <mergeCell ref="A33:A34"/>
    <mergeCell ref="B33:E33"/>
    <mergeCell ref="A29:A30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88"/>
  <sheetViews>
    <sheetView topLeftCell="A28" zoomScale="60" zoomScaleNormal="60" workbookViewId="0">
      <pane xSplit="1" topLeftCell="B1" activePane="topRight" state="frozen"/>
      <selection pane="topRight" activeCell="A49" sqref="A49"/>
    </sheetView>
  </sheetViews>
  <sheetFormatPr defaultRowHeight="14.6" x14ac:dyDescent="0.4"/>
  <cols>
    <col min="1" max="1" width="20.15234375" style="4" customWidth="1"/>
    <col min="2" max="2" width="28" style="8" customWidth="1"/>
    <col min="3" max="3" width="30.3046875" style="9" customWidth="1"/>
    <col min="4" max="4" width="22.3828125" style="9" customWidth="1"/>
    <col min="5" max="5" width="22.3828125" style="10" customWidth="1"/>
    <col min="6" max="6" width="19" style="43" customWidth="1"/>
    <col min="7" max="7" width="17.15234375" style="43" customWidth="1"/>
    <col min="8" max="8" width="11.53515625" style="8" bestFit="1" customWidth="1"/>
    <col min="9" max="9" width="16.69140625" style="9" customWidth="1"/>
    <col min="10" max="10" width="10.53515625" style="9" bestFit="1" customWidth="1"/>
    <col min="11" max="12" width="9.84375" style="25" customWidth="1"/>
    <col min="13" max="13" width="10.15234375" style="10" bestFit="1" customWidth="1"/>
    <col min="14" max="14" width="9.84375" style="8" bestFit="1" customWidth="1"/>
    <col min="15" max="15" width="10.15234375" style="9" bestFit="1" customWidth="1"/>
    <col min="16" max="16" width="9.84375" style="9" bestFit="1" customWidth="1"/>
    <col min="17" max="17" width="10.15234375" style="10" bestFit="1" customWidth="1"/>
    <col min="18" max="19" width="10.15234375" style="24" customWidth="1"/>
  </cols>
  <sheetData>
    <row r="1" spans="1:22" ht="15.45" thickTop="1" thickBot="1" x14ac:dyDescent="0.45">
      <c r="A1" s="77"/>
      <c r="B1" s="1394" t="s">
        <v>3</v>
      </c>
      <c r="C1" s="1395"/>
      <c r="D1" s="1395"/>
      <c r="E1" s="1397"/>
      <c r="F1" s="61"/>
      <c r="G1" s="61"/>
      <c r="H1" s="1394" t="s">
        <v>6</v>
      </c>
      <c r="I1" s="1395"/>
      <c r="J1" s="1395"/>
      <c r="K1" s="1396"/>
      <c r="L1" s="1396"/>
      <c r="M1" s="1397"/>
      <c r="N1" s="1398" t="s">
        <v>13</v>
      </c>
      <c r="O1" s="1399"/>
      <c r="P1" s="1399"/>
      <c r="Q1" s="1400"/>
      <c r="R1" s="61"/>
      <c r="S1" s="78"/>
    </row>
    <row r="2" spans="1:22" ht="15.45" thickTop="1" thickBot="1" x14ac:dyDescent="0.45">
      <c r="A2" s="81" t="s">
        <v>0</v>
      </c>
      <c r="B2" s="82" t="s">
        <v>1</v>
      </c>
      <c r="C2" s="83" t="s">
        <v>4</v>
      </c>
      <c r="D2" s="83" t="s">
        <v>2</v>
      </c>
      <c r="E2" s="84" t="s">
        <v>5</v>
      </c>
      <c r="F2" s="85" t="s">
        <v>26</v>
      </c>
      <c r="G2" s="85" t="s">
        <v>19</v>
      </c>
      <c r="H2" s="86" t="s">
        <v>1</v>
      </c>
      <c r="I2" s="87" t="s">
        <v>4</v>
      </c>
      <c r="J2" s="87" t="s">
        <v>2</v>
      </c>
      <c r="K2" s="87" t="s">
        <v>5</v>
      </c>
      <c r="L2" s="88" t="s">
        <v>26</v>
      </c>
      <c r="M2" s="89" t="s">
        <v>19</v>
      </c>
      <c r="N2" s="82" t="s">
        <v>1</v>
      </c>
      <c r="O2" s="83" t="s">
        <v>4</v>
      </c>
      <c r="P2" s="83" t="s">
        <v>2</v>
      </c>
      <c r="Q2" s="90" t="s">
        <v>5</v>
      </c>
      <c r="R2" s="101" t="s">
        <v>19</v>
      </c>
      <c r="S2" s="91" t="s">
        <v>26</v>
      </c>
    </row>
    <row r="3" spans="1:22" ht="15" customHeight="1" thickTop="1" x14ac:dyDescent="0.4">
      <c r="A3" s="79">
        <v>44287</v>
      </c>
      <c r="B3" s="106" t="s">
        <v>96</v>
      </c>
      <c r="C3" s="107"/>
      <c r="D3" s="107"/>
      <c r="E3" s="108"/>
      <c r="F3" s="92"/>
      <c r="G3" s="48"/>
      <c r="H3" s="27">
        <v>366</v>
      </c>
      <c r="I3" s="28"/>
      <c r="J3" s="28"/>
      <c r="K3" s="28"/>
      <c r="L3" s="94"/>
      <c r="M3" s="29"/>
      <c r="N3" s="1" t="s">
        <v>7</v>
      </c>
      <c r="O3" s="28"/>
      <c r="P3" s="154"/>
      <c r="Q3" s="80"/>
      <c r="R3" s="102"/>
      <c r="S3" s="98"/>
      <c r="U3" s="2" t="s">
        <v>8</v>
      </c>
      <c r="V3" t="s">
        <v>10</v>
      </c>
    </row>
    <row r="4" spans="1:22" ht="15" customHeight="1" x14ac:dyDescent="0.4">
      <c r="A4" s="79">
        <v>44288</v>
      </c>
      <c r="B4" s="106" t="s">
        <v>113</v>
      </c>
      <c r="C4" s="110"/>
      <c r="D4" s="110" t="s">
        <v>112</v>
      </c>
      <c r="E4" s="111"/>
      <c r="F4" s="8"/>
      <c r="H4" s="8">
        <v>11</v>
      </c>
      <c r="J4" s="9">
        <v>215</v>
      </c>
      <c r="K4" s="9"/>
      <c r="L4" s="9"/>
      <c r="M4" s="26"/>
      <c r="N4" s="2" t="s">
        <v>8</v>
      </c>
      <c r="O4" s="6"/>
      <c r="P4" s="1" t="s">
        <v>7</v>
      </c>
      <c r="Q4" s="6"/>
      <c r="R4" s="103"/>
      <c r="S4" s="98"/>
      <c r="U4" s="1" t="s">
        <v>7</v>
      </c>
      <c r="V4" t="s">
        <v>11</v>
      </c>
    </row>
    <row r="5" spans="1:22" x14ac:dyDescent="0.4">
      <c r="A5" s="206">
        <v>44289</v>
      </c>
      <c r="B5" s="184"/>
      <c r="C5" s="185"/>
      <c r="D5" s="185"/>
      <c r="E5" s="186"/>
      <c r="F5" s="187"/>
      <c r="G5" s="188"/>
      <c r="H5" s="187"/>
      <c r="I5" s="189"/>
      <c r="J5" s="189"/>
      <c r="K5" s="189"/>
      <c r="L5" s="189"/>
      <c r="M5" s="190"/>
      <c r="N5" s="191"/>
      <c r="O5" s="189"/>
      <c r="P5" s="191"/>
      <c r="Q5" s="191"/>
      <c r="R5" s="192"/>
      <c r="S5" s="193"/>
      <c r="U5" s="3" t="s">
        <v>9</v>
      </c>
      <c r="V5" t="s">
        <v>12</v>
      </c>
    </row>
    <row r="6" spans="1:22" ht="15" customHeight="1" x14ac:dyDescent="0.4">
      <c r="A6" s="206">
        <v>44290</v>
      </c>
      <c r="B6" s="184"/>
      <c r="C6" s="185"/>
      <c r="D6" s="185"/>
      <c r="E6" s="194"/>
      <c r="F6" s="187"/>
      <c r="G6" s="188"/>
      <c r="H6" s="187"/>
      <c r="I6" s="189"/>
      <c r="J6" s="189"/>
      <c r="K6" s="189"/>
      <c r="L6" s="189"/>
      <c r="M6" s="190"/>
      <c r="N6" s="195"/>
      <c r="O6" s="195"/>
      <c r="P6" s="195"/>
      <c r="Q6" s="195"/>
      <c r="R6" s="195"/>
      <c r="S6" s="193"/>
      <c r="U6" s="158" t="s">
        <v>71</v>
      </c>
      <c r="V6" s="131" t="s">
        <v>51</v>
      </c>
    </row>
    <row r="7" spans="1:22" ht="15" customHeight="1" x14ac:dyDescent="0.4">
      <c r="A7" s="206">
        <v>44291</v>
      </c>
      <c r="B7" s="196"/>
      <c r="C7" s="185"/>
      <c r="D7" s="185"/>
      <c r="E7" s="197"/>
      <c r="F7" s="198"/>
      <c r="G7" s="199"/>
      <c r="H7" s="187"/>
      <c r="I7" s="189"/>
      <c r="J7" s="189"/>
      <c r="K7" s="189"/>
      <c r="L7" s="189"/>
      <c r="M7" s="190"/>
      <c r="N7" s="195"/>
      <c r="O7" s="195"/>
      <c r="P7" s="195"/>
      <c r="Q7" s="195"/>
      <c r="R7" s="195"/>
      <c r="S7" s="193"/>
    </row>
    <row r="8" spans="1:22" ht="15" customHeight="1" x14ac:dyDescent="0.4">
      <c r="A8" s="79">
        <v>44292</v>
      </c>
      <c r="B8" s="109" t="s">
        <v>114</v>
      </c>
      <c r="C8" s="110"/>
      <c r="D8" s="110" t="s">
        <v>114</v>
      </c>
      <c r="E8" s="112"/>
      <c r="F8" s="22"/>
      <c r="G8" s="44"/>
      <c r="H8" s="8">
        <v>35</v>
      </c>
      <c r="J8" s="9">
        <v>139</v>
      </c>
      <c r="K8" s="9"/>
      <c r="L8" s="9"/>
      <c r="M8" s="26"/>
      <c r="N8" s="3" t="s">
        <v>9</v>
      </c>
      <c r="O8" s="6"/>
      <c r="P8" s="3" t="s">
        <v>9</v>
      </c>
      <c r="Q8" s="154"/>
      <c r="R8" s="104"/>
      <c r="S8" s="98"/>
    </row>
    <row r="9" spans="1:22" ht="15" customHeight="1" x14ac:dyDescent="0.4">
      <c r="A9" s="79">
        <v>44293</v>
      </c>
      <c r="B9" s="136" t="s">
        <v>115</v>
      </c>
      <c r="C9" s="110"/>
      <c r="D9" s="110" t="s">
        <v>114</v>
      </c>
      <c r="E9" s="156"/>
      <c r="F9" s="128"/>
      <c r="H9" s="8">
        <v>1100</v>
      </c>
      <c r="J9" s="9">
        <v>35</v>
      </c>
      <c r="K9" s="9"/>
      <c r="L9" s="9"/>
      <c r="M9" s="26"/>
      <c r="N9" s="2" t="s">
        <v>8</v>
      </c>
      <c r="P9" s="3" t="s">
        <v>9</v>
      </c>
      <c r="Q9" s="6"/>
      <c r="R9" s="104"/>
      <c r="S9" s="99"/>
    </row>
    <row r="10" spans="1:22" ht="15" customHeight="1" x14ac:dyDescent="0.4">
      <c r="A10" s="79">
        <v>44294</v>
      </c>
      <c r="B10" s="136" t="s">
        <v>115</v>
      </c>
      <c r="C10" s="110"/>
      <c r="D10" s="110" t="s">
        <v>114</v>
      </c>
      <c r="E10" s="156"/>
      <c r="F10" s="8"/>
      <c r="H10" s="8">
        <v>1440</v>
      </c>
      <c r="J10" s="9">
        <v>20</v>
      </c>
      <c r="K10" s="9"/>
      <c r="L10" s="9"/>
      <c r="M10" s="26"/>
      <c r="N10" s="2" t="s">
        <v>8</v>
      </c>
      <c r="P10" s="3" t="s">
        <v>9</v>
      </c>
      <c r="Q10" s="6"/>
      <c r="R10" s="104"/>
      <c r="S10" s="95"/>
    </row>
    <row r="11" spans="1:22" ht="15" customHeight="1" x14ac:dyDescent="0.4">
      <c r="A11" s="79">
        <v>44295</v>
      </c>
      <c r="B11" s="136" t="s">
        <v>115</v>
      </c>
      <c r="C11" s="110"/>
      <c r="D11" s="110"/>
      <c r="E11" s="156"/>
      <c r="F11" s="138"/>
      <c r="G11" s="45"/>
      <c r="H11" s="8">
        <v>1440</v>
      </c>
      <c r="K11" s="9"/>
      <c r="L11" s="9"/>
      <c r="M11" s="26"/>
      <c r="N11" s="2" t="s">
        <v>8</v>
      </c>
      <c r="P11" s="154"/>
      <c r="Q11" s="6"/>
      <c r="R11" s="104"/>
      <c r="S11" s="99"/>
    </row>
    <row r="12" spans="1:22" ht="15" customHeight="1" x14ac:dyDescent="0.4">
      <c r="A12" s="79">
        <v>44296</v>
      </c>
      <c r="B12" s="136" t="s">
        <v>116</v>
      </c>
      <c r="C12" s="110"/>
      <c r="D12" s="110" t="s">
        <v>117</v>
      </c>
      <c r="E12" s="156"/>
      <c r="F12" s="138"/>
      <c r="G12" s="45"/>
      <c r="H12" s="8">
        <v>168</v>
      </c>
      <c r="J12" s="9">
        <v>48</v>
      </c>
      <c r="L12" s="9"/>
      <c r="M12" s="26"/>
      <c r="N12" s="2" t="s">
        <v>8</v>
      </c>
      <c r="P12" s="3" t="s">
        <v>9</v>
      </c>
      <c r="Q12" s="6"/>
      <c r="R12" s="104"/>
      <c r="S12" s="99"/>
    </row>
    <row r="13" spans="1:22" ht="15" customHeight="1" x14ac:dyDescent="0.4">
      <c r="A13" s="79">
        <v>44297</v>
      </c>
      <c r="B13" s="155" t="s">
        <v>114</v>
      </c>
      <c r="C13" s="110"/>
      <c r="D13" s="110" t="s">
        <v>114</v>
      </c>
      <c r="E13" s="156" t="s">
        <v>114</v>
      </c>
      <c r="F13" s="22"/>
      <c r="G13" s="45"/>
      <c r="H13" s="8">
        <v>30</v>
      </c>
      <c r="J13" s="9">
        <v>30</v>
      </c>
      <c r="K13" s="25">
        <v>30</v>
      </c>
      <c r="L13" s="9"/>
      <c r="M13" s="26"/>
      <c r="N13" s="3" t="s">
        <v>9</v>
      </c>
      <c r="P13" s="3" t="s">
        <v>9</v>
      </c>
      <c r="Q13" s="3" t="s">
        <v>9</v>
      </c>
      <c r="R13" s="104"/>
      <c r="S13" s="95"/>
    </row>
    <row r="14" spans="1:22" ht="15" customHeight="1" x14ac:dyDescent="0.4">
      <c r="A14" s="79">
        <v>44298</v>
      </c>
      <c r="B14" s="136" t="s">
        <v>118</v>
      </c>
      <c r="C14" s="110"/>
      <c r="D14" s="110"/>
      <c r="E14" s="156" t="s">
        <v>114</v>
      </c>
      <c r="F14" s="22"/>
      <c r="G14" s="45"/>
      <c r="H14" s="8">
        <v>225</v>
      </c>
      <c r="K14" s="25">
        <v>40</v>
      </c>
      <c r="L14" s="9"/>
      <c r="M14" s="26"/>
      <c r="N14" s="2" t="s">
        <v>8</v>
      </c>
      <c r="Q14" s="3" t="s">
        <v>9</v>
      </c>
      <c r="R14" s="104"/>
      <c r="S14" s="95"/>
    </row>
    <row r="15" spans="1:22" ht="15" customHeight="1" x14ac:dyDescent="0.4">
      <c r="A15" s="79">
        <v>44299</v>
      </c>
      <c r="B15" s="109"/>
      <c r="C15" s="110"/>
      <c r="D15" s="110"/>
      <c r="E15" s="200" t="s">
        <v>121</v>
      </c>
      <c r="F15" s="8"/>
      <c r="K15" s="25">
        <v>60</v>
      </c>
      <c r="L15" s="9"/>
      <c r="M15" s="26"/>
      <c r="N15" s="24"/>
      <c r="P15" s="24"/>
      <c r="Q15" s="3" t="s">
        <v>9</v>
      </c>
      <c r="R15" s="104"/>
      <c r="S15" s="95"/>
    </row>
    <row r="16" spans="1:22" ht="15" customHeight="1" x14ac:dyDescent="0.4">
      <c r="A16" s="79">
        <v>44300</v>
      </c>
      <c r="B16" s="109" t="s">
        <v>112</v>
      </c>
      <c r="C16" s="110" t="s">
        <v>112</v>
      </c>
      <c r="D16" s="110" t="s">
        <v>114</v>
      </c>
      <c r="E16" s="111"/>
      <c r="F16" s="8"/>
      <c r="H16" s="8">
        <v>35</v>
      </c>
      <c r="I16" s="9">
        <v>69</v>
      </c>
      <c r="J16" s="9">
        <v>20</v>
      </c>
      <c r="N16" s="1" t="s">
        <v>7</v>
      </c>
      <c r="O16" s="1" t="s">
        <v>7</v>
      </c>
      <c r="P16" s="3" t="s">
        <v>9</v>
      </c>
      <c r="Q16" s="6"/>
      <c r="R16" s="104"/>
      <c r="S16" s="95"/>
    </row>
    <row r="17" spans="1:23" ht="15" customHeight="1" x14ac:dyDescent="0.4">
      <c r="A17" s="79">
        <v>44301</v>
      </c>
      <c r="B17" s="109" t="s">
        <v>119</v>
      </c>
      <c r="C17" s="110"/>
      <c r="D17" s="114" t="s">
        <v>120</v>
      </c>
      <c r="E17" s="118"/>
      <c r="F17" s="8"/>
      <c r="G17" s="26"/>
      <c r="H17" s="62">
        <v>15</v>
      </c>
      <c r="J17" s="9">
        <v>85</v>
      </c>
      <c r="N17" s="2" t="s">
        <v>8</v>
      </c>
      <c r="P17" s="1" t="s">
        <v>7</v>
      </c>
      <c r="Q17" s="154"/>
      <c r="R17" s="104"/>
      <c r="S17" s="100"/>
    </row>
    <row r="18" spans="1:23" ht="15" customHeight="1" x14ac:dyDescent="0.4">
      <c r="A18" s="1416">
        <v>44302</v>
      </c>
      <c r="B18" s="109"/>
      <c r="C18" s="110"/>
      <c r="D18" s="110" t="s">
        <v>122</v>
      </c>
      <c r="E18" s="118"/>
      <c r="F18" s="8"/>
      <c r="H18" s="62"/>
      <c r="J18" s="9">
        <v>15</v>
      </c>
      <c r="N18" s="161"/>
      <c r="P18" s="2" t="s">
        <v>8</v>
      </c>
      <c r="Q18" s="154"/>
      <c r="R18" s="104"/>
      <c r="S18" s="100"/>
    </row>
    <row r="19" spans="1:23" ht="27" customHeight="1" x14ac:dyDescent="0.4">
      <c r="A19" s="1417"/>
      <c r="B19" s="184"/>
      <c r="C19" s="185"/>
      <c r="D19" s="114" t="s">
        <v>120</v>
      </c>
      <c r="E19" s="194"/>
      <c r="F19" s="187"/>
      <c r="G19" s="188"/>
      <c r="H19" s="187"/>
      <c r="I19" s="189"/>
      <c r="J19" s="189">
        <v>85</v>
      </c>
      <c r="K19" s="201"/>
      <c r="L19" s="201"/>
      <c r="M19" s="202"/>
      <c r="N19" s="187"/>
      <c r="O19" s="189"/>
      <c r="P19" s="1" t="s">
        <v>7</v>
      </c>
      <c r="Q19" s="203"/>
      <c r="R19" s="204"/>
      <c r="S19" s="205"/>
    </row>
    <row r="20" spans="1:23" ht="27.75" customHeight="1" x14ac:dyDescent="0.4">
      <c r="A20" s="79">
        <v>44303</v>
      </c>
      <c r="B20" s="109"/>
      <c r="C20" s="110"/>
      <c r="D20" s="114" t="s">
        <v>123</v>
      </c>
      <c r="E20" s="107"/>
      <c r="F20" s="8"/>
      <c r="J20" s="9">
        <v>40</v>
      </c>
      <c r="N20" s="24"/>
      <c r="P20" s="126" t="s">
        <v>8</v>
      </c>
      <c r="Q20" s="6"/>
      <c r="R20" s="104"/>
      <c r="S20" s="95"/>
    </row>
    <row r="21" spans="1:23" ht="15" customHeight="1" x14ac:dyDescent="0.4">
      <c r="A21" s="79">
        <v>44304</v>
      </c>
      <c r="B21" s="109"/>
      <c r="C21" s="110"/>
      <c r="D21" s="110"/>
      <c r="E21" s="160"/>
      <c r="F21" s="8"/>
      <c r="J21" s="74"/>
      <c r="K21" s="127"/>
      <c r="L21" s="127"/>
      <c r="M21" s="139"/>
      <c r="P21" s="154"/>
      <c r="Q21" s="6"/>
      <c r="R21" s="104"/>
      <c r="S21" s="95"/>
    </row>
    <row r="22" spans="1:23" ht="15" customHeight="1" x14ac:dyDescent="0.4">
      <c r="A22" s="79">
        <v>44305</v>
      </c>
      <c r="B22" s="109" t="s">
        <v>124</v>
      </c>
      <c r="C22" s="110"/>
      <c r="D22" s="110"/>
      <c r="E22" s="111"/>
      <c r="F22" s="8"/>
      <c r="H22" s="8">
        <v>80</v>
      </c>
      <c r="J22" s="74"/>
      <c r="K22" s="127"/>
      <c r="L22" s="127"/>
      <c r="M22" s="139"/>
      <c r="N22" s="2" t="s">
        <v>8</v>
      </c>
      <c r="Q22" s="6"/>
      <c r="R22" s="104"/>
      <c r="S22" s="95"/>
    </row>
    <row r="23" spans="1:23" ht="15" customHeight="1" x14ac:dyDescent="0.4">
      <c r="A23" s="79">
        <v>44306</v>
      </c>
      <c r="B23" s="1401" t="s">
        <v>125</v>
      </c>
      <c r="C23" s="1402"/>
      <c r="D23" s="1402"/>
      <c r="E23" s="1403"/>
      <c r="F23" s="8"/>
      <c r="H23" s="8">
        <v>192</v>
      </c>
      <c r="I23" s="9">
        <v>198</v>
      </c>
      <c r="J23" s="74">
        <v>217</v>
      </c>
      <c r="K23" s="127">
        <v>205</v>
      </c>
      <c r="L23" s="127"/>
      <c r="M23" s="139"/>
      <c r="N23" s="1413" t="s">
        <v>7</v>
      </c>
      <c r="O23" s="1414"/>
      <c r="P23" s="1414"/>
      <c r="Q23" s="1414"/>
      <c r="R23" s="1415"/>
      <c r="S23" s="95"/>
    </row>
    <row r="24" spans="1:23" ht="15" customHeight="1" x14ac:dyDescent="0.4">
      <c r="A24" s="79">
        <v>44307</v>
      </c>
      <c r="B24" s="109"/>
      <c r="C24" s="110"/>
      <c r="D24" s="110"/>
      <c r="E24" s="112"/>
      <c r="F24" s="8"/>
      <c r="J24" s="74"/>
      <c r="K24" s="127"/>
      <c r="L24" s="127"/>
      <c r="M24" s="139"/>
      <c r="Q24" s="6"/>
      <c r="R24" s="104"/>
      <c r="S24" s="95"/>
    </row>
    <row r="25" spans="1:23" x14ac:dyDescent="0.4">
      <c r="A25" s="79">
        <v>44308</v>
      </c>
      <c r="B25" s="109" t="s">
        <v>112</v>
      </c>
      <c r="C25" s="110"/>
      <c r="D25" s="114"/>
      <c r="E25" s="111"/>
      <c r="F25" s="8"/>
      <c r="H25" s="8">
        <v>10</v>
      </c>
      <c r="J25" s="74"/>
      <c r="K25" s="127"/>
      <c r="L25" s="127"/>
      <c r="M25" s="139"/>
      <c r="N25" s="1" t="s">
        <v>7</v>
      </c>
      <c r="Q25" s="6"/>
      <c r="R25" s="104"/>
      <c r="S25" s="95"/>
    </row>
    <row r="26" spans="1:23" x14ac:dyDescent="0.4">
      <c r="A26" s="79">
        <v>44309</v>
      </c>
      <c r="B26" s="109" t="s">
        <v>127</v>
      </c>
      <c r="C26" s="114" t="s">
        <v>126</v>
      </c>
      <c r="D26" s="109" t="s">
        <v>127</v>
      </c>
      <c r="E26" s="109" t="s">
        <v>127</v>
      </c>
      <c r="F26" s="8"/>
      <c r="H26" s="8">
        <v>15</v>
      </c>
      <c r="I26" s="9">
        <v>194</v>
      </c>
      <c r="J26" s="74">
        <v>18</v>
      </c>
      <c r="K26" s="127">
        <v>17</v>
      </c>
      <c r="L26" s="127"/>
      <c r="M26" s="139"/>
      <c r="N26" s="1418" t="s">
        <v>7</v>
      </c>
      <c r="O26" s="1419"/>
      <c r="P26" s="1419"/>
      <c r="Q26" s="1419"/>
      <c r="R26" s="1420"/>
      <c r="S26" s="95"/>
    </row>
    <row r="27" spans="1:23" ht="15" customHeight="1" x14ac:dyDescent="0.4">
      <c r="A27" s="79">
        <v>44310</v>
      </c>
      <c r="B27" s="1401" t="s">
        <v>66</v>
      </c>
      <c r="C27" s="1402"/>
      <c r="D27" s="1402"/>
      <c r="E27" s="1403"/>
      <c r="F27" s="8"/>
      <c r="H27" s="8">
        <v>160</v>
      </c>
      <c r="I27" s="9">
        <v>95</v>
      </c>
      <c r="J27" s="74">
        <v>145</v>
      </c>
      <c r="K27" s="127">
        <v>75</v>
      </c>
      <c r="L27" s="127"/>
      <c r="M27" s="139"/>
      <c r="N27" s="1418" t="s">
        <v>7</v>
      </c>
      <c r="O27" s="1419"/>
      <c r="P27" s="1419"/>
      <c r="Q27" s="1419"/>
      <c r="R27" s="1420"/>
      <c r="S27" s="95"/>
    </row>
    <row r="28" spans="1:23" ht="15" customHeight="1" x14ac:dyDescent="0.4">
      <c r="A28" s="79">
        <v>44311</v>
      </c>
      <c r="B28" s="121"/>
      <c r="C28" s="114"/>
      <c r="D28" s="114"/>
      <c r="E28" s="111"/>
      <c r="F28" s="8"/>
      <c r="M28" s="139"/>
      <c r="P28" s="24"/>
      <c r="Q28" s="6"/>
      <c r="R28" s="104"/>
      <c r="S28" s="95"/>
      <c r="V28" s="20"/>
      <c r="W28" s="20"/>
    </row>
    <row r="29" spans="1:23" ht="15" customHeight="1" x14ac:dyDescent="0.4">
      <c r="A29" s="79">
        <v>44312</v>
      </c>
      <c r="B29" s="109"/>
      <c r="C29" s="114"/>
      <c r="D29" s="114"/>
      <c r="E29" s="111"/>
      <c r="F29" s="8"/>
      <c r="M29" s="139"/>
      <c r="O29" s="24"/>
      <c r="P29" s="24"/>
      <c r="Q29" s="6"/>
      <c r="R29" s="103"/>
      <c r="S29" s="95"/>
    </row>
    <row r="30" spans="1:23" ht="28.5" customHeight="1" x14ac:dyDescent="0.4">
      <c r="A30" s="1382">
        <v>44313</v>
      </c>
      <c r="B30" s="152" t="s">
        <v>128</v>
      </c>
      <c r="C30" s="114"/>
      <c r="D30" s="114" t="s">
        <v>129</v>
      </c>
      <c r="E30" s="137"/>
      <c r="F30" s="8"/>
      <c r="H30" s="8">
        <v>90</v>
      </c>
      <c r="J30" s="9">
        <v>420</v>
      </c>
      <c r="K30" s="25">
        <v>420</v>
      </c>
      <c r="M30" s="139"/>
      <c r="N30" s="2" t="s">
        <v>8</v>
      </c>
      <c r="O30" s="24"/>
      <c r="P30" s="2" t="s">
        <v>8</v>
      </c>
      <c r="Q30" s="6"/>
      <c r="R30" s="103"/>
      <c r="S30" s="95"/>
    </row>
    <row r="31" spans="1:23" ht="15" customHeight="1" x14ac:dyDescent="0.4">
      <c r="A31" s="1383"/>
      <c r="B31" s="109" t="s">
        <v>127</v>
      </c>
      <c r="C31" s="109" t="s">
        <v>127</v>
      </c>
      <c r="D31" s="109" t="s">
        <v>127</v>
      </c>
      <c r="E31" s="109" t="s">
        <v>127</v>
      </c>
      <c r="F31" s="8"/>
      <c r="H31" s="8">
        <v>17</v>
      </c>
      <c r="I31" s="9">
        <v>32</v>
      </c>
      <c r="J31" s="9">
        <v>139</v>
      </c>
      <c r="K31" s="25">
        <v>45</v>
      </c>
      <c r="M31" s="139"/>
      <c r="N31" s="1" t="s">
        <v>7</v>
      </c>
      <c r="O31" s="1" t="s">
        <v>7</v>
      </c>
      <c r="P31" s="24"/>
      <c r="Q31" s="1" t="s">
        <v>7</v>
      </c>
      <c r="R31" s="103"/>
      <c r="S31" s="95"/>
    </row>
    <row r="32" spans="1:23" ht="15" customHeight="1" x14ac:dyDescent="0.4">
      <c r="A32" s="79">
        <v>44314</v>
      </c>
      <c r="B32" s="1401" t="s">
        <v>130</v>
      </c>
      <c r="C32" s="1402"/>
      <c r="D32" s="1402"/>
      <c r="E32" s="1403"/>
      <c r="F32" s="22"/>
      <c r="H32" s="8">
        <v>108</v>
      </c>
      <c r="I32" s="9">
        <v>115</v>
      </c>
      <c r="J32" s="9">
        <v>135</v>
      </c>
      <c r="K32" s="25">
        <v>120</v>
      </c>
      <c r="N32" s="1413" t="s">
        <v>7</v>
      </c>
      <c r="O32" s="1414"/>
      <c r="P32" s="1414"/>
      <c r="Q32" s="1414"/>
      <c r="R32" s="1415"/>
      <c r="S32" s="95"/>
    </row>
    <row r="33" spans="1:19" ht="15" customHeight="1" x14ac:dyDescent="0.4">
      <c r="A33" s="79">
        <v>44315</v>
      </c>
      <c r="B33" s="109"/>
      <c r="C33" s="114"/>
      <c r="D33" s="114"/>
      <c r="E33" s="110"/>
      <c r="F33" s="93"/>
      <c r="I33" s="21"/>
      <c r="N33" s="154"/>
      <c r="O33" s="154"/>
      <c r="P33" s="154"/>
      <c r="Q33" s="154"/>
      <c r="R33" s="154"/>
      <c r="S33" s="95"/>
    </row>
    <row r="34" spans="1:19" x14ac:dyDescent="0.4">
      <c r="A34" s="79">
        <v>44316</v>
      </c>
      <c r="B34" s="109"/>
      <c r="C34" s="114"/>
      <c r="D34" s="114"/>
      <c r="E34" s="111"/>
      <c r="F34" s="22"/>
      <c r="P34" s="24"/>
      <c r="Q34" s="6"/>
      <c r="R34" s="103"/>
      <c r="S34" s="95"/>
    </row>
    <row r="35" spans="1:19" ht="15" customHeight="1" x14ac:dyDescent="0.4">
      <c r="A35" s="79"/>
      <c r="B35" s="109"/>
      <c r="C35" s="180"/>
      <c r="D35" s="114"/>
      <c r="E35" s="156"/>
      <c r="F35" s="22"/>
      <c r="N35" s="181"/>
      <c r="O35" s="182"/>
      <c r="P35" s="182"/>
      <c r="Q35" s="182"/>
      <c r="R35" s="183"/>
      <c r="S35" s="95"/>
    </row>
    <row r="36" spans="1:19" x14ac:dyDescent="0.4">
      <c r="A36" s="79"/>
      <c r="B36" s="109"/>
      <c r="C36" s="110"/>
      <c r="D36" s="114"/>
      <c r="E36" s="112"/>
      <c r="F36" s="22"/>
      <c r="N36" s="24"/>
      <c r="P36" s="24"/>
      <c r="Q36" s="6"/>
      <c r="R36" s="103"/>
      <c r="S36" s="95"/>
    </row>
    <row r="37" spans="1:19" ht="15" customHeight="1" x14ac:dyDescent="0.4">
      <c r="A37" s="79"/>
      <c r="B37" s="109"/>
      <c r="C37" s="110"/>
      <c r="D37" s="110"/>
      <c r="E37" s="111"/>
      <c r="F37" s="8"/>
      <c r="O37" s="24"/>
      <c r="Q37" s="154"/>
      <c r="R37" s="105"/>
      <c r="S37" s="95"/>
    </row>
    <row r="38" spans="1:19" ht="15" customHeight="1" x14ac:dyDescent="0.4">
      <c r="A38" s="79"/>
      <c r="B38" s="109"/>
      <c r="C38" s="110"/>
      <c r="D38" s="110"/>
      <c r="E38" s="111"/>
      <c r="F38" s="8"/>
      <c r="N38" s="24"/>
      <c r="Q38" s="6"/>
      <c r="R38" s="29"/>
      <c r="S38" s="75"/>
    </row>
    <row r="39" spans="1:19" ht="15" customHeight="1" x14ac:dyDescent="0.4">
      <c r="A39" s="79"/>
      <c r="B39" s="109"/>
      <c r="C39" s="110"/>
      <c r="D39" s="110"/>
      <c r="E39" s="111"/>
      <c r="F39" s="8"/>
      <c r="P39" s="24"/>
      <c r="Q39" s="6"/>
      <c r="S39" s="75"/>
    </row>
    <row r="40" spans="1:19" ht="15" customHeight="1" x14ac:dyDescent="0.4">
      <c r="A40" s="79"/>
      <c r="B40" s="22"/>
      <c r="D40" s="110"/>
      <c r="F40" s="8"/>
      <c r="G40" s="45"/>
      <c r="N40" s="47"/>
      <c r="Q40" s="6"/>
      <c r="R40" s="47"/>
      <c r="S40" s="75"/>
    </row>
    <row r="41" spans="1:19" ht="15" customHeight="1" x14ac:dyDescent="0.4">
      <c r="A41" s="79"/>
      <c r="D41" s="110"/>
      <c r="F41" s="8"/>
      <c r="Q41" s="6"/>
      <c r="R41" s="26"/>
      <c r="S41" s="75"/>
    </row>
    <row r="42" spans="1:19" ht="15" customHeight="1" x14ac:dyDescent="0.4">
      <c r="A42" s="32"/>
      <c r="D42" s="110"/>
      <c r="F42" s="8"/>
      <c r="Q42" s="6"/>
      <c r="S42" s="75"/>
    </row>
    <row r="43" spans="1:19" ht="15" customHeight="1" x14ac:dyDescent="0.4">
      <c r="A43" s="32"/>
      <c r="F43" s="8"/>
      <c r="G43" s="45"/>
      <c r="Q43" s="6"/>
      <c r="R43" s="47"/>
      <c r="S43" s="75"/>
    </row>
    <row r="44" spans="1:19" ht="15" thickBot="1" x14ac:dyDescent="0.45">
      <c r="A44" s="34" t="s">
        <v>20</v>
      </c>
      <c r="B44" s="35"/>
      <c r="C44" s="36"/>
      <c r="D44" s="36"/>
      <c r="E44" s="38"/>
      <c r="F44" s="35">
        <f t="shared" ref="F44:M44" si="0">SUM(F3:F43)</f>
        <v>0</v>
      </c>
      <c r="G44" s="46"/>
      <c r="H44" s="35">
        <f>SUM(H3:H43)</f>
        <v>5537</v>
      </c>
      <c r="I44" s="36">
        <f t="shared" si="0"/>
        <v>703</v>
      </c>
      <c r="J44" s="36">
        <f t="shared" si="0"/>
        <v>1806</v>
      </c>
      <c r="K44" s="37">
        <f>SUM(K3:K43)</f>
        <v>1012</v>
      </c>
      <c r="L44" s="37">
        <f>SUM(L3:L43)</f>
        <v>0</v>
      </c>
      <c r="M44" s="38">
        <f t="shared" si="0"/>
        <v>0</v>
      </c>
      <c r="N44" s="35"/>
      <c r="O44" s="36"/>
      <c r="P44" s="36"/>
      <c r="Q44" s="37"/>
      <c r="R44" s="67"/>
      <c r="S44" s="76"/>
    </row>
    <row r="45" spans="1:19" ht="15" thickBot="1" x14ac:dyDescent="0.45">
      <c r="A45" s="34" t="s">
        <v>21</v>
      </c>
      <c r="B45" s="24"/>
      <c r="C45" s="24"/>
      <c r="D45" s="24"/>
      <c r="E45" s="24"/>
      <c r="F45" s="24">
        <f>F44/60</f>
        <v>0</v>
      </c>
      <c r="G45" s="24"/>
      <c r="H45" s="39">
        <f t="shared" ref="H45:M45" si="1">H44/60</f>
        <v>92.283333333333331</v>
      </c>
      <c r="I45" s="39">
        <f t="shared" si="1"/>
        <v>11.716666666666667</v>
      </c>
      <c r="J45" s="39">
        <f t="shared" si="1"/>
        <v>30.1</v>
      </c>
      <c r="K45" s="39">
        <f t="shared" si="1"/>
        <v>16.866666666666667</v>
      </c>
      <c r="L45" s="39">
        <f t="shared" si="1"/>
        <v>0</v>
      </c>
      <c r="M45" s="39">
        <f t="shared" si="1"/>
        <v>0</v>
      </c>
      <c r="N45" s="24"/>
      <c r="O45" s="24"/>
      <c r="P45" s="24"/>
      <c r="Q45" s="24"/>
    </row>
    <row r="46" spans="1:19" x14ac:dyDescent="0.4">
      <c r="A46" s="24" t="s">
        <v>41</v>
      </c>
      <c r="B46" s="24"/>
      <c r="C46" s="24"/>
      <c r="D46" s="24"/>
      <c r="E46" s="24"/>
      <c r="F46" s="24"/>
      <c r="G46" s="24"/>
      <c r="H46" s="162">
        <f>(H4+H9+H10+H11+H12+H14+H22+H30+H17)/60</f>
        <v>76.150000000000006</v>
      </c>
      <c r="I46" s="72">
        <f>(I3+I4+I36+I29)/60</f>
        <v>0</v>
      </c>
      <c r="J46" s="162">
        <f>(J18+J20+J30)/60</f>
        <v>7.916666666666667</v>
      </c>
      <c r="K46" s="162">
        <f>(K8+K17+K6+K7)/60</f>
        <v>0</v>
      </c>
      <c r="L46" s="24"/>
      <c r="M46" s="72">
        <f>(M14+M40+M43)/24</f>
        <v>0</v>
      </c>
      <c r="N46" s="24"/>
      <c r="O46" s="24"/>
      <c r="P46" s="24"/>
      <c r="Q46" s="24"/>
    </row>
    <row r="47" spans="1:19" x14ac:dyDescent="0.4">
      <c r="A47" s="24" t="s">
        <v>42</v>
      </c>
      <c r="B47" s="24"/>
      <c r="C47" s="24"/>
      <c r="D47" s="24"/>
      <c r="E47" s="24"/>
      <c r="F47" s="24"/>
      <c r="G47" s="24"/>
      <c r="H47" s="162">
        <f>(H3+H16+H23+H25+H26+H27+H31+H32)/60</f>
        <v>15.05</v>
      </c>
      <c r="I47" s="162">
        <f>(I16+I23+I26+I27+I31+I32)/60</f>
        <v>11.716666666666667</v>
      </c>
      <c r="J47" s="162">
        <f>(J4+J17+J19+J23+J26+J27+J32+J31)/60</f>
        <v>17.316666666666666</v>
      </c>
      <c r="K47" s="162">
        <f>(K23+K26+K27+K31+K32)/60</f>
        <v>7.7</v>
      </c>
      <c r="L47" s="72">
        <f>L17/24</f>
        <v>0</v>
      </c>
      <c r="M47" s="24"/>
      <c r="N47" s="24"/>
      <c r="O47" s="24"/>
      <c r="P47" s="24"/>
      <c r="Q47" s="24"/>
    </row>
    <row r="48" spans="1:19" x14ac:dyDescent="0.4">
      <c r="A48" s="24" t="s">
        <v>43</v>
      </c>
      <c r="B48" s="24"/>
      <c r="C48" s="24"/>
      <c r="D48" s="24"/>
      <c r="E48" s="24"/>
      <c r="F48" s="24"/>
      <c r="G48" s="24"/>
      <c r="H48" s="162">
        <f>(H8+H13)/60</f>
        <v>1.0833333333333333</v>
      </c>
      <c r="I48" s="72">
        <f>(I11)/24</f>
        <v>0</v>
      </c>
      <c r="J48" s="162">
        <f>(J8+J9+J12+J13+J16++J10)/60</f>
        <v>4.8666666666666663</v>
      </c>
      <c r="K48" s="162">
        <f>(K13+K14+K15)/60</f>
        <v>2.1666666666666665</v>
      </c>
      <c r="L48" s="24"/>
      <c r="M48" s="24"/>
      <c r="N48" s="24"/>
      <c r="O48" s="24"/>
      <c r="P48" s="24"/>
      <c r="Q48" s="24"/>
    </row>
    <row r="49" spans="1:19" x14ac:dyDescent="0.4">
      <c r="A49" s="24" t="s">
        <v>99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4">
      <c r="A50"/>
      <c r="B50"/>
      <c r="C50"/>
      <c r="D50"/>
      <c r="E50"/>
      <c r="F50"/>
      <c r="G50"/>
      <c r="H50"/>
      <c r="I50" s="24"/>
      <c r="J50"/>
      <c r="K50"/>
      <c r="L50"/>
      <c r="M50"/>
      <c r="N50"/>
      <c r="O50"/>
      <c r="P50"/>
      <c r="Q50"/>
      <c r="R50"/>
      <c r="S50"/>
    </row>
    <row r="51" spans="1:19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4">
      <c r="A53"/>
      <c r="B53"/>
      <c r="C53"/>
      <c r="D53"/>
      <c r="E53" s="129"/>
      <c r="F53" s="129"/>
      <c r="G53" s="20"/>
      <c r="H53" s="20"/>
      <c r="I53"/>
      <c r="J53"/>
      <c r="K53"/>
      <c r="L53"/>
      <c r="M53"/>
      <c r="N53"/>
      <c r="O53"/>
      <c r="P53"/>
      <c r="Q53"/>
      <c r="R53"/>
      <c r="S53"/>
    </row>
    <row r="54" spans="1:19" x14ac:dyDescent="0.4">
      <c r="A54"/>
      <c r="B54"/>
      <c r="C54" s="1407" t="s">
        <v>134</v>
      </c>
      <c r="D54" s="1408"/>
      <c r="E54" s="1408"/>
      <c r="F54" s="1408"/>
      <c r="G54" s="1409"/>
      <c r="H54"/>
      <c r="I54"/>
      <c r="J54"/>
      <c r="K54"/>
      <c r="L54"/>
      <c r="M54"/>
      <c r="N54"/>
      <c r="O54"/>
      <c r="P54"/>
      <c r="Q54"/>
      <c r="R54"/>
      <c r="S54"/>
    </row>
    <row r="55" spans="1:19" ht="15" thickBo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ht="15" thickBot="1" x14ac:dyDescent="0.45">
      <c r="A56"/>
      <c r="B56"/>
      <c r="C56" s="168"/>
      <c r="D56" s="168" t="s">
        <v>1</v>
      </c>
      <c r="E56" s="173" t="s">
        <v>101</v>
      </c>
      <c r="F56" s="173" t="s">
        <v>102</v>
      </c>
      <c r="G56" s="173" t="s">
        <v>103</v>
      </c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4">
      <c r="A57"/>
      <c r="B57"/>
      <c r="C57" s="176" t="s">
        <v>108</v>
      </c>
      <c r="D57" s="169">
        <f>H46</f>
        <v>76.150000000000006</v>
      </c>
      <c r="E57" s="169">
        <f t="shared" ref="E57:F59" si="2">J46</f>
        <v>7.916666666666667</v>
      </c>
      <c r="F57" s="169">
        <f t="shared" si="2"/>
        <v>0</v>
      </c>
      <c r="G57" s="207">
        <f>I46</f>
        <v>0</v>
      </c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4">
      <c r="A58"/>
      <c r="B58"/>
      <c r="C58" s="177" t="s">
        <v>109</v>
      </c>
      <c r="D58" s="170">
        <f>H47</f>
        <v>15.05</v>
      </c>
      <c r="E58" s="170">
        <f t="shared" si="2"/>
        <v>17.316666666666666</v>
      </c>
      <c r="F58" s="170">
        <f t="shared" si="2"/>
        <v>7.7</v>
      </c>
      <c r="G58" s="208">
        <f>I47</f>
        <v>11.716666666666667</v>
      </c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4">
      <c r="A59"/>
      <c r="B59"/>
      <c r="C59" s="177" t="s">
        <v>110</v>
      </c>
      <c r="D59" s="170">
        <f>H48</f>
        <v>1.0833333333333333</v>
      </c>
      <c r="E59" s="170">
        <f t="shared" si="2"/>
        <v>4.8666666666666663</v>
      </c>
      <c r="F59" s="170">
        <f t="shared" si="2"/>
        <v>2.1666666666666665</v>
      </c>
      <c r="G59" s="209">
        <f>I48</f>
        <v>0</v>
      </c>
      <c r="H59"/>
      <c r="I59"/>
      <c r="J59"/>
      <c r="K59"/>
      <c r="L59"/>
      <c r="M59"/>
      <c r="N59"/>
      <c r="O59"/>
      <c r="P59"/>
      <c r="Q59"/>
      <c r="R59"/>
      <c r="S59"/>
    </row>
    <row r="60" spans="1:19" ht="15" thickBot="1" x14ac:dyDescent="0.45">
      <c r="A60"/>
      <c r="B60"/>
      <c r="C60" s="178" t="s">
        <v>111</v>
      </c>
      <c r="D60" s="171"/>
      <c r="E60" s="171"/>
      <c r="F60" s="171"/>
      <c r="G60" s="171"/>
      <c r="H60"/>
      <c r="I60"/>
      <c r="J60"/>
      <c r="K60"/>
      <c r="L60"/>
      <c r="M60"/>
      <c r="N60"/>
      <c r="O60"/>
      <c r="P60"/>
      <c r="Q60"/>
      <c r="R60"/>
      <c r="S60"/>
    </row>
    <row r="61" spans="1:19" ht="15" thickBot="1" x14ac:dyDescent="0.45">
      <c r="A61"/>
      <c r="B61"/>
      <c r="C61" s="179" t="s">
        <v>100</v>
      </c>
      <c r="D61" s="172">
        <f>D57+D58+D59+D60</f>
        <v>92.283333333333331</v>
      </c>
      <c r="E61" s="172">
        <f>E57+E58+E59+E60</f>
        <v>30.1</v>
      </c>
      <c r="F61" s="172">
        <f>F57+F58+F59+F60</f>
        <v>9.8666666666666671</v>
      </c>
      <c r="G61" s="172">
        <f>G57+G58+G59+G60</f>
        <v>11.716666666666667</v>
      </c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4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4">
      <c r="A63"/>
      <c r="B63"/>
      <c r="C63" s="24" t="s">
        <v>106</v>
      </c>
      <c r="D63" s="167">
        <f>D57+D58+D59+E57+E58+E59+F57+F58+F59+G57+G58+G59</f>
        <v>143.96666666666664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4">
      <c r="A64"/>
      <c r="B64"/>
      <c r="C64" s="24" t="s">
        <v>107</v>
      </c>
      <c r="D64" s="154">
        <v>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customFormat="1" x14ac:dyDescent="0.4"/>
    <row r="66" customFormat="1" x14ac:dyDescent="0.4"/>
    <row r="67" customFormat="1" x14ac:dyDescent="0.4"/>
    <row r="68" customFormat="1" x14ac:dyDescent="0.4"/>
    <row r="69" customFormat="1" x14ac:dyDescent="0.4"/>
    <row r="70" customFormat="1" x14ac:dyDescent="0.4"/>
    <row r="71" customFormat="1" x14ac:dyDescent="0.4"/>
    <row r="72" customFormat="1" x14ac:dyDescent="0.4"/>
    <row r="73" customFormat="1" x14ac:dyDescent="0.4"/>
    <row r="74" customFormat="1" x14ac:dyDescent="0.4"/>
    <row r="75" customFormat="1" x14ac:dyDescent="0.4"/>
    <row r="76" customFormat="1" x14ac:dyDescent="0.4"/>
    <row r="77" customFormat="1" x14ac:dyDescent="0.4"/>
    <row r="78" customFormat="1" x14ac:dyDescent="0.4"/>
    <row r="79" customFormat="1" x14ac:dyDescent="0.4"/>
    <row r="80" customFormat="1" x14ac:dyDescent="0.4"/>
    <row r="81" customFormat="1" x14ac:dyDescent="0.4"/>
    <row r="82" customFormat="1" x14ac:dyDescent="0.4"/>
    <row r="83" customFormat="1" x14ac:dyDescent="0.4"/>
    <row r="84" customFormat="1" x14ac:dyDescent="0.4"/>
    <row r="85" customFormat="1" x14ac:dyDescent="0.4"/>
    <row r="86" customFormat="1" x14ac:dyDescent="0.4"/>
    <row r="87" customFormat="1" x14ac:dyDescent="0.4"/>
    <row r="88" customFormat="1" x14ac:dyDescent="0.4"/>
    <row r="89" customFormat="1" x14ac:dyDescent="0.4"/>
    <row r="90" customFormat="1" x14ac:dyDescent="0.4"/>
    <row r="91" customFormat="1" x14ac:dyDescent="0.4"/>
    <row r="92" customFormat="1" x14ac:dyDescent="0.4"/>
    <row r="93" customFormat="1" x14ac:dyDescent="0.4"/>
    <row r="94" customFormat="1" x14ac:dyDescent="0.4"/>
    <row r="95" customFormat="1" x14ac:dyDescent="0.4"/>
    <row r="96" customFormat="1" x14ac:dyDescent="0.4"/>
    <row r="97" customFormat="1" x14ac:dyDescent="0.4"/>
    <row r="98" customFormat="1" x14ac:dyDescent="0.4"/>
    <row r="99" customFormat="1" x14ac:dyDescent="0.4"/>
    <row r="100" customFormat="1" x14ac:dyDescent="0.4"/>
    <row r="101" customFormat="1" x14ac:dyDescent="0.4"/>
    <row r="102" customFormat="1" x14ac:dyDescent="0.4"/>
    <row r="103" customFormat="1" x14ac:dyDescent="0.4"/>
    <row r="104" customFormat="1" x14ac:dyDescent="0.4"/>
    <row r="105" customFormat="1" x14ac:dyDescent="0.4"/>
    <row r="106" customFormat="1" x14ac:dyDescent="0.4"/>
    <row r="107" customFormat="1" x14ac:dyDescent="0.4"/>
    <row r="108" customFormat="1" x14ac:dyDescent="0.4"/>
    <row r="109" customFormat="1" x14ac:dyDescent="0.4"/>
    <row r="110" customFormat="1" x14ac:dyDescent="0.4"/>
    <row r="111" customFormat="1" x14ac:dyDescent="0.4"/>
    <row r="112" customFormat="1" x14ac:dyDescent="0.4"/>
    <row r="113" customFormat="1" x14ac:dyDescent="0.4"/>
    <row r="114" customFormat="1" x14ac:dyDescent="0.4"/>
    <row r="115" customFormat="1" x14ac:dyDescent="0.4"/>
    <row r="116" customFormat="1" x14ac:dyDescent="0.4"/>
    <row r="117" customFormat="1" x14ac:dyDescent="0.4"/>
    <row r="118" customFormat="1" x14ac:dyDescent="0.4"/>
    <row r="119" customFormat="1" x14ac:dyDescent="0.4"/>
    <row r="120" customFormat="1" x14ac:dyDescent="0.4"/>
    <row r="121" customFormat="1" x14ac:dyDescent="0.4"/>
    <row r="122" customFormat="1" x14ac:dyDescent="0.4"/>
    <row r="123" customFormat="1" x14ac:dyDescent="0.4"/>
    <row r="124" customFormat="1" x14ac:dyDescent="0.4"/>
    <row r="125" customFormat="1" x14ac:dyDescent="0.4"/>
    <row r="126" customFormat="1" x14ac:dyDescent="0.4"/>
    <row r="127" customFormat="1" x14ac:dyDescent="0.4"/>
    <row r="128" customFormat="1" x14ac:dyDescent="0.4"/>
    <row r="129" customFormat="1" x14ac:dyDescent="0.4"/>
    <row r="130" customFormat="1" x14ac:dyDescent="0.4"/>
    <row r="131" customFormat="1" x14ac:dyDescent="0.4"/>
    <row r="132" customFormat="1" x14ac:dyDescent="0.4"/>
    <row r="133" customFormat="1" x14ac:dyDescent="0.4"/>
    <row r="134" customFormat="1" x14ac:dyDescent="0.4"/>
    <row r="135" customFormat="1" x14ac:dyDescent="0.4"/>
    <row r="136" customFormat="1" x14ac:dyDescent="0.4"/>
    <row r="137" customFormat="1" x14ac:dyDescent="0.4"/>
    <row r="138" customFormat="1" x14ac:dyDescent="0.4"/>
    <row r="139" customFormat="1" x14ac:dyDescent="0.4"/>
    <row r="140" customFormat="1" x14ac:dyDescent="0.4"/>
    <row r="141" customFormat="1" x14ac:dyDescent="0.4"/>
    <row r="142" customFormat="1" x14ac:dyDescent="0.4"/>
    <row r="143" customFormat="1" x14ac:dyDescent="0.4"/>
    <row r="144" customFormat="1" x14ac:dyDescent="0.4"/>
    <row r="145" customFormat="1" x14ac:dyDescent="0.4"/>
    <row r="146" customFormat="1" x14ac:dyDescent="0.4"/>
    <row r="147" customFormat="1" x14ac:dyDescent="0.4"/>
    <row r="148" customFormat="1" x14ac:dyDescent="0.4"/>
    <row r="149" customFormat="1" x14ac:dyDescent="0.4"/>
    <row r="150" customFormat="1" x14ac:dyDescent="0.4"/>
    <row r="151" customFormat="1" x14ac:dyDescent="0.4"/>
    <row r="152" customFormat="1" x14ac:dyDescent="0.4"/>
    <row r="153" customFormat="1" x14ac:dyDescent="0.4"/>
    <row r="154" customFormat="1" x14ac:dyDescent="0.4"/>
    <row r="155" customFormat="1" x14ac:dyDescent="0.4"/>
    <row r="156" customFormat="1" x14ac:dyDescent="0.4"/>
    <row r="157" customFormat="1" x14ac:dyDescent="0.4"/>
    <row r="158" customFormat="1" x14ac:dyDescent="0.4"/>
    <row r="159" customFormat="1" x14ac:dyDescent="0.4"/>
    <row r="160" customFormat="1" x14ac:dyDescent="0.4"/>
    <row r="161" customFormat="1" x14ac:dyDescent="0.4"/>
    <row r="162" customFormat="1" x14ac:dyDescent="0.4"/>
    <row r="163" customFormat="1" x14ac:dyDescent="0.4"/>
    <row r="164" customFormat="1" x14ac:dyDescent="0.4"/>
    <row r="165" customFormat="1" x14ac:dyDescent="0.4"/>
    <row r="166" customFormat="1" x14ac:dyDescent="0.4"/>
    <row r="167" customFormat="1" x14ac:dyDescent="0.4"/>
    <row r="168" customFormat="1" x14ac:dyDescent="0.4"/>
    <row r="169" customFormat="1" x14ac:dyDescent="0.4"/>
    <row r="170" customFormat="1" x14ac:dyDescent="0.4"/>
    <row r="171" customFormat="1" x14ac:dyDescent="0.4"/>
    <row r="172" customFormat="1" x14ac:dyDescent="0.4"/>
    <row r="173" customFormat="1" x14ac:dyDescent="0.4"/>
    <row r="174" customFormat="1" x14ac:dyDescent="0.4"/>
    <row r="175" customFormat="1" x14ac:dyDescent="0.4"/>
    <row r="176" customFormat="1" x14ac:dyDescent="0.4"/>
    <row r="177" customFormat="1" x14ac:dyDescent="0.4"/>
    <row r="178" customFormat="1" x14ac:dyDescent="0.4"/>
    <row r="179" customFormat="1" x14ac:dyDescent="0.4"/>
    <row r="180" customFormat="1" x14ac:dyDescent="0.4"/>
    <row r="181" customFormat="1" x14ac:dyDescent="0.4"/>
    <row r="182" customFormat="1" x14ac:dyDescent="0.4"/>
    <row r="183" customFormat="1" x14ac:dyDescent="0.4"/>
    <row r="184" customFormat="1" x14ac:dyDescent="0.4"/>
    <row r="185" customFormat="1" x14ac:dyDescent="0.4"/>
    <row r="186" customFormat="1" x14ac:dyDescent="0.4"/>
    <row r="187" customFormat="1" x14ac:dyDescent="0.4"/>
    <row r="188" customFormat="1" x14ac:dyDescent="0.4"/>
    <row r="189" customFormat="1" x14ac:dyDescent="0.4"/>
    <row r="190" customFormat="1" x14ac:dyDescent="0.4"/>
    <row r="191" customFormat="1" x14ac:dyDescent="0.4"/>
    <row r="192" customFormat="1" x14ac:dyDescent="0.4"/>
    <row r="193" customFormat="1" x14ac:dyDescent="0.4"/>
    <row r="194" customFormat="1" x14ac:dyDescent="0.4"/>
    <row r="195" customFormat="1" x14ac:dyDescent="0.4"/>
    <row r="196" customFormat="1" x14ac:dyDescent="0.4"/>
    <row r="197" customFormat="1" x14ac:dyDescent="0.4"/>
    <row r="198" customFormat="1" x14ac:dyDescent="0.4"/>
    <row r="199" customFormat="1" x14ac:dyDescent="0.4"/>
    <row r="200" customFormat="1" x14ac:dyDescent="0.4"/>
    <row r="201" customFormat="1" x14ac:dyDescent="0.4"/>
    <row r="202" customFormat="1" x14ac:dyDescent="0.4"/>
    <row r="203" customFormat="1" x14ac:dyDescent="0.4"/>
    <row r="204" customFormat="1" x14ac:dyDescent="0.4"/>
    <row r="205" customFormat="1" x14ac:dyDescent="0.4"/>
    <row r="206" customFormat="1" x14ac:dyDescent="0.4"/>
    <row r="207" customFormat="1" x14ac:dyDescent="0.4"/>
    <row r="208" customFormat="1" x14ac:dyDescent="0.4"/>
    <row r="209" customFormat="1" x14ac:dyDescent="0.4"/>
    <row r="210" customFormat="1" x14ac:dyDescent="0.4"/>
    <row r="211" customFormat="1" x14ac:dyDescent="0.4"/>
    <row r="212" customFormat="1" x14ac:dyDescent="0.4"/>
    <row r="213" customFormat="1" x14ac:dyDescent="0.4"/>
    <row r="214" customFormat="1" x14ac:dyDescent="0.4"/>
    <row r="215" customFormat="1" x14ac:dyDescent="0.4"/>
    <row r="216" customFormat="1" x14ac:dyDescent="0.4"/>
    <row r="217" customFormat="1" x14ac:dyDescent="0.4"/>
    <row r="218" customFormat="1" x14ac:dyDescent="0.4"/>
    <row r="219" customFormat="1" x14ac:dyDescent="0.4"/>
    <row r="220" customFormat="1" x14ac:dyDescent="0.4"/>
    <row r="221" customFormat="1" x14ac:dyDescent="0.4"/>
    <row r="222" customFormat="1" x14ac:dyDescent="0.4"/>
    <row r="223" customFormat="1" x14ac:dyDescent="0.4"/>
    <row r="224" customFormat="1" x14ac:dyDescent="0.4"/>
    <row r="225" customFormat="1" x14ac:dyDescent="0.4"/>
    <row r="226" customFormat="1" x14ac:dyDescent="0.4"/>
    <row r="227" customFormat="1" x14ac:dyDescent="0.4"/>
    <row r="228" customFormat="1" x14ac:dyDescent="0.4"/>
    <row r="229" customFormat="1" x14ac:dyDescent="0.4"/>
    <row r="230" customFormat="1" x14ac:dyDescent="0.4"/>
    <row r="231" customFormat="1" x14ac:dyDescent="0.4"/>
    <row r="232" customFormat="1" x14ac:dyDescent="0.4"/>
    <row r="233" customFormat="1" x14ac:dyDescent="0.4"/>
    <row r="234" customFormat="1" x14ac:dyDescent="0.4"/>
    <row r="235" customFormat="1" x14ac:dyDescent="0.4"/>
    <row r="236" customFormat="1" x14ac:dyDescent="0.4"/>
    <row r="237" customFormat="1" x14ac:dyDescent="0.4"/>
    <row r="238" customFormat="1" x14ac:dyDescent="0.4"/>
    <row r="239" customFormat="1" x14ac:dyDescent="0.4"/>
    <row r="240" customFormat="1" x14ac:dyDescent="0.4"/>
    <row r="241" customFormat="1" x14ac:dyDescent="0.4"/>
    <row r="242" customFormat="1" x14ac:dyDescent="0.4"/>
    <row r="243" customFormat="1" x14ac:dyDescent="0.4"/>
    <row r="244" customFormat="1" x14ac:dyDescent="0.4"/>
    <row r="245" customFormat="1" x14ac:dyDescent="0.4"/>
    <row r="246" customFormat="1" x14ac:dyDescent="0.4"/>
    <row r="247" customFormat="1" x14ac:dyDescent="0.4"/>
    <row r="248" customFormat="1" x14ac:dyDescent="0.4"/>
    <row r="249" customFormat="1" x14ac:dyDescent="0.4"/>
    <row r="250" customFormat="1" x14ac:dyDescent="0.4"/>
    <row r="251" customFormat="1" x14ac:dyDescent="0.4"/>
    <row r="252" customFormat="1" x14ac:dyDescent="0.4"/>
    <row r="253" customFormat="1" x14ac:dyDescent="0.4"/>
    <row r="254" customFormat="1" x14ac:dyDescent="0.4"/>
    <row r="255" customFormat="1" x14ac:dyDescent="0.4"/>
    <row r="256" customFormat="1" x14ac:dyDescent="0.4"/>
    <row r="257" customFormat="1" x14ac:dyDescent="0.4"/>
    <row r="258" customFormat="1" x14ac:dyDescent="0.4"/>
    <row r="259" customFormat="1" x14ac:dyDescent="0.4"/>
    <row r="260" customFormat="1" x14ac:dyDescent="0.4"/>
    <row r="261" customFormat="1" x14ac:dyDescent="0.4"/>
    <row r="262" customFormat="1" x14ac:dyDescent="0.4"/>
    <row r="263" customFormat="1" x14ac:dyDescent="0.4"/>
    <row r="264" customFormat="1" x14ac:dyDescent="0.4"/>
    <row r="265" customFormat="1" x14ac:dyDescent="0.4"/>
    <row r="266" customFormat="1" x14ac:dyDescent="0.4"/>
    <row r="267" customFormat="1" x14ac:dyDescent="0.4"/>
    <row r="268" customFormat="1" x14ac:dyDescent="0.4"/>
    <row r="269" customFormat="1" x14ac:dyDescent="0.4"/>
    <row r="270" customFormat="1" x14ac:dyDescent="0.4"/>
    <row r="271" customFormat="1" x14ac:dyDescent="0.4"/>
    <row r="272" customFormat="1" x14ac:dyDescent="0.4"/>
    <row r="273" customFormat="1" x14ac:dyDescent="0.4"/>
    <row r="274" customFormat="1" x14ac:dyDescent="0.4"/>
    <row r="275" customFormat="1" x14ac:dyDescent="0.4"/>
    <row r="276" customFormat="1" x14ac:dyDescent="0.4"/>
    <row r="277" customFormat="1" x14ac:dyDescent="0.4"/>
    <row r="278" customFormat="1" x14ac:dyDescent="0.4"/>
    <row r="279" customFormat="1" x14ac:dyDescent="0.4"/>
    <row r="280" customFormat="1" x14ac:dyDescent="0.4"/>
    <row r="281" customFormat="1" x14ac:dyDescent="0.4"/>
    <row r="282" customFormat="1" x14ac:dyDescent="0.4"/>
    <row r="283" customFormat="1" x14ac:dyDescent="0.4"/>
    <row r="284" customFormat="1" x14ac:dyDescent="0.4"/>
    <row r="285" customFormat="1" x14ac:dyDescent="0.4"/>
    <row r="286" customFormat="1" x14ac:dyDescent="0.4"/>
    <row r="287" customFormat="1" x14ac:dyDescent="0.4"/>
    <row r="288" customFormat="1" x14ac:dyDescent="0.4"/>
  </sheetData>
  <mergeCells count="13">
    <mergeCell ref="C54:G54"/>
    <mergeCell ref="B1:E1"/>
    <mergeCell ref="H1:M1"/>
    <mergeCell ref="N1:Q1"/>
    <mergeCell ref="A18:A19"/>
    <mergeCell ref="B23:E23"/>
    <mergeCell ref="N23:R23"/>
    <mergeCell ref="N26:R26"/>
    <mergeCell ref="B27:E27"/>
    <mergeCell ref="N27:R27"/>
    <mergeCell ref="A30:A31"/>
    <mergeCell ref="B32:E32"/>
    <mergeCell ref="N32:R32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99"/>
  <sheetViews>
    <sheetView zoomScale="60" zoomScaleNormal="60" workbookViewId="0">
      <pane xSplit="1" topLeftCell="B1" activePane="topRight" state="frozen"/>
      <selection pane="topRight" activeCell="G36" sqref="G36"/>
    </sheetView>
  </sheetViews>
  <sheetFormatPr defaultRowHeight="14.6" x14ac:dyDescent="0.4"/>
  <cols>
    <col min="1" max="1" width="22.69140625" style="4" customWidth="1"/>
    <col min="2" max="2" width="28" style="8" customWidth="1"/>
    <col min="3" max="4" width="30.3046875" style="9" customWidth="1"/>
    <col min="5" max="5" width="22.3828125" style="10" customWidth="1"/>
    <col min="6" max="6" width="19" style="43" customWidth="1"/>
    <col min="7" max="7" width="17.15234375" style="43" customWidth="1"/>
    <col min="8" max="8" width="11.53515625" style="8" bestFit="1" customWidth="1"/>
    <col min="9" max="9" width="16.69140625" style="9" customWidth="1"/>
    <col min="10" max="10" width="13.69140625" style="9" customWidth="1"/>
    <col min="11" max="12" width="9.84375" style="25" customWidth="1"/>
    <col min="13" max="13" width="10.15234375" style="10" bestFit="1" customWidth="1"/>
    <col min="14" max="14" width="9.84375" style="8" bestFit="1" customWidth="1"/>
    <col min="15" max="15" width="10.15234375" style="9" bestFit="1" customWidth="1"/>
    <col min="16" max="16" width="9.84375" style="9" bestFit="1" customWidth="1"/>
    <col min="17" max="17" width="10.15234375" style="10" bestFit="1" customWidth="1"/>
    <col min="18" max="19" width="10.15234375" style="24" customWidth="1"/>
  </cols>
  <sheetData>
    <row r="1" spans="1:22" ht="15.45" thickTop="1" thickBot="1" x14ac:dyDescent="0.45">
      <c r="A1" s="77"/>
      <c r="B1" s="1394" t="s">
        <v>3</v>
      </c>
      <c r="C1" s="1395"/>
      <c r="D1" s="1395"/>
      <c r="E1" s="1397"/>
      <c r="F1" s="61"/>
      <c r="G1" s="61"/>
      <c r="H1" s="1394" t="s">
        <v>6</v>
      </c>
      <c r="I1" s="1395"/>
      <c r="J1" s="1395"/>
      <c r="K1" s="1396"/>
      <c r="L1" s="1396"/>
      <c r="M1" s="1397"/>
      <c r="N1" s="1398" t="s">
        <v>13</v>
      </c>
      <c r="O1" s="1399"/>
      <c r="P1" s="1399"/>
      <c r="Q1" s="1400"/>
      <c r="R1" s="61"/>
      <c r="S1" s="78"/>
    </row>
    <row r="2" spans="1:22" ht="15.45" thickTop="1" thickBot="1" x14ac:dyDescent="0.45">
      <c r="A2" s="81" t="s">
        <v>0</v>
      </c>
      <c r="B2" s="82" t="s">
        <v>1</v>
      </c>
      <c r="C2" s="83" t="s">
        <v>4</v>
      </c>
      <c r="D2" s="83" t="s">
        <v>2</v>
      </c>
      <c r="E2" s="84" t="s">
        <v>5</v>
      </c>
      <c r="F2" s="85" t="s">
        <v>26</v>
      </c>
      <c r="G2" s="85" t="s">
        <v>19</v>
      </c>
      <c r="H2" s="86" t="s">
        <v>1</v>
      </c>
      <c r="I2" s="87" t="s">
        <v>4</v>
      </c>
      <c r="J2" s="87" t="s">
        <v>2</v>
      </c>
      <c r="K2" s="87" t="s">
        <v>5</v>
      </c>
      <c r="L2" s="88" t="s">
        <v>26</v>
      </c>
      <c r="M2" s="89" t="s">
        <v>19</v>
      </c>
      <c r="N2" s="82" t="s">
        <v>1</v>
      </c>
      <c r="O2" s="83" t="s">
        <v>4</v>
      </c>
      <c r="P2" s="83" t="s">
        <v>2</v>
      </c>
      <c r="Q2" s="90" t="s">
        <v>5</v>
      </c>
      <c r="R2" s="101" t="s">
        <v>19</v>
      </c>
      <c r="S2" s="91" t="s">
        <v>26</v>
      </c>
    </row>
    <row r="3" spans="1:22" ht="22.5" customHeight="1" thickTop="1" x14ac:dyDescent="0.4">
      <c r="A3" s="79">
        <v>44317</v>
      </c>
      <c r="B3" s="106"/>
      <c r="C3" s="107"/>
      <c r="D3" s="107"/>
      <c r="E3" s="108"/>
      <c r="F3" s="92"/>
      <c r="G3" s="48"/>
      <c r="H3" s="27"/>
      <c r="I3" s="28"/>
      <c r="J3" s="28"/>
      <c r="K3" s="28"/>
      <c r="L3" s="94"/>
      <c r="M3" s="29"/>
      <c r="N3" s="161"/>
      <c r="O3" s="211"/>
      <c r="P3" s="161"/>
      <c r="Q3" s="212"/>
      <c r="R3" s="213"/>
      <c r="S3" s="98"/>
      <c r="U3" s="2" t="s">
        <v>8</v>
      </c>
      <c r="V3" t="s">
        <v>10</v>
      </c>
    </row>
    <row r="4" spans="1:22" ht="22.5" customHeight="1" x14ac:dyDescent="0.4">
      <c r="A4" s="79">
        <v>44318</v>
      </c>
      <c r="B4" s="227"/>
      <c r="C4" s="110"/>
      <c r="D4" s="110"/>
      <c r="E4" s="111"/>
      <c r="F4" s="8"/>
      <c r="K4" s="9"/>
      <c r="L4" s="9"/>
      <c r="M4" s="26"/>
      <c r="N4" s="161"/>
      <c r="O4" s="214"/>
      <c r="P4" s="161"/>
      <c r="Q4" s="214"/>
      <c r="R4" s="215"/>
      <c r="S4" s="98"/>
      <c r="U4" s="1" t="s">
        <v>7</v>
      </c>
      <c r="V4" t="s">
        <v>11</v>
      </c>
    </row>
    <row r="5" spans="1:22" ht="36.75" customHeight="1" x14ac:dyDescent="0.4">
      <c r="A5" s="79">
        <v>44319</v>
      </c>
      <c r="B5" s="228"/>
      <c r="C5" s="185"/>
      <c r="D5" s="210" t="s">
        <v>131</v>
      </c>
      <c r="E5" s="186"/>
      <c r="F5" s="187"/>
      <c r="G5" s="188"/>
      <c r="H5" s="187"/>
      <c r="I5" s="189"/>
      <c r="J5" s="189">
        <v>85</v>
      </c>
      <c r="K5" s="189"/>
      <c r="L5" s="189"/>
      <c r="M5" s="190"/>
      <c r="N5" s="69"/>
      <c r="O5" s="216"/>
      <c r="P5" s="59" t="s">
        <v>7</v>
      </c>
      <c r="Q5" s="69"/>
      <c r="R5" s="215"/>
      <c r="S5" s="193"/>
      <c r="U5" s="3" t="s">
        <v>9</v>
      </c>
      <c r="V5" t="s">
        <v>12</v>
      </c>
    </row>
    <row r="6" spans="1:22" ht="24.75" customHeight="1" x14ac:dyDescent="0.4">
      <c r="A6" s="79">
        <v>44320</v>
      </c>
      <c r="B6" s="232" t="s">
        <v>137</v>
      </c>
      <c r="C6" s="185"/>
      <c r="D6" s="185"/>
      <c r="E6" s="194"/>
      <c r="F6" s="187"/>
      <c r="G6" s="188"/>
      <c r="H6" s="187">
        <v>10</v>
      </c>
      <c r="I6" s="189"/>
      <c r="J6" s="189"/>
      <c r="K6" s="189"/>
      <c r="L6" s="189"/>
      <c r="M6" s="190"/>
      <c r="N6" s="157" t="s">
        <v>9</v>
      </c>
      <c r="O6" s="161"/>
      <c r="P6" s="161"/>
      <c r="Q6" s="161"/>
      <c r="R6" s="161"/>
      <c r="S6" s="193"/>
      <c r="U6" s="158" t="s">
        <v>71</v>
      </c>
      <c r="V6" s="131" t="s">
        <v>51</v>
      </c>
    </row>
    <row r="7" spans="1:22" ht="18.75" customHeight="1" x14ac:dyDescent="0.4">
      <c r="A7" s="79">
        <v>44321</v>
      </c>
      <c r="B7" s="232" t="s">
        <v>137</v>
      </c>
      <c r="C7" s="185"/>
      <c r="D7" s="185"/>
      <c r="E7" s="225" t="s">
        <v>127</v>
      </c>
      <c r="F7" s="198"/>
      <c r="G7" s="199"/>
      <c r="H7" s="187">
        <v>10</v>
      </c>
      <c r="I7" s="189"/>
      <c r="J7" s="189"/>
      <c r="K7" s="189">
        <v>20</v>
      </c>
      <c r="L7" s="189"/>
      <c r="M7" s="190"/>
      <c r="N7" s="157" t="s">
        <v>9</v>
      </c>
      <c r="O7" s="161"/>
      <c r="P7" s="161"/>
      <c r="Q7" s="59" t="s">
        <v>7</v>
      </c>
      <c r="R7" s="161"/>
      <c r="S7" s="193"/>
    </row>
    <row r="8" spans="1:22" ht="20.25" customHeight="1" x14ac:dyDescent="0.4">
      <c r="A8" s="79">
        <v>44322</v>
      </c>
      <c r="B8" s="229"/>
      <c r="C8" s="110"/>
      <c r="D8" s="110"/>
      <c r="E8" s="112"/>
      <c r="F8" s="22"/>
      <c r="G8" s="44"/>
      <c r="K8" s="9"/>
      <c r="L8" s="9"/>
      <c r="M8" s="26"/>
      <c r="N8" s="161"/>
      <c r="O8" s="214"/>
      <c r="P8" s="161"/>
      <c r="Q8" s="161"/>
      <c r="R8" s="217"/>
      <c r="S8" s="98"/>
    </row>
    <row r="9" spans="1:22" ht="21" customHeight="1" x14ac:dyDescent="0.4">
      <c r="A9" s="1382">
        <v>44323</v>
      </c>
      <c r="B9" s="232" t="s">
        <v>137</v>
      </c>
      <c r="C9" s="110"/>
      <c r="D9" s="223" t="s">
        <v>45</v>
      </c>
      <c r="E9" s="156"/>
      <c r="F9" s="128"/>
      <c r="H9" s="8">
        <v>20</v>
      </c>
      <c r="J9" s="9">
        <v>360</v>
      </c>
      <c r="K9" s="9"/>
      <c r="L9" s="9"/>
      <c r="M9" s="26"/>
      <c r="N9" s="157" t="s">
        <v>9</v>
      </c>
      <c r="O9" s="216"/>
      <c r="P9" s="59" t="s">
        <v>7</v>
      </c>
      <c r="Q9" s="214"/>
      <c r="R9" s="217"/>
      <c r="S9" s="99"/>
    </row>
    <row r="10" spans="1:22" ht="17.25" customHeight="1" x14ac:dyDescent="0.4">
      <c r="A10" s="1383"/>
      <c r="B10" s="230"/>
      <c r="C10" s="110"/>
      <c r="D10" s="223" t="s">
        <v>45</v>
      </c>
      <c r="E10" s="156"/>
      <c r="F10" s="8"/>
      <c r="J10" s="9">
        <v>360</v>
      </c>
      <c r="K10" s="9"/>
      <c r="L10" s="9"/>
      <c r="M10" s="26"/>
      <c r="N10" s="161"/>
      <c r="O10" s="216"/>
      <c r="P10" s="2" t="s">
        <v>8</v>
      </c>
      <c r="Q10" s="214"/>
      <c r="R10" s="217"/>
      <c r="S10" s="95"/>
    </row>
    <row r="11" spans="1:22" ht="18.75" customHeight="1" x14ac:dyDescent="0.4">
      <c r="A11" s="1382">
        <v>44324</v>
      </c>
      <c r="B11" s="230"/>
      <c r="C11" s="110"/>
      <c r="D11" s="223" t="s">
        <v>45</v>
      </c>
      <c r="E11" s="156"/>
      <c r="F11" s="138"/>
      <c r="G11" s="45"/>
      <c r="J11" s="9">
        <v>55</v>
      </c>
      <c r="K11" s="9"/>
      <c r="L11" s="9"/>
      <c r="M11" s="26"/>
      <c r="N11" s="161"/>
      <c r="O11" s="216"/>
      <c r="P11" s="59" t="s">
        <v>7</v>
      </c>
      <c r="Q11" s="214"/>
      <c r="R11" s="217"/>
      <c r="S11" s="99"/>
    </row>
    <row r="12" spans="1:22" ht="15" customHeight="1" x14ac:dyDescent="0.4">
      <c r="A12" s="1433"/>
      <c r="B12" s="230"/>
      <c r="C12" s="110"/>
      <c r="D12" s="223" t="s">
        <v>45</v>
      </c>
      <c r="E12" s="156"/>
      <c r="F12" s="138"/>
      <c r="G12" s="45"/>
      <c r="J12" s="9">
        <v>55</v>
      </c>
      <c r="L12" s="9"/>
      <c r="M12" s="26"/>
      <c r="N12" s="161"/>
      <c r="O12" s="216"/>
      <c r="P12" s="2" t="s">
        <v>8</v>
      </c>
      <c r="Q12" s="214"/>
      <c r="R12" s="217"/>
      <c r="S12" s="99"/>
    </row>
    <row r="13" spans="1:22" ht="59.25" customHeight="1" x14ac:dyDescent="0.4">
      <c r="A13" s="1433"/>
      <c r="B13" s="231"/>
      <c r="C13" s="110"/>
      <c r="D13" s="224" t="s">
        <v>132</v>
      </c>
      <c r="E13" s="156"/>
      <c r="F13" s="22"/>
      <c r="G13" s="45"/>
      <c r="J13" s="9">
        <v>19</v>
      </c>
      <c r="L13" s="9"/>
      <c r="M13" s="26"/>
      <c r="N13" s="161"/>
      <c r="O13" s="216"/>
      <c r="P13" s="126" t="s">
        <v>8</v>
      </c>
      <c r="Q13" s="161"/>
      <c r="R13" s="217"/>
      <c r="S13" s="95"/>
    </row>
    <row r="14" spans="1:22" ht="18.75" customHeight="1" x14ac:dyDescent="0.4">
      <c r="A14" s="1383"/>
      <c r="B14" s="230"/>
      <c r="C14" s="110"/>
      <c r="D14" s="223" t="s">
        <v>127</v>
      </c>
      <c r="E14" s="223" t="s">
        <v>127</v>
      </c>
      <c r="F14" s="22"/>
      <c r="G14" s="45"/>
      <c r="J14" s="9">
        <v>37</v>
      </c>
      <c r="K14" s="25">
        <v>33</v>
      </c>
      <c r="L14" s="9"/>
      <c r="M14" s="26"/>
      <c r="N14" s="161"/>
      <c r="O14" s="216"/>
      <c r="P14" s="59" t="s">
        <v>7</v>
      </c>
      <c r="Q14" s="59" t="s">
        <v>7</v>
      </c>
      <c r="R14" s="217"/>
      <c r="S14" s="95"/>
    </row>
    <row r="15" spans="1:22" ht="21" customHeight="1" x14ac:dyDescent="0.4">
      <c r="A15" s="79">
        <v>44325</v>
      </c>
      <c r="B15" s="229"/>
      <c r="C15" s="110"/>
      <c r="D15" s="110"/>
      <c r="E15" s="200"/>
      <c r="F15" s="8"/>
      <c r="L15" s="9"/>
      <c r="M15" s="26"/>
      <c r="N15" s="69"/>
      <c r="O15" s="216"/>
      <c r="P15" s="69"/>
      <c r="Q15" s="161"/>
      <c r="R15" s="217"/>
      <c r="S15" s="95"/>
    </row>
    <row r="16" spans="1:22" ht="45.75" customHeight="1" x14ac:dyDescent="0.4">
      <c r="A16" s="79">
        <v>44326</v>
      </c>
      <c r="B16" s="109"/>
      <c r="C16" s="110"/>
      <c r="D16" s="224" t="s">
        <v>135</v>
      </c>
      <c r="E16" s="111"/>
      <c r="F16" s="8"/>
      <c r="J16" s="9">
        <v>374</v>
      </c>
      <c r="N16" s="161"/>
      <c r="O16" s="161"/>
      <c r="P16" s="2" t="s">
        <v>8</v>
      </c>
      <c r="Q16" s="214"/>
      <c r="R16" s="217"/>
      <c r="S16" s="95"/>
    </row>
    <row r="17" spans="1:23" ht="20.25" customHeight="1" x14ac:dyDescent="0.4">
      <c r="A17" s="79">
        <v>44327</v>
      </c>
      <c r="B17" s="109"/>
      <c r="C17" s="110"/>
      <c r="D17" s="223" t="s">
        <v>127</v>
      </c>
      <c r="E17" s="223" t="s">
        <v>127</v>
      </c>
      <c r="F17" s="8"/>
      <c r="G17" s="26"/>
      <c r="H17" s="62"/>
      <c r="J17" s="9">
        <v>24</v>
      </c>
      <c r="K17" s="25">
        <v>40</v>
      </c>
      <c r="N17" s="161"/>
      <c r="O17" s="216"/>
      <c r="P17" s="59" t="s">
        <v>7</v>
      </c>
      <c r="Q17" s="59" t="s">
        <v>7</v>
      </c>
      <c r="R17" s="217"/>
      <c r="S17" s="100"/>
    </row>
    <row r="18" spans="1:23" ht="30" customHeight="1" x14ac:dyDescent="0.4">
      <c r="A18" s="79">
        <v>44328</v>
      </c>
      <c r="B18" s="1434" t="s">
        <v>136</v>
      </c>
      <c r="C18" s="1435"/>
      <c r="D18" s="1435"/>
      <c r="E18" s="1436"/>
      <c r="F18" s="8"/>
      <c r="H18" s="62">
        <v>199</v>
      </c>
      <c r="I18" s="9">
        <v>195</v>
      </c>
      <c r="J18" s="9">
        <v>204</v>
      </c>
      <c r="K18" s="25">
        <v>209</v>
      </c>
      <c r="N18" s="1413" t="s">
        <v>7</v>
      </c>
      <c r="O18" s="1414"/>
      <c r="P18" s="1414"/>
      <c r="Q18" s="1414"/>
      <c r="R18" s="1415"/>
      <c r="S18" s="100"/>
    </row>
    <row r="19" spans="1:23" ht="21" customHeight="1" x14ac:dyDescent="0.4">
      <c r="A19" s="79">
        <v>44329</v>
      </c>
      <c r="B19" s="239"/>
      <c r="C19" s="240"/>
      <c r="D19" s="232" t="s">
        <v>137</v>
      </c>
      <c r="E19" s="241"/>
      <c r="F19" s="187"/>
      <c r="G19" s="188"/>
      <c r="H19" s="236"/>
      <c r="I19" s="237"/>
      <c r="J19" s="188">
        <v>15</v>
      </c>
      <c r="K19" s="237"/>
      <c r="L19" s="237"/>
      <c r="M19" s="238"/>
      <c r="N19" s="219"/>
      <c r="O19" s="220"/>
      <c r="P19" s="157" t="s">
        <v>9</v>
      </c>
      <c r="Q19" s="220"/>
      <c r="R19" s="221"/>
      <c r="S19" s="205"/>
    </row>
    <row r="20" spans="1:23" ht="27.75" customHeight="1" x14ac:dyDescent="0.4">
      <c r="A20" s="79">
        <v>44330</v>
      </c>
      <c r="B20" s="109"/>
      <c r="C20" s="110"/>
      <c r="D20" s="232" t="s">
        <v>137</v>
      </c>
      <c r="E20" s="226" t="s">
        <v>113</v>
      </c>
      <c r="F20" s="8"/>
      <c r="J20" s="9">
        <v>15</v>
      </c>
      <c r="K20" s="25">
        <v>206</v>
      </c>
      <c r="N20" s="69"/>
      <c r="O20" s="216"/>
      <c r="P20" s="157" t="s">
        <v>9</v>
      </c>
      <c r="Q20" s="2" t="s">
        <v>8</v>
      </c>
      <c r="R20" s="217"/>
      <c r="S20" s="95"/>
    </row>
    <row r="21" spans="1:23" ht="15" customHeight="1" x14ac:dyDescent="0.4">
      <c r="A21" s="79">
        <v>44331</v>
      </c>
      <c r="B21" s="109"/>
      <c r="C21" s="110"/>
      <c r="D21" s="223" t="s">
        <v>115</v>
      </c>
      <c r="E21" s="160"/>
      <c r="F21" s="8"/>
      <c r="J21" s="74"/>
      <c r="K21" s="127">
        <v>1355</v>
      </c>
      <c r="L21" s="127"/>
      <c r="M21" s="139"/>
      <c r="N21" s="218"/>
      <c r="O21" s="216"/>
      <c r="P21" s="161"/>
      <c r="Q21" s="2" t="s">
        <v>8</v>
      </c>
      <c r="R21" s="217"/>
      <c r="S21" s="95"/>
    </row>
    <row r="22" spans="1:23" ht="15" customHeight="1" x14ac:dyDescent="0.4">
      <c r="A22" s="79">
        <v>44332</v>
      </c>
      <c r="B22" s="109"/>
      <c r="C22" s="110"/>
      <c r="D22" s="110"/>
      <c r="E22" s="111"/>
      <c r="F22" s="8"/>
      <c r="J22" s="74"/>
      <c r="K22" s="127"/>
      <c r="L22" s="127"/>
      <c r="M22" s="139"/>
      <c r="N22" s="161"/>
      <c r="O22" s="216"/>
      <c r="P22" s="216"/>
      <c r="Q22" s="214"/>
      <c r="R22" s="217"/>
      <c r="S22" s="95"/>
    </row>
    <row r="23" spans="1:23" ht="15" customHeight="1" x14ac:dyDescent="0.4">
      <c r="A23" s="1382">
        <v>44333</v>
      </c>
      <c r="B23" s="232" t="s">
        <v>137</v>
      </c>
      <c r="C23" s="180"/>
      <c r="D23" s="180"/>
      <c r="E23" s="156"/>
      <c r="F23" s="8"/>
      <c r="H23" s="8">
        <v>15</v>
      </c>
      <c r="J23" s="74"/>
      <c r="K23" s="127"/>
      <c r="L23" s="127"/>
      <c r="M23" s="139"/>
      <c r="N23" s="157" t="s">
        <v>9</v>
      </c>
      <c r="O23" s="220"/>
      <c r="P23" s="220"/>
      <c r="Q23" s="220"/>
      <c r="R23" s="221"/>
      <c r="S23" s="95"/>
    </row>
    <row r="24" spans="1:23" ht="15" customHeight="1" x14ac:dyDescent="0.4">
      <c r="A24" s="1383"/>
      <c r="B24" s="232" t="s">
        <v>138</v>
      </c>
      <c r="C24" s="110"/>
      <c r="D24" s="110"/>
      <c r="E24" s="112"/>
      <c r="F24" s="8"/>
      <c r="H24" s="8">
        <v>10</v>
      </c>
      <c r="J24" s="74"/>
      <c r="K24" s="127"/>
      <c r="L24" s="127"/>
      <c r="M24" s="139"/>
      <c r="N24" s="59" t="s">
        <v>7</v>
      </c>
      <c r="O24" s="216"/>
      <c r="P24" s="216"/>
      <c r="Q24" s="214"/>
      <c r="R24" s="217"/>
      <c r="S24" s="95"/>
    </row>
    <row r="25" spans="1:23" x14ac:dyDescent="0.4">
      <c r="A25" s="79">
        <v>44334</v>
      </c>
      <c r="B25" s="109"/>
      <c r="C25" s="110"/>
      <c r="D25" s="114"/>
      <c r="E25" s="111"/>
      <c r="F25" s="8"/>
      <c r="J25" s="74"/>
      <c r="K25" s="127"/>
      <c r="L25" s="127"/>
      <c r="M25" s="139"/>
      <c r="N25" s="161"/>
      <c r="O25" s="216"/>
      <c r="P25" s="216"/>
      <c r="Q25" s="214"/>
      <c r="R25" s="217"/>
      <c r="S25" s="95"/>
    </row>
    <row r="26" spans="1:23" x14ac:dyDescent="0.4">
      <c r="A26" s="79">
        <v>44335</v>
      </c>
      <c r="B26" s="109"/>
      <c r="C26" s="114"/>
      <c r="D26" s="109"/>
      <c r="E26" s="109"/>
      <c r="F26" s="8"/>
      <c r="J26" s="74"/>
      <c r="K26" s="127"/>
      <c r="L26" s="127"/>
      <c r="M26" s="139"/>
      <c r="N26" s="233"/>
      <c r="O26" s="234"/>
      <c r="P26" s="234"/>
      <c r="Q26" s="234"/>
      <c r="R26" s="235"/>
      <c r="S26" s="95"/>
    </row>
    <row r="27" spans="1:23" ht="15" customHeight="1" x14ac:dyDescent="0.4">
      <c r="A27" s="79">
        <v>44336</v>
      </c>
      <c r="B27" s="232" t="s">
        <v>137</v>
      </c>
      <c r="C27" s="180"/>
      <c r="D27" s="180"/>
      <c r="E27" s="156"/>
      <c r="F27" s="8"/>
      <c r="H27" s="8">
        <v>15</v>
      </c>
      <c r="J27" s="74"/>
      <c r="K27" s="127"/>
      <c r="L27" s="127"/>
      <c r="M27" s="139"/>
      <c r="N27" s="157" t="s">
        <v>9</v>
      </c>
      <c r="O27" s="234"/>
      <c r="P27" s="234"/>
      <c r="Q27" s="234"/>
      <c r="R27" s="235"/>
      <c r="S27" s="95"/>
    </row>
    <row r="28" spans="1:23" ht="15" customHeight="1" x14ac:dyDescent="0.4">
      <c r="A28" s="1382">
        <v>44337</v>
      </c>
      <c r="B28" s="232" t="s">
        <v>137</v>
      </c>
      <c r="C28" s="114"/>
      <c r="D28" s="114"/>
      <c r="E28" s="111"/>
      <c r="F28" s="8"/>
      <c r="H28" s="8">
        <v>15</v>
      </c>
      <c r="M28" s="139"/>
      <c r="N28" s="157" t="s">
        <v>9</v>
      </c>
      <c r="O28" s="216"/>
      <c r="P28" s="69"/>
      <c r="Q28" s="214"/>
      <c r="R28" s="217"/>
      <c r="S28" s="95"/>
      <c r="V28" s="20"/>
      <c r="W28" s="20"/>
    </row>
    <row r="29" spans="1:23" ht="15" customHeight="1" x14ac:dyDescent="0.4">
      <c r="A29" s="1383"/>
      <c r="B29" s="1430" t="s">
        <v>145</v>
      </c>
      <c r="C29" s="1431"/>
      <c r="D29" s="1431"/>
      <c r="E29" s="1432"/>
      <c r="F29" s="8"/>
      <c r="H29" s="8">
        <v>162</v>
      </c>
      <c r="I29" s="9">
        <v>126</v>
      </c>
      <c r="J29" s="9">
        <v>125</v>
      </c>
      <c r="K29" s="25">
        <v>120</v>
      </c>
      <c r="M29" s="139"/>
      <c r="N29" s="1413" t="s">
        <v>7</v>
      </c>
      <c r="O29" s="1414"/>
      <c r="P29" s="1414"/>
      <c r="Q29" s="1414"/>
      <c r="R29" s="1415"/>
      <c r="S29" s="95"/>
    </row>
    <row r="30" spans="1:23" ht="19.5" customHeight="1" x14ac:dyDescent="0.4">
      <c r="A30" s="1382">
        <v>44338</v>
      </c>
      <c r="B30" s="232" t="s">
        <v>137</v>
      </c>
      <c r="C30" s="114"/>
      <c r="D30" s="114"/>
      <c r="E30" s="137"/>
      <c r="F30" s="8"/>
      <c r="H30" s="8">
        <v>55</v>
      </c>
      <c r="M30" s="139"/>
      <c r="N30" s="157" t="s">
        <v>9</v>
      </c>
      <c r="O30" s="69"/>
      <c r="P30" s="161"/>
      <c r="Q30" s="214"/>
      <c r="R30" s="215"/>
      <c r="S30" s="95"/>
    </row>
    <row r="31" spans="1:23" ht="15" customHeight="1" x14ac:dyDescent="0.4">
      <c r="A31" s="1383"/>
      <c r="B31" s="242" t="s">
        <v>139</v>
      </c>
      <c r="C31" s="109"/>
      <c r="D31" s="109"/>
      <c r="E31" s="109"/>
      <c r="F31" s="8"/>
      <c r="H31" s="8">
        <v>48</v>
      </c>
      <c r="M31" s="139"/>
      <c r="N31" s="2" t="s">
        <v>8</v>
      </c>
      <c r="O31" s="161"/>
      <c r="P31" s="69"/>
      <c r="Q31" s="161"/>
      <c r="R31" s="215"/>
      <c r="S31" s="95"/>
    </row>
    <row r="32" spans="1:23" ht="15" customHeight="1" x14ac:dyDescent="0.4">
      <c r="A32" s="79">
        <v>44339</v>
      </c>
      <c r="B32" s="155"/>
      <c r="C32" s="180"/>
      <c r="D32" s="180"/>
      <c r="E32" s="232" t="s">
        <v>137</v>
      </c>
      <c r="F32" s="22"/>
      <c r="K32" s="25">
        <v>35</v>
      </c>
      <c r="N32" s="219"/>
      <c r="O32" s="220"/>
      <c r="P32" s="220"/>
      <c r="Q32" s="157" t="s">
        <v>9</v>
      </c>
      <c r="R32" s="221"/>
      <c r="S32" s="95"/>
    </row>
    <row r="33" spans="1:19" ht="24.75" customHeight="1" x14ac:dyDescent="0.4">
      <c r="A33" s="79">
        <v>44340</v>
      </c>
      <c r="B33" s="232" t="s">
        <v>137</v>
      </c>
      <c r="C33" s="114"/>
      <c r="D33" s="232" t="s">
        <v>137</v>
      </c>
      <c r="E33" s="110"/>
      <c r="F33" s="93"/>
      <c r="H33" s="8">
        <v>35</v>
      </c>
      <c r="I33" s="21"/>
      <c r="J33" s="9">
        <v>45</v>
      </c>
      <c r="N33" s="157" t="s">
        <v>9</v>
      </c>
      <c r="O33" s="161"/>
      <c r="P33" s="157" t="s">
        <v>9</v>
      </c>
      <c r="Q33" s="69"/>
      <c r="R33" s="161"/>
      <c r="S33" s="95"/>
    </row>
    <row r="34" spans="1:19" ht="18.45" x14ac:dyDescent="0.4">
      <c r="A34" s="1382">
        <v>44341</v>
      </c>
      <c r="B34" s="242" t="s">
        <v>96</v>
      </c>
      <c r="C34" s="114"/>
      <c r="D34" s="114"/>
      <c r="E34" s="111"/>
      <c r="F34" s="22"/>
      <c r="H34" s="8">
        <v>155</v>
      </c>
      <c r="N34" s="59" t="s">
        <v>7</v>
      </c>
      <c r="O34" s="216"/>
      <c r="P34" s="69"/>
      <c r="Q34" s="214"/>
      <c r="R34" s="215"/>
      <c r="S34" s="95"/>
    </row>
    <row r="35" spans="1:19" ht="15" customHeight="1" x14ac:dyDescent="0.4">
      <c r="A35" s="1383"/>
      <c r="B35" s="242" t="s">
        <v>137</v>
      </c>
      <c r="C35" s="180"/>
      <c r="D35" s="242" t="s">
        <v>137</v>
      </c>
      <c r="E35" s="156"/>
      <c r="F35" s="22"/>
      <c r="H35" s="8">
        <v>10</v>
      </c>
      <c r="J35" s="9">
        <v>52</v>
      </c>
      <c r="N35" s="157" t="s">
        <v>9</v>
      </c>
      <c r="O35" s="220"/>
      <c r="P35" s="157" t="s">
        <v>9</v>
      </c>
      <c r="Q35" s="69"/>
      <c r="R35" s="221"/>
      <c r="S35" s="95"/>
    </row>
    <row r="36" spans="1:19" ht="15" customHeight="1" x14ac:dyDescent="0.4">
      <c r="A36" s="1382">
        <v>44342</v>
      </c>
      <c r="B36" s="242" t="s">
        <v>140</v>
      </c>
      <c r="C36" s="180"/>
      <c r="D36" s="243"/>
      <c r="E36" s="156"/>
      <c r="F36" s="22"/>
      <c r="H36" s="8">
        <v>10</v>
      </c>
      <c r="N36" s="2" t="s">
        <v>8</v>
      </c>
      <c r="O36" s="220"/>
      <c r="P36" s="220"/>
      <c r="Q36" s="69"/>
      <c r="R36" s="221"/>
      <c r="S36" s="95"/>
    </row>
    <row r="37" spans="1:19" ht="18.45" x14ac:dyDescent="0.4">
      <c r="A37" s="1383"/>
      <c r="B37" s="242" t="s">
        <v>137</v>
      </c>
      <c r="C37" s="110"/>
      <c r="D37" s="242" t="s">
        <v>137</v>
      </c>
      <c r="E37" s="112"/>
      <c r="F37" s="22"/>
      <c r="H37" s="8">
        <v>50</v>
      </c>
      <c r="J37" s="9">
        <v>20</v>
      </c>
      <c r="N37" s="157" t="s">
        <v>9</v>
      </c>
      <c r="O37" s="216"/>
      <c r="P37" s="157" t="s">
        <v>9</v>
      </c>
      <c r="Q37" s="214"/>
      <c r="R37" s="215"/>
      <c r="S37" s="95"/>
    </row>
    <row r="38" spans="1:19" ht="15" customHeight="1" x14ac:dyDescent="0.4">
      <c r="A38" s="79">
        <v>44343</v>
      </c>
      <c r="B38" s="1421" t="s">
        <v>72</v>
      </c>
      <c r="C38" s="1422"/>
      <c r="D38" s="1422"/>
      <c r="E38" s="1423"/>
      <c r="F38" s="8"/>
      <c r="H38" s="8">
        <v>528</v>
      </c>
      <c r="I38" s="9">
        <v>497</v>
      </c>
      <c r="J38" s="9">
        <v>535</v>
      </c>
      <c r="K38" s="25">
        <v>514</v>
      </c>
      <c r="N38" s="1427" t="s">
        <v>71</v>
      </c>
      <c r="O38" s="1428"/>
      <c r="P38" s="1428"/>
      <c r="Q38" s="1428"/>
      <c r="R38" s="1429"/>
      <c r="S38" s="95"/>
    </row>
    <row r="39" spans="1:19" ht="15" customHeight="1" x14ac:dyDescent="0.4">
      <c r="A39" s="79">
        <v>44344</v>
      </c>
      <c r="B39" s="109"/>
      <c r="C39" s="110"/>
      <c r="D39" s="110"/>
      <c r="E39" s="111"/>
      <c r="F39" s="8"/>
      <c r="N39" s="69"/>
      <c r="O39" s="216"/>
      <c r="P39" s="216"/>
      <c r="Q39" s="214"/>
      <c r="R39" s="222"/>
      <c r="S39" s="75"/>
    </row>
    <row r="40" spans="1:19" ht="15" customHeight="1" x14ac:dyDescent="0.4">
      <c r="A40" s="1382">
        <v>44345</v>
      </c>
      <c r="B40" s="109"/>
      <c r="C40" s="223" t="s">
        <v>142</v>
      </c>
      <c r="D40" s="223" t="s">
        <v>42</v>
      </c>
      <c r="E40" s="223" t="s">
        <v>42</v>
      </c>
      <c r="F40" s="8"/>
      <c r="I40" s="9">
        <v>457</v>
      </c>
      <c r="J40" s="9">
        <v>40</v>
      </c>
      <c r="K40" s="25">
        <v>15</v>
      </c>
      <c r="O40" s="2" t="s">
        <v>8</v>
      </c>
      <c r="P40" s="59" t="s">
        <v>7</v>
      </c>
      <c r="Q40" s="59" t="s">
        <v>7</v>
      </c>
      <c r="S40" s="75"/>
    </row>
    <row r="41" spans="1:19" ht="15" customHeight="1" x14ac:dyDescent="0.4">
      <c r="A41" s="1383"/>
      <c r="B41" s="22"/>
      <c r="D41" s="242" t="s">
        <v>137</v>
      </c>
      <c r="F41" s="8"/>
      <c r="G41" s="45"/>
      <c r="J41" s="9">
        <v>50</v>
      </c>
      <c r="N41" s="47"/>
      <c r="P41" s="157" t="s">
        <v>9</v>
      </c>
      <c r="Q41" s="6"/>
      <c r="R41" s="47"/>
      <c r="S41" s="75"/>
    </row>
    <row r="42" spans="1:19" ht="15" customHeight="1" x14ac:dyDescent="0.4">
      <c r="A42" s="1382">
        <v>44346</v>
      </c>
      <c r="B42" s="22"/>
      <c r="C42" s="223" t="s">
        <v>42</v>
      </c>
      <c r="D42" s="242" t="s">
        <v>137</v>
      </c>
      <c r="E42" s="242" t="s">
        <v>137</v>
      </c>
      <c r="F42" s="8"/>
      <c r="G42" s="45"/>
      <c r="I42" s="9">
        <v>15</v>
      </c>
      <c r="J42" s="9">
        <v>10</v>
      </c>
      <c r="K42" s="25">
        <v>10</v>
      </c>
      <c r="N42" s="42"/>
      <c r="O42" s="59" t="s">
        <v>7</v>
      </c>
      <c r="P42" s="157" t="s">
        <v>9</v>
      </c>
      <c r="Q42" s="157" t="s">
        <v>9</v>
      </c>
      <c r="R42" s="42"/>
      <c r="S42" s="75"/>
    </row>
    <row r="43" spans="1:19" ht="15" customHeight="1" x14ac:dyDescent="0.4">
      <c r="A43" s="1383"/>
      <c r="D43" s="110"/>
      <c r="F43" s="8"/>
      <c r="Q43" s="6"/>
      <c r="R43" s="26"/>
      <c r="S43" s="75"/>
    </row>
    <row r="44" spans="1:19" ht="15" customHeight="1" x14ac:dyDescent="0.4">
      <c r="A44" s="79">
        <v>44347</v>
      </c>
      <c r="B44" s="1421" t="s">
        <v>144</v>
      </c>
      <c r="C44" s="1422"/>
      <c r="D44" s="1422"/>
      <c r="E44" s="1423"/>
      <c r="F44" s="8"/>
      <c r="H44" s="8">
        <v>93</v>
      </c>
      <c r="I44" s="9">
        <v>92</v>
      </c>
      <c r="J44" s="9">
        <v>107</v>
      </c>
      <c r="K44" s="25">
        <v>96</v>
      </c>
      <c r="N44" s="1424" t="s">
        <v>7</v>
      </c>
      <c r="O44" s="1425"/>
      <c r="P44" s="1425"/>
      <c r="Q44" s="1426"/>
      <c r="S44" s="75"/>
    </row>
    <row r="45" spans="1:19" ht="15" customHeight="1" x14ac:dyDescent="0.4">
      <c r="A45" s="79"/>
      <c r="F45" s="8"/>
      <c r="G45" s="45"/>
      <c r="Q45" s="6"/>
      <c r="R45" s="47"/>
      <c r="S45" s="75"/>
    </row>
    <row r="46" spans="1:19" ht="15" thickBot="1" x14ac:dyDescent="0.45">
      <c r="A46" s="34" t="s">
        <v>20</v>
      </c>
      <c r="B46" s="35"/>
      <c r="C46" s="36"/>
      <c r="D46" s="36"/>
      <c r="E46" s="38"/>
      <c r="F46" s="35">
        <f>SUM(F3:F45)</f>
        <v>0</v>
      </c>
      <c r="G46" s="46"/>
      <c r="H46" s="35">
        <f t="shared" ref="H46:M46" si="0">SUM(H3:H45)</f>
        <v>1440</v>
      </c>
      <c r="I46" s="36">
        <f t="shared" si="0"/>
        <v>1382</v>
      </c>
      <c r="J46" s="36">
        <f t="shared" si="0"/>
        <v>2587</v>
      </c>
      <c r="K46" s="37">
        <f t="shared" si="0"/>
        <v>2653</v>
      </c>
      <c r="L46" s="37">
        <f t="shared" si="0"/>
        <v>0</v>
      </c>
      <c r="M46" s="38">
        <f t="shared" si="0"/>
        <v>0</v>
      </c>
      <c r="N46" s="35"/>
      <c r="O46" s="36"/>
      <c r="P46" s="36"/>
      <c r="Q46" s="37"/>
      <c r="R46" s="67"/>
      <c r="S46" s="76"/>
    </row>
    <row r="47" spans="1:19" ht="15" thickBot="1" x14ac:dyDescent="0.45">
      <c r="A47" s="34" t="s">
        <v>21</v>
      </c>
      <c r="B47" s="24"/>
      <c r="C47" s="24"/>
      <c r="D47" s="24"/>
      <c r="E47" s="24"/>
      <c r="F47" s="24">
        <f>F46/60</f>
        <v>0</v>
      </c>
      <c r="G47" s="24"/>
      <c r="H47" s="39">
        <f t="shared" ref="H47:M47" si="1">H46/60</f>
        <v>24</v>
      </c>
      <c r="I47" s="39">
        <f t="shared" si="1"/>
        <v>23.033333333333335</v>
      </c>
      <c r="J47" s="39">
        <f t="shared" si="1"/>
        <v>43.116666666666667</v>
      </c>
      <c r="K47" s="39">
        <f t="shared" si="1"/>
        <v>44.216666666666669</v>
      </c>
      <c r="L47" s="39">
        <f t="shared" si="1"/>
        <v>0</v>
      </c>
      <c r="M47" s="39">
        <f t="shared" si="1"/>
        <v>0</v>
      </c>
      <c r="N47" s="24"/>
      <c r="O47" s="24"/>
      <c r="P47" s="24"/>
      <c r="Q47" s="24"/>
    </row>
    <row r="48" spans="1:19" x14ac:dyDescent="0.4">
      <c r="A48" s="24" t="s">
        <v>41</v>
      </c>
      <c r="B48" s="24"/>
      <c r="C48" s="24"/>
      <c r="D48" s="24"/>
      <c r="E48" s="24"/>
      <c r="F48" s="24"/>
      <c r="G48" s="24"/>
      <c r="H48" s="162">
        <f>(H31+H36)/60</f>
        <v>0.96666666666666667</v>
      </c>
      <c r="I48" s="162">
        <f>(I40)/60</f>
        <v>7.6166666666666663</v>
      </c>
      <c r="J48" s="162">
        <f>(J10+J12+J13+J16)/60</f>
        <v>13.466666666666667</v>
      </c>
      <c r="K48" s="162">
        <f>(K20+K21)/60</f>
        <v>26.016666666666666</v>
      </c>
      <c r="L48" s="72">
        <f t="shared" ref="L48:M50" si="2">L16/24</f>
        <v>0</v>
      </c>
      <c r="M48" s="72">
        <f t="shared" si="2"/>
        <v>0</v>
      </c>
      <c r="N48" s="24"/>
      <c r="O48" s="24"/>
      <c r="P48" s="24"/>
      <c r="Q48" s="24"/>
    </row>
    <row r="49" spans="1:19" x14ac:dyDescent="0.4">
      <c r="A49" s="24" t="s">
        <v>42</v>
      </c>
      <c r="B49" s="24"/>
      <c r="C49" s="24"/>
      <c r="D49" s="24"/>
      <c r="E49" s="24"/>
      <c r="F49" s="24"/>
      <c r="G49" s="24"/>
      <c r="H49" s="162">
        <f>(H18+H24+H29+H34+H44)/60</f>
        <v>10.316666666666666</v>
      </c>
      <c r="I49" s="162">
        <f>(I18+I29+I42+I44)/60</f>
        <v>7.1333333333333337</v>
      </c>
      <c r="J49" s="162">
        <f>(J5+J9+J11+J14+J17+J18+J29+J40+J44)/60</f>
        <v>17.283333333333335</v>
      </c>
      <c r="K49" s="162">
        <f>(K7+K14+K17+K18+K29+K40+K44)/60</f>
        <v>8.8833333333333329</v>
      </c>
      <c r="L49" s="72">
        <f t="shared" si="2"/>
        <v>0</v>
      </c>
      <c r="M49" s="72">
        <f t="shared" si="2"/>
        <v>0</v>
      </c>
      <c r="N49" s="24"/>
      <c r="O49" s="24"/>
      <c r="P49" s="24"/>
      <c r="Q49" s="24"/>
    </row>
    <row r="50" spans="1:19" x14ac:dyDescent="0.4">
      <c r="A50" s="24" t="s">
        <v>43</v>
      </c>
      <c r="B50" s="24"/>
      <c r="C50" s="24"/>
      <c r="D50" s="24"/>
      <c r="E50" s="24"/>
      <c r="F50" s="24"/>
      <c r="G50" s="24"/>
      <c r="H50" s="162">
        <f>(H6+H7+H9+H23+H27+H28+H33+H35+H37+H30)/60</f>
        <v>3.9166666666666665</v>
      </c>
      <c r="I50" s="162">
        <v>0</v>
      </c>
      <c r="J50" s="162">
        <f>(J19+J20+J33+J35+J37+J41+J42)/60</f>
        <v>3.45</v>
      </c>
      <c r="K50" s="162">
        <f>(K32+K42)/60</f>
        <v>0.75</v>
      </c>
      <c r="L50" s="72">
        <f t="shared" si="2"/>
        <v>0</v>
      </c>
      <c r="M50" s="72">
        <f t="shared" si="2"/>
        <v>0</v>
      </c>
      <c r="N50" s="24"/>
      <c r="O50" s="24"/>
      <c r="P50" s="24"/>
      <c r="Q50" s="24"/>
    </row>
    <row r="51" spans="1:19" x14ac:dyDescent="0.4">
      <c r="A51" s="24" t="s">
        <v>141</v>
      </c>
      <c r="B51"/>
      <c r="C51"/>
      <c r="D51"/>
      <c r="E51"/>
      <c r="F51"/>
      <c r="G51"/>
      <c r="H51" s="162">
        <f>(H38)/60</f>
        <v>8.8000000000000007</v>
      </c>
      <c r="I51" s="162">
        <f>(I38)/60</f>
        <v>8.2833333333333332</v>
      </c>
      <c r="J51" s="162">
        <f>(J38)/60</f>
        <v>8.9166666666666661</v>
      </c>
      <c r="K51" s="162">
        <f>K38/60</f>
        <v>8.5666666666666664</v>
      </c>
      <c r="L51"/>
      <c r="M51"/>
      <c r="N51"/>
      <c r="O51"/>
      <c r="P51"/>
      <c r="Q51"/>
      <c r="R51"/>
      <c r="S51"/>
    </row>
    <row r="52" spans="1:19" x14ac:dyDescent="0.4">
      <c r="A52" s="24"/>
      <c r="B52"/>
      <c r="C52"/>
      <c r="D52"/>
      <c r="E52"/>
      <c r="F52"/>
      <c r="G52"/>
      <c r="H52"/>
      <c r="I52" s="24"/>
      <c r="J52"/>
      <c r="K52"/>
      <c r="L52"/>
      <c r="M52"/>
      <c r="N52"/>
      <c r="O52"/>
      <c r="P52"/>
      <c r="Q52"/>
      <c r="R52"/>
      <c r="S52"/>
    </row>
    <row r="53" spans="1:19" x14ac:dyDescent="0.4">
      <c r="A53" s="24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4">
      <c r="A54" s="2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4">
      <c r="A55" s="24"/>
      <c r="B55"/>
      <c r="C55"/>
      <c r="D55"/>
      <c r="E55" s="129"/>
      <c r="F55" s="129"/>
      <c r="G55" s="20"/>
      <c r="H55" s="20"/>
      <c r="I55"/>
      <c r="J55"/>
      <c r="K55"/>
      <c r="L55"/>
      <c r="M55"/>
      <c r="N55"/>
      <c r="O55"/>
      <c r="P55"/>
      <c r="Q55"/>
      <c r="R55"/>
      <c r="S55"/>
    </row>
    <row r="56" spans="1:19" x14ac:dyDescent="0.4">
      <c r="B56"/>
      <c r="C56" s="1407" t="s">
        <v>133</v>
      </c>
      <c r="D56" s="1408"/>
      <c r="E56" s="1408"/>
      <c r="F56" s="1408"/>
      <c r="G56" s="1409"/>
      <c r="H56"/>
      <c r="I56"/>
      <c r="J56"/>
      <c r="K56"/>
      <c r="L56"/>
      <c r="M56"/>
      <c r="N56"/>
      <c r="O56"/>
      <c r="P56"/>
      <c r="Q56"/>
      <c r="R56"/>
      <c r="S56"/>
    </row>
    <row r="57" spans="1:19" ht="15" thickBot="1" x14ac:dyDescent="0.4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ht="15" thickBot="1" x14ac:dyDescent="0.45">
      <c r="B58"/>
      <c r="C58" s="168"/>
      <c r="D58" s="168" t="s">
        <v>1</v>
      </c>
      <c r="E58" s="173" t="s">
        <v>101</v>
      </c>
      <c r="F58" s="173" t="s">
        <v>102</v>
      </c>
      <c r="G58" s="173" t="s">
        <v>103</v>
      </c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4">
      <c r="B59"/>
      <c r="C59" s="176" t="s">
        <v>108</v>
      </c>
      <c r="D59" s="169">
        <f>H48</f>
        <v>0.96666666666666667</v>
      </c>
      <c r="E59" s="169">
        <f t="shared" ref="E59:F62" si="3">J48</f>
        <v>13.466666666666667</v>
      </c>
      <c r="F59" s="169">
        <f t="shared" si="3"/>
        <v>26.016666666666666</v>
      </c>
      <c r="G59" s="244">
        <f>I48</f>
        <v>7.6166666666666663</v>
      </c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4">
      <c r="A60" s="24"/>
      <c r="B60"/>
      <c r="C60" s="177" t="s">
        <v>109</v>
      </c>
      <c r="D60" s="170">
        <f>H49</f>
        <v>10.316666666666666</v>
      </c>
      <c r="E60" s="170">
        <f t="shared" si="3"/>
        <v>17.283333333333335</v>
      </c>
      <c r="F60" s="170">
        <f t="shared" si="3"/>
        <v>8.8833333333333329</v>
      </c>
      <c r="G60" s="208">
        <f>I49</f>
        <v>7.1333333333333337</v>
      </c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4">
      <c r="A61"/>
      <c r="B61"/>
      <c r="C61" s="177" t="s">
        <v>110</v>
      </c>
      <c r="D61" s="170">
        <f>H50</f>
        <v>3.9166666666666665</v>
      </c>
      <c r="E61" s="170">
        <f t="shared" si="3"/>
        <v>3.45</v>
      </c>
      <c r="F61" s="170">
        <f t="shared" si="3"/>
        <v>0.75</v>
      </c>
      <c r="G61" s="208">
        <f>I50</f>
        <v>0</v>
      </c>
      <c r="H61"/>
      <c r="I61"/>
      <c r="J61"/>
      <c r="K61"/>
      <c r="L61"/>
      <c r="M61"/>
      <c r="N61"/>
      <c r="O61"/>
      <c r="P61"/>
      <c r="Q61"/>
      <c r="R61"/>
      <c r="S61"/>
    </row>
    <row r="62" spans="1:19" ht="15" thickBot="1" x14ac:dyDescent="0.45">
      <c r="A62"/>
      <c r="B62"/>
      <c r="C62" s="178" t="s">
        <v>111</v>
      </c>
      <c r="D62" s="171">
        <f>H51</f>
        <v>8.8000000000000007</v>
      </c>
      <c r="E62" s="171">
        <f t="shared" si="3"/>
        <v>8.9166666666666661</v>
      </c>
      <c r="F62" s="171">
        <f t="shared" si="3"/>
        <v>8.5666666666666664</v>
      </c>
      <c r="G62" s="171">
        <f>I51</f>
        <v>8.2833333333333332</v>
      </c>
      <c r="H62"/>
      <c r="I62"/>
      <c r="J62"/>
      <c r="K62"/>
      <c r="L62"/>
      <c r="M62"/>
      <c r="N62"/>
      <c r="O62"/>
      <c r="P62"/>
      <c r="Q62"/>
      <c r="R62"/>
      <c r="S62"/>
    </row>
    <row r="63" spans="1:19" ht="15" thickBot="1" x14ac:dyDescent="0.45">
      <c r="A63"/>
      <c r="B63"/>
      <c r="C63" s="179" t="s">
        <v>100</v>
      </c>
      <c r="D63" s="172">
        <f>D59+D60+D61+D62</f>
        <v>24</v>
      </c>
      <c r="E63" s="172">
        <f>E59+E60+E61+E62</f>
        <v>43.116666666666667</v>
      </c>
      <c r="F63" s="172">
        <f>F59+F60+F61+F62</f>
        <v>44.216666666666669</v>
      </c>
      <c r="G63" s="172">
        <f>G59+G60+G61+G62</f>
        <v>23.033333333333331</v>
      </c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4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3:4" customFormat="1" x14ac:dyDescent="0.4">
      <c r="C65" s="24" t="s">
        <v>106</v>
      </c>
      <c r="D65" s="167">
        <f>D59+D60+D61+E59+E60+E61+F59+F60+F61+G59+G60+G61</f>
        <v>99.800000000000011</v>
      </c>
    </row>
    <row r="66" spans="3:4" customFormat="1" x14ac:dyDescent="0.4">
      <c r="C66" s="24" t="s">
        <v>107</v>
      </c>
      <c r="D66" s="167">
        <f>AVERAGE(D62:G62)</f>
        <v>8.6416666666666675</v>
      </c>
    </row>
    <row r="67" spans="3:4" customFormat="1" x14ac:dyDescent="0.4"/>
    <row r="68" spans="3:4" customFormat="1" x14ac:dyDescent="0.4"/>
    <row r="69" spans="3:4" customFormat="1" x14ac:dyDescent="0.4"/>
    <row r="70" spans="3:4" customFormat="1" x14ac:dyDescent="0.4"/>
    <row r="71" spans="3:4" customFormat="1" x14ac:dyDescent="0.4"/>
    <row r="72" spans="3:4" customFormat="1" x14ac:dyDescent="0.4"/>
    <row r="73" spans="3:4" customFormat="1" x14ac:dyDescent="0.4"/>
    <row r="74" spans="3:4" customFormat="1" x14ac:dyDescent="0.4"/>
    <row r="75" spans="3:4" customFormat="1" x14ac:dyDescent="0.4"/>
    <row r="76" spans="3:4" customFormat="1" x14ac:dyDescent="0.4"/>
    <row r="77" spans="3:4" customFormat="1" x14ac:dyDescent="0.4"/>
    <row r="78" spans="3:4" customFormat="1" x14ac:dyDescent="0.4"/>
    <row r="79" spans="3:4" customFormat="1" x14ac:dyDescent="0.4"/>
    <row r="80" spans="3:4" customFormat="1" x14ac:dyDescent="0.4"/>
    <row r="81" customFormat="1" x14ac:dyDescent="0.4"/>
    <row r="82" customFormat="1" x14ac:dyDescent="0.4"/>
    <row r="83" customFormat="1" x14ac:dyDescent="0.4"/>
    <row r="84" customFormat="1" x14ac:dyDescent="0.4"/>
    <row r="85" customFormat="1" x14ac:dyDescent="0.4"/>
    <row r="86" customFormat="1" x14ac:dyDescent="0.4"/>
    <row r="87" customFormat="1" x14ac:dyDescent="0.4"/>
    <row r="88" customFormat="1" x14ac:dyDescent="0.4"/>
    <row r="89" customFormat="1" x14ac:dyDescent="0.4"/>
    <row r="90" customFormat="1" x14ac:dyDescent="0.4"/>
    <row r="91" customFormat="1" x14ac:dyDescent="0.4"/>
    <row r="92" customFormat="1" x14ac:dyDescent="0.4"/>
    <row r="93" customFormat="1" x14ac:dyDescent="0.4"/>
    <row r="94" customFormat="1" x14ac:dyDescent="0.4"/>
    <row r="95" customFormat="1" x14ac:dyDescent="0.4"/>
    <row r="96" customFormat="1" x14ac:dyDescent="0.4"/>
    <row r="97" customFormat="1" x14ac:dyDescent="0.4"/>
    <row r="98" customFormat="1" x14ac:dyDescent="0.4"/>
    <row r="99" customFormat="1" x14ac:dyDescent="0.4"/>
    <row r="100" customFormat="1" x14ac:dyDescent="0.4"/>
    <row r="101" customFormat="1" x14ac:dyDescent="0.4"/>
    <row r="102" customFormat="1" x14ac:dyDescent="0.4"/>
    <row r="103" customFormat="1" x14ac:dyDescent="0.4"/>
    <row r="104" customFormat="1" x14ac:dyDescent="0.4"/>
    <row r="105" customFormat="1" x14ac:dyDescent="0.4"/>
    <row r="106" customFormat="1" x14ac:dyDescent="0.4"/>
    <row r="107" customFormat="1" x14ac:dyDescent="0.4"/>
    <row r="108" customFormat="1" x14ac:dyDescent="0.4"/>
    <row r="109" customFormat="1" x14ac:dyDescent="0.4"/>
    <row r="110" customFormat="1" x14ac:dyDescent="0.4"/>
    <row r="111" customFormat="1" x14ac:dyDescent="0.4"/>
    <row r="112" customFormat="1" x14ac:dyDescent="0.4"/>
    <row r="113" customFormat="1" x14ac:dyDescent="0.4"/>
    <row r="114" customFormat="1" x14ac:dyDescent="0.4"/>
    <row r="115" customFormat="1" x14ac:dyDescent="0.4"/>
    <row r="116" customFormat="1" x14ac:dyDescent="0.4"/>
    <row r="117" customFormat="1" x14ac:dyDescent="0.4"/>
    <row r="118" customFormat="1" x14ac:dyDescent="0.4"/>
    <row r="119" customFormat="1" x14ac:dyDescent="0.4"/>
    <row r="120" customFormat="1" x14ac:dyDescent="0.4"/>
    <row r="121" customFormat="1" x14ac:dyDescent="0.4"/>
    <row r="122" customFormat="1" x14ac:dyDescent="0.4"/>
    <row r="123" customFormat="1" x14ac:dyDescent="0.4"/>
    <row r="124" customFormat="1" x14ac:dyDescent="0.4"/>
    <row r="125" customFormat="1" x14ac:dyDescent="0.4"/>
    <row r="126" customFormat="1" x14ac:dyDescent="0.4"/>
    <row r="127" customFormat="1" x14ac:dyDescent="0.4"/>
    <row r="128" customFormat="1" x14ac:dyDescent="0.4"/>
    <row r="129" customFormat="1" x14ac:dyDescent="0.4"/>
    <row r="130" customFormat="1" x14ac:dyDescent="0.4"/>
    <row r="131" customFormat="1" x14ac:dyDescent="0.4"/>
    <row r="132" customFormat="1" x14ac:dyDescent="0.4"/>
    <row r="133" customFormat="1" x14ac:dyDescent="0.4"/>
    <row r="134" customFormat="1" x14ac:dyDescent="0.4"/>
    <row r="135" customFormat="1" x14ac:dyDescent="0.4"/>
    <row r="136" customFormat="1" x14ac:dyDescent="0.4"/>
    <row r="137" customFormat="1" x14ac:dyDescent="0.4"/>
    <row r="138" customFormat="1" x14ac:dyDescent="0.4"/>
    <row r="139" customFormat="1" x14ac:dyDescent="0.4"/>
    <row r="140" customFormat="1" x14ac:dyDescent="0.4"/>
    <row r="141" customFormat="1" x14ac:dyDescent="0.4"/>
    <row r="142" customFormat="1" x14ac:dyDescent="0.4"/>
    <row r="143" customFormat="1" x14ac:dyDescent="0.4"/>
    <row r="144" customFormat="1" x14ac:dyDescent="0.4"/>
    <row r="145" customFormat="1" x14ac:dyDescent="0.4"/>
    <row r="146" customFormat="1" x14ac:dyDescent="0.4"/>
    <row r="147" customFormat="1" x14ac:dyDescent="0.4"/>
    <row r="148" customFormat="1" x14ac:dyDescent="0.4"/>
    <row r="149" customFormat="1" x14ac:dyDescent="0.4"/>
    <row r="150" customFormat="1" x14ac:dyDescent="0.4"/>
    <row r="151" customFormat="1" x14ac:dyDescent="0.4"/>
    <row r="152" customFormat="1" x14ac:dyDescent="0.4"/>
    <row r="153" customFormat="1" x14ac:dyDescent="0.4"/>
    <row r="154" customFormat="1" x14ac:dyDescent="0.4"/>
    <row r="155" customFormat="1" x14ac:dyDescent="0.4"/>
    <row r="156" customFormat="1" x14ac:dyDescent="0.4"/>
    <row r="157" customFormat="1" x14ac:dyDescent="0.4"/>
    <row r="158" customFormat="1" x14ac:dyDescent="0.4"/>
    <row r="159" customFormat="1" x14ac:dyDescent="0.4"/>
    <row r="160" customFormat="1" x14ac:dyDescent="0.4"/>
    <row r="161" customFormat="1" x14ac:dyDescent="0.4"/>
    <row r="162" customFormat="1" x14ac:dyDescent="0.4"/>
    <row r="163" customFormat="1" x14ac:dyDescent="0.4"/>
    <row r="164" customFormat="1" x14ac:dyDescent="0.4"/>
    <row r="165" customFormat="1" x14ac:dyDescent="0.4"/>
    <row r="166" customFormat="1" x14ac:dyDescent="0.4"/>
    <row r="167" customFormat="1" x14ac:dyDescent="0.4"/>
    <row r="168" customFormat="1" x14ac:dyDescent="0.4"/>
    <row r="169" customFormat="1" x14ac:dyDescent="0.4"/>
    <row r="170" customFormat="1" x14ac:dyDescent="0.4"/>
    <row r="171" customFormat="1" x14ac:dyDescent="0.4"/>
    <row r="172" customFormat="1" x14ac:dyDescent="0.4"/>
    <row r="173" customFormat="1" x14ac:dyDescent="0.4"/>
    <row r="174" customFormat="1" x14ac:dyDescent="0.4"/>
    <row r="175" customFormat="1" x14ac:dyDescent="0.4"/>
    <row r="176" customFormat="1" x14ac:dyDescent="0.4"/>
    <row r="177" customFormat="1" x14ac:dyDescent="0.4"/>
    <row r="178" customFormat="1" x14ac:dyDescent="0.4"/>
    <row r="179" customFormat="1" x14ac:dyDescent="0.4"/>
    <row r="180" customFormat="1" x14ac:dyDescent="0.4"/>
    <row r="181" customFormat="1" x14ac:dyDescent="0.4"/>
    <row r="182" customFormat="1" x14ac:dyDescent="0.4"/>
    <row r="183" customFormat="1" x14ac:dyDescent="0.4"/>
    <row r="184" customFormat="1" x14ac:dyDescent="0.4"/>
    <row r="185" customFormat="1" x14ac:dyDescent="0.4"/>
    <row r="186" customFormat="1" x14ac:dyDescent="0.4"/>
    <row r="187" customFormat="1" x14ac:dyDescent="0.4"/>
    <row r="188" customFormat="1" x14ac:dyDescent="0.4"/>
    <row r="189" customFormat="1" x14ac:dyDescent="0.4"/>
    <row r="190" customFormat="1" x14ac:dyDescent="0.4"/>
    <row r="191" customFormat="1" x14ac:dyDescent="0.4"/>
    <row r="192" customFormat="1" x14ac:dyDescent="0.4"/>
    <row r="193" customFormat="1" x14ac:dyDescent="0.4"/>
    <row r="194" customFormat="1" x14ac:dyDescent="0.4"/>
    <row r="195" customFormat="1" x14ac:dyDescent="0.4"/>
    <row r="196" customFormat="1" x14ac:dyDescent="0.4"/>
    <row r="197" customFormat="1" x14ac:dyDescent="0.4"/>
    <row r="198" customFormat="1" x14ac:dyDescent="0.4"/>
    <row r="199" customFormat="1" x14ac:dyDescent="0.4"/>
    <row r="200" customFormat="1" x14ac:dyDescent="0.4"/>
    <row r="201" customFormat="1" x14ac:dyDescent="0.4"/>
    <row r="202" customFormat="1" x14ac:dyDescent="0.4"/>
    <row r="203" customFormat="1" x14ac:dyDescent="0.4"/>
    <row r="204" customFormat="1" x14ac:dyDescent="0.4"/>
    <row r="205" customFormat="1" x14ac:dyDescent="0.4"/>
    <row r="206" customFormat="1" x14ac:dyDescent="0.4"/>
    <row r="207" customFormat="1" x14ac:dyDescent="0.4"/>
    <row r="208" customFormat="1" x14ac:dyDescent="0.4"/>
    <row r="209" customFormat="1" x14ac:dyDescent="0.4"/>
    <row r="210" customFormat="1" x14ac:dyDescent="0.4"/>
    <row r="211" customFormat="1" x14ac:dyDescent="0.4"/>
    <row r="212" customFormat="1" x14ac:dyDescent="0.4"/>
    <row r="213" customFormat="1" x14ac:dyDescent="0.4"/>
    <row r="214" customFormat="1" x14ac:dyDescent="0.4"/>
    <row r="215" customFormat="1" x14ac:dyDescent="0.4"/>
    <row r="216" customFormat="1" x14ac:dyDescent="0.4"/>
    <row r="217" customFormat="1" x14ac:dyDescent="0.4"/>
    <row r="218" customFormat="1" x14ac:dyDescent="0.4"/>
    <row r="219" customFormat="1" x14ac:dyDescent="0.4"/>
    <row r="220" customFormat="1" x14ac:dyDescent="0.4"/>
    <row r="221" customFormat="1" x14ac:dyDescent="0.4"/>
    <row r="222" customFormat="1" x14ac:dyDescent="0.4"/>
    <row r="223" customFormat="1" x14ac:dyDescent="0.4"/>
    <row r="224" customFormat="1" x14ac:dyDescent="0.4"/>
    <row r="225" customFormat="1" x14ac:dyDescent="0.4"/>
    <row r="226" customFormat="1" x14ac:dyDescent="0.4"/>
    <row r="227" customFormat="1" x14ac:dyDescent="0.4"/>
    <row r="228" customFormat="1" x14ac:dyDescent="0.4"/>
    <row r="229" customFormat="1" x14ac:dyDescent="0.4"/>
    <row r="230" customFormat="1" x14ac:dyDescent="0.4"/>
    <row r="231" customFormat="1" x14ac:dyDescent="0.4"/>
    <row r="232" customFormat="1" x14ac:dyDescent="0.4"/>
    <row r="233" customFormat="1" x14ac:dyDescent="0.4"/>
    <row r="234" customFormat="1" x14ac:dyDescent="0.4"/>
    <row r="235" customFormat="1" x14ac:dyDescent="0.4"/>
    <row r="236" customFormat="1" x14ac:dyDescent="0.4"/>
    <row r="237" customFormat="1" x14ac:dyDescent="0.4"/>
    <row r="238" customFormat="1" x14ac:dyDescent="0.4"/>
    <row r="239" customFormat="1" x14ac:dyDescent="0.4"/>
    <row r="240" customFormat="1" x14ac:dyDescent="0.4"/>
    <row r="241" customFormat="1" x14ac:dyDescent="0.4"/>
    <row r="242" customFormat="1" x14ac:dyDescent="0.4"/>
    <row r="243" customFormat="1" x14ac:dyDescent="0.4"/>
    <row r="244" customFormat="1" x14ac:dyDescent="0.4"/>
    <row r="245" customFormat="1" x14ac:dyDescent="0.4"/>
    <row r="246" customFormat="1" x14ac:dyDescent="0.4"/>
    <row r="247" customFormat="1" x14ac:dyDescent="0.4"/>
    <row r="248" customFormat="1" x14ac:dyDescent="0.4"/>
    <row r="249" customFormat="1" x14ac:dyDescent="0.4"/>
    <row r="250" customFormat="1" x14ac:dyDescent="0.4"/>
    <row r="251" customFormat="1" x14ac:dyDescent="0.4"/>
    <row r="252" customFormat="1" x14ac:dyDescent="0.4"/>
    <row r="253" customFormat="1" x14ac:dyDescent="0.4"/>
    <row r="254" customFormat="1" x14ac:dyDescent="0.4"/>
    <row r="255" customFormat="1" x14ac:dyDescent="0.4"/>
    <row r="256" customFormat="1" x14ac:dyDescent="0.4"/>
    <row r="257" customFormat="1" x14ac:dyDescent="0.4"/>
    <row r="258" customFormat="1" x14ac:dyDescent="0.4"/>
    <row r="259" customFormat="1" x14ac:dyDescent="0.4"/>
    <row r="260" customFormat="1" x14ac:dyDescent="0.4"/>
    <row r="261" customFormat="1" x14ac:dyDescent="0.4"/>
    <row r="262" customFormat="1" x14ac:dyDescent="0.4"/>
    <row r="263" customFormat="1" x14ac:dyDescent="0.4"/>
    <row r="264" customFormat="1" x14ac:dyDescent="0.4"/>
    <row r="265" customFormat="1" x14ac:dyDescent="0.4"/>
    <row r="266" customFormat="1" x14ac:dyDescent="0.4"/>
    <row r="267" customFormat="1" x14ac:dyDescent="0.4"/>
    <row r="268" customFormat="1" x14ac:dyDescent="0.4"/>
    <row r="269" customFormat="1" x14ac:dyDescent="0.4"/>
    <row r="270" customFormat="1" x14ac:dyDescent="0.4"/>
    <row r="271" customFormat="1" x14ac:dyDescent="0.4"/>
    <row r="272" customFormat="1" x14ac:dyDescent="0.4"/>
    <row r="273" customFormat="1" x14ac:dyDescent="0.4"/>
    <row r="274" customFormat="1" x14ac:dyDescent="0.4"/>
    <row r="275" customFormat="1" x14ac:dyDescent="0.4"/>
    <row r="276" customFormat="1" x14ac:dyDescent="0.4"/>
    <row r="277" customFormat="1" x14ac:dyDescent="0.4"/>
    <row r="278" customFormat="1" x14ac:dyDescent="0.4"/>
    <row r="279" customFormat="1" x14ac:dyDescent="0.4"/>
    <row r="280" customFormat="1" x14ac:dyDescent="0.4"/>
    <row r="281" customFormat="1" x14ac:dyDescent="0.4"/>
    <row r="282" customFormat="1" x14ac:dyDescent="0.4"/>
    <row r="283" customFormat="1" x14ac:dyDescent="0.4"/>
    <row r="284" customFormat="1" x14ac:dyDescent="0.4"/>
    <row r="285" customFormat="1" x14ac:dyDescent="0.4"/>
    <row r="286" customFormat="1" x14ac:dyDescent="0.4"/>
    <row r="287" customFormat="1" x14ac:dyDescent="0.4"/>
    <row r="288" customFormat="1" x14ac:dyDescent="0.4"/>
    <row r="289" spans="1:19" x14ac:dyDescent="0.4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</row>
    <row r="290" spans="1:19" x14ac:dyDescent="0.4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</row>
    <row r="291" spans="1:19" x14ac:dyDescent="0.4">
      <c r="A291"/>
    </row>
    <row r="292" spans="1:19" x14ac:dyDescent="0.4">
      <c r="A292"/>
    </row>
    <row r="293" spans="1:19" x14ac:dyDescent="0.4">
      <c r="A293"/>
    </row>
    <row r="294" spans="1:19" x14ac:dyDescent="0.4">
      <c r="A294"/>
    </row>
    <row r="295" spans="1:19" x14ac:dyDescent="0.4">
      <c r="A295"/>
    </row>
    <row r="296" spans="1:19" x14ac:dyDescent="0.4">
      <c r="A296"/>
    </row>
    <row r="297" spans="1:19" x14ac:dyDescent="0.4">
      <c r="A297"/>
    </row>
    <row r="298" spans="1:19" x14ac:dyDescent="0.4">
      <c r="A298"/>
    </row>
    <row r="299" spans="1:19" x14ac:dyDescent="0.4">
      <c r="A299"/>
    </row>
  </sheetData>
  <mergeCells count="21">
    <mergeCell ref="A42:A43"/>
    <mergeCell ref="B44:E44"/>
    <mergeCell ref="N44:Q44"/>
    <mergeCell ref="C56:G56"/>
    <mergeCell ref="B1:E1"/>
    <mergeCell ref="H1:M1"/>
    <mergeCell ref="N1:Q1"/>
    <mergeCell ref="B38:E38"/>
    <mergeCell ref="N38:R38"/>
    <mergeCell ref="B29:E29"/>
    <mergeCell ref="A40:A41"/>
    <mergeCell ref="A9:A10"/>
    <mergeCell ref="A11:A14"/>
    <mergeCell ref="B18:E18"/>
    <mergeCell ref="N18:R18"/>
    <mergeCell ref="A36:A37"/>
    <mergeCell ref="N29:R29"/>
    <mergeCell ref="A30:A31"/>
    <mergeCell ref="A34:A35"/>
    <mergeCell ref="A23:A24"/>
    <mergeCell ref="A28:A29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300"/>
  <sheetViews>
    <sheetView topLeftCell="A25" zoomScale="55" zoomScaleNormal="55" workbookViewId="0">
      <pane xSplit="1" topLeftCell="B1" activePane="topRight" state="frozen"/>
      <selection pane="topRight" activeCell="H50" sqref="H50:K50"/>
    </sheetView>
  </sheetViews>
  <sheetFormatPr defaultColWidth="8.84375" defaultRowHeight="18" x14ac:dyDescent="0.45"/>
  <cols>
    <col min="1" max="1" width="22.69140625" style="324" customWidth="1"/>
    <col min="2" max="2" width="33.69140625" style="250" customWidth="1"/>
    <col min="3" max="3" width="30.3046875" style="246" customWidth="1"/>
    <col min="4" max="4" width="32.3828125" style="246" customWidth="1"/>
    <col min="5" max="5" width="32.53515625" style="283" bestFit="1" customWidth="1"/>
    <col min="6" max="6" width="19" style="284" customWidth="1"/>
    <col min="7" max="7" width="17.15234375" style="284" customWidth="1"/>
    <col min="8" max="8" width="11.53515625" style="250" bestFit="1" customWidth="1"/>
    <col min="9" max="9" width="16.69140625" style="246" customWidth="1"/>
    <col min="10" max="10" width="13.69140625" style="246" customWidth="1"/>
    <col min="11" max="11" width="12.3046875" style="302" bestFit="1" customWidth="1"/>
    <col min="12" max="12" width="9.84375" style="302" customWidth="1"/>
    <col min="13" max="13" width="10.15234375" style="283" bestFit="1" customWidth="1"/>
    <col min="14" max="14" width="11.84375" style="250" bestFit="1" customWidth="1"/>
    <col min="15" max="15" width="12.3046875" style="246" bestFit="1" customWidth="1"/>
    <col min="16" max="16" width="11.84375" style="246" bestFit="1" customWidth="1"/>
    <col min="17" max="17" width="12.3046875" style="283" bestFit="1" customWidth="1"/>
    <col min="18" max="19" width="10.15234375" style="287" customWidth="1"/>
    <col min="20" max="16384" width="8.84375" style="255"/>
  </cols>
  <sheetData>
    <row r="1" spans="1:22" ht="18.899999999999999" thickTop="1" thickBot="1" x14ac:dyDescent="0.5">
      <c r="A1" s="252"/>
      <c r="B1" s="1361" t="s">
        <v>3</v>
      </c>
      <c r="C1" s="1362"/>
      <c r="D1" s="1362"/>
      <c r="E1" s="1363"/>
      <c r="F1" s="253"/>
      <c r="G1" s="253"/>
      <c r="H1" s="1361" t="s">
        <v>6</v>
      </c>
      <c r="I1" s="1362"/>
      <c r="J1" s="1362"/>
      <c r="K1" s="1364"/>
      <c r="L1" s="1364"/>
      <c r="M1" s="1363"/>
      <c r="N1" s="1365" t="s">
        <v>13</v>
      </c>
      <c r="O1" s="1366"/>
      <c r="P1" s="1366"/>
      <c r="Q1" s="1367"/>
      <c r="R1" s="253"/>
      <c r="S1" s="254"/>
    </row>
    <row r="2" spans="1:22" ht="18.899999999999999" thickTop="1" thickBot="1" x14ac:dyDescent="0.5">
      <c r="A2" s="256" t="s">
        <v>0</v>
      </c>
      <c r="B2" s="257" t="s">
        <v>1</v>
      </c>
      <c r="C2" s="258" t="s">
        <v>4</v>
      </c>
      <c r="D2" s="258" t="s">
        <v>2</v>
      </c>
      <c r="E2" s="259" t="s">
        <v>5</v>
      </c>
      <c r="F2" s="260" t="s">
        <v>26</v>
      </c>
      <c r="G2" s="260" t="s">
        <v>19</v>
      </c>
      <c r="H2" s="261" t="s">
        <v>1</v>
      </c>
      <c r="I2" s="262" t="s">
        <v>4</v>
      </c>
      <c r="J2" s="262" t="s">
        <v>2</v>
      </c>
      <c r="K2" s="262" t="s">
        <v>5</v>
      </c>
      <c r="L2" s="263" t="s">
        <v>26</v>
      </c>
      <c r="M2" s="264" t="s">
        <v>19</v>
      </c>
      <c r="N2" s="257" t="s">
        <v>1</v>
      </c>
      <c r="O2" s="258" t="s">
        <v>4</v>
      </c>
      <c r="P2" s="258" t="s">
        <v>2</v>
      </c>
      <c r="Q2" s="265" t="s">
        <v>5</v>
      </c>
      <c r="R2" s="266" t="s">
        <v>19</v>
      </c>
      <c r="S2" s="267" t="s">
        <v>26</v>
      </c>
    </row>
    <row r="3" spans="1:22" ht="22.5" customHeight="1" thickTop="1" x14ac:dyDescent="0.45">
      <c r="A3" s="268">
        <v>44348</v>
      </c>
      <c r="B3" s="269"/>
      <c r="C3" s="226"/>
      <c r="D3" s="226"/>
      <c r="E3" s="270"/>
      <c r="F3" s="271"/>
      <c r="G3" s="272"/>
      <c r="H3" s="269"/>
      <c r="I3" s="226"/>
      <c r="J3" s="226"/>
      <c r="K3" s="226"/>
      <c r="L3" s="273"/>
      <c r="M3" s="274"/>
      <c r="N3" s="280"/>
      <c r="O3" s="275"/>
      <c r="Q3" s="246"/>
      <c r="R3" s="276"/>
      <c r="S3" s="277"/>
      <c r="U3" s="278" t="s">
        <v>8</v>
      </c>
      <c r="V3" s="255" t="s">
        <v>10</v>
      </c>
    </row>
    <row r="4" spans="1:22" ht="22.5" customHeight="1" x14ac:dyDescent="0.45">
      <c r="A4" s="1437">
        <v>44349</v>
      </c>
      <c r="B4" s="269" t="s">
        <v>146</v>
      </c>
      <c r="C4" s="226"/>
      <c r="D4" s="226"/>
      <c r="E4" s="270"/>
      <c r="F4" s="269"/>
      <c r="G4" s="272"/>
      <c r="H4" s="269">
        <v>290</v>
      </c>
      <c r="I4" s="226"/>
      <c r="J4" s="226"/>
      <c r="K4" s="226"/>
      <c r="L4" s="226"/>
      <c r="M4" s="274"/>
      <c r="N4" s="279" t="s">
        <v>8</v>
      </c>
      <c r="O4" s="275"/>
      <c r="Q4" s="246"/>
      <c r="R4" s="281"/>
      <c r="S4" s="277"/>
      <c r="U4" s="278"/>
    </row>
    <row r="5" spans="1:22" ht="22.5" customHeight="1" x14ac:dyDescent="0.45">
      <c r="A5" s="1438"/>
      <c r="B5" s="269" t="s">
        <v>146</v>
      </c>
      <c r="F5" s="250"/>
      <c r="H5" s="250">
        <v>290</v>
      </c>
      <c r="K5" s="246"/>
      <c r="L5" s="246"/>
      <c r="M5" s="285"/>
      <c r="N5" s="286" t="s">
        <v>7</v>
      </c>
      <c r="Q5" s="246"/>
      <c r="R5" s="288"/>
      <c r="S5" s="277"/>
      <c r="U5" s="289" t="s">
        <v>7</v>
      </c>
      <c r="V5" s="255" t="s">
        <v>11</v>
      </c>
    </row>
    <row r="6" spans="1:22" ht="36.75" customHeight="1" x14ac:dyDescent="0.45">
      <c r="A6" s="268">
        <v>44350</v>
      </c>
      <c r="D6" s="343" t="s">
        <v>47</v>
      </c>
      <c r="E6" s="290"/>
      <c r="F6" s="250"/>
      <c r="J6" s="246">
        <v>70</v>
      </c>
      <c r="K6" s="246">
        <v>12</v>
      </c>
      <c r="L6" s="246"/>
      <c r="M6" s="285"/>
      <c r="N6" s="287"/>
      <c r="P6" s="286" t="s">
        <v>7</v>
      </c>
      <c r="Q6" s="286" t="s">
        <v>7</v>
      </c>
      <c r="R6" s="288"/>
      <c r="S6" s="291"/>
      <c r="U6" s="292" t="s">
        <v>9</v>
      </c>
      <c r="V6" s="255" t="s">
        <v>12</v>
      </c>
    </row>
    <row r="7" spans="1:22" ht="24.75" customHeight="1" x14ac:dyDescent="0.45">
      <c r="A7" s="1437">
        <v>44351</v>
      </c>
      <c r="B7" s="293"/>
      <c r="D7" s="344" t="s">
        <v>146</v>
      </c>
      <c r="F7" s="250"/>
      <c r="K7" s="246">
        <v>225</v>
      </c>
      <c r="L7" s="246"/>
      <c r="M7" s="285"/>
      <c r="N7" s="287"/>
      <c r="O7" s="287"/>
      <c r="P7" s="287"/>
      <c r="Q7" s="279" t="s">
        <v>8</v>
      </c>
      <c r="S7" s="291"/>
      <c r="U7" s="294" t="s">
        <v>71</v>
      </c>
      <c r="V7" s="295" t="s">
        <v>51</v>
      </c>
    </row>
    <row r="8" spans="1:22" ht="24.75" customHeight="1" x14ac:dyDescent="0.45">
      <c r="A8" s="1438"/>
      <c r="B8" s="293"/>
      <c r="D8" s="344" t="s">
        <v>146</v>
      </c>
      <c r="E8" s="285"/>
      <c r="F8" s="250"/>
      <c r="K8" s="246">
        <v>225</v>
      </c>
      <c r="L8" s="246"/>
      <c r="M8" s="285"/>
      <c r="N8" s="287"/>
      <c r="O8" s="287"/>
      <c r="P8" s="287"/>
      <c r="Q8" s="286" t="s">
        <v>7</v>
      </c>
      <c r="S8" s="291"/>
      <c r="U8" s="294"/>
      <c r="V8" s="295"/>
    </row>
    <row r="9" spans="1:22" x14ac:dyDescent="0.45">
      <c r="A9" s="268">
        <v>44352</v>
      </c>
      <c r="B9" s="293"/>
      <c r="D9" s="344"/>
      <c r="E9" s="338" t="s">
        <v>147</v>
      </c>
      <c r="F9" s="293"/>
      <c r="G9" s="296"/>
      <c r="K9" s="246">
        <v>45</v>
      </c>
      <c r="L9" s="246"/>
      <c r="M9" s="285"/>
      <c r="N9" s="287"/>
      <c r="O9" s="287"/>
      <c r="P9" s="287"/>
      <c r="Q9" s="341" t="s">
        <v>9</v>
      </c>
      <c r="S9" s="291"/>
    </row>
    <row r="10" spans="1:22" ht="21" customHeight="1" x14ac:dyDescent="0.45">
      <c r="A10" s="1437">
        <v>44354</v>
      </c>
      <c r="B10" s="293"/>
      <c r="D10" s="344"/>
      <c r="E10" s="249" t="s">
        <v>146</v>
      </c>
      <c r="F10" s="297"/>
      <c r="K10" s="246">
        <v>160</v>
      </c>
      <c r="L10" s="246"/>
      <c r="M10" s="285"/>
      <c r="N10" s="287"/>
      <c r="P10" s="287"/>
      <c r="Q10" s="279" t="s">
        <v>8</v>
      </c>
      <c r="R10" s="288"/>
      <c r="S10" s="298"/>
    </row>
    <row r="11" spans="1:22" ht="17.25" customHeight="1" x14ac:dyDescent="0.45">
      <c r="A11" s="1439"/>
      <c r="B11" s="299"/>
      <c r="D11" s="344"/>
      <c r="E11" s="249" t="s">
        <v>146</v>
      </c>
      <c r="F11" s="250"/>
      <c r="K11" s="246">
        <v>160</v>
      </c>
      <c r="L11" s="246"/>
      <c r="M11" s="285"/>
      <c r="N11" s="287"/>
      <c r="P11" s="287"/>
      <c r="Q11" s="286" t="s">
        <v>7</v>
      </c>
      <c r="R11" s="288"/>
      <c r="S11" s="298"/>
    </row>
    <row r="12" spans="1:22" ht="18.75" customHeight="1" x14ac:dyDescent="0.45">
      <c r="A12" s="342">
        <v>44355</v>
      </c>
      <c r="B12" s="299"/>
      <c r="D12" s="344" t="s">
        <v>47</v>
      </c>
      <c r="E12" s="249"/>
      <c r="F12" s="300"/>
      <c r="G12" s="301"/>
      <c r="J12" s="246">
        <v>90</v>
      </c>
      <c r="K12" s="246"/>
      <c r="L12" s="246"/>
      <c r="M12" s="285"/>
      <c r="N12" s="287"/>
      <c r="P12" s="286" t="s">
        <v>7</v>
      </c>
      <c r="Q12" s="246"/>
      <c r="R12" s="288"/>
      <c r="S12" s="298"/>
    </row>
    <row r="13" spans="1:22" ht="36" x14ac:dyDescent="0.45">
      <c r="A13" s="342">
        <v>44357</v>
      </c>
      <c r="B13" s="299"/>
      <c r="D13" s="343" t="s">
        <v>148</v>
      </c>
      <c r="E13" s="249"/>
      <c r="F13" s="300"/>
      <c r="G13" s="301"/>
      <c r="J13" s="246">
        <v>460</v>
      </c>
      <c r="L13" s="246"/>
      <c r="M13" s="285"/>
      <c r="N13" s="287"/>
      <c r="P13" s="279" t="s">
        <v>8</v>
      </c>
      <c r="Q13" s="246"/>
      <c r="R13" s="288"/>
      <c r="S13" s="298"/>
    </row>
    <row r="14" spans="1:22" x14ac:dyDescent="0.45">
      <c r="A14" s="342">
        <v>44359</v>
      </c>
      <c r="B14" s="247"/>
      <c r="D14" s="343" t="s">
        <v>149</v>
      </c>
      <c r="E14" s="249"/>
      <c r="F14" s="293"/>
      <c r="G14" s="301"/>
      <c r="J14" s="246">
        <v>15</v>
      </c>
      <c r="L14" s="246"/>
      <c r="M14" s="285"/>
      <c r="N14" s="287"/>
      <c r="P14" s="279" t="s">
        <v>8</v>
      </c>
      <c r="Q14" s="287"/>
      <c r="R14" s="288"/>
      <c r="S14" s="298"/>
    </row>
    <row r="15" spans="1:22" ht="48.75" customHeight="1" x14ac:dyDescent="0.45">
      <c r="A15" s="282">
        <v>44360</v>
      </c>
      <c r="B15" s="299"/>
      <c r="E15" s="245" t="s">
        <v>150</v>
      </c>
      <c r="F15" s="293"/>
      <c r="G15" s="301"/>
      <c r="K15" s="302">
        <v>45</v>
      </c>
      <c r="L15" s="246"/>
      <c r="M15" s="285"/>
      <c r="N15" s="287"/>
      <c r="P15" s="287"/>
      <c r="Q15" s="279" t="s">
        <v>8</v>
      </c>
      <c r="R15" s="288"/>
      <c r="S15" s="298"/>
    </row>
    <row r="16" spans="1:22" ht="21" customHeight="1" x14ac:dyDescent="0.45">
      <c r="A16" s="268">
        <v>44361</v>
      </c>
      <c r="E16" s="303"/>
      <c r="F16" s="250"/>
      <c r="L16" s="246"/>
      <c r="M16" s="285"/>
      <c r="N16" s="287"/>
      <c r="P16" s="287"/>
      <c r="Q16" s="287"/>
      <c r="R16" s="288"/>
      <c r="S16" s="298"/>
    </row>
    <row r="17" spans="1:23" ht="45.75" customHeight="1" x14ac:dyDescent="0.45">
      <c r="A17" s="268">
        <v>44362</v>
      </c>
      <c r="B17" s="250" t="s">
        <v>151</v>
      </c>
      <c r="D17" s="245"/>
      <c r="F17" s="250"/>
      <c r="H17" s="250">
        <v>45</v>
      </c>
      <c r="N17" s="279" t="s">
        <v>8</v>
      </c>
      <c r="O17" s="287"/>
      <c r="P17" s="287"/>
      <c r="Q17" s="246"/>
      <c r="R17" s="288"/>
      <c r="S17" s="298"/>
    </row>
    <row r="18" spans="1:23" ht="20.25" customHeight="1" x14ac:dyDescent="0.45">
      <c r="A18" s="268">
        <v>44363</v>
      </c>
      <c r="D18" s="246" t="s">
        <v>27</v>
      </c>
      <c r="E18" s="246"/>
      <c r="F18" s="250"/>
      <c r="G18" s="285"/>
      <c r="H18" s="251"/>
      <c r="J18" s="246">
        <v>30</v>
      </c>
      <c r="N18" s="287"/>
      <c r="P18" s="341" t="s">
        <v>9</v>
      </c>
      <c r="Q18" s="287"/>
      <c r="R18" s="288"/>
      <c r="S18" s="304"/>
    </row>
    <row r="19" spans="1:23" ht="30" customHeight="1" x14ac:dyDescent="0.45">
      <c r="A19" s="268">
        <v>44364</v>
      </c>
      <c r="B19" s="247"/>
      <c r="C19" s="248"/>
      <c r="D19" s="284" t="s">
        <v>152</v>
      </c>
      <c r="E19" s="249"/>
      <c r="F19" s="250"/>
      <c r="G19" s="285"/>
      <c r="H19" s="251"/>
      <c r="J19" s="246">
        <v>15</v>
      </c>
      <c r="N19" s="345"/>
      <c r="O19" s="346"/>
      <c r="P19" s="341" t="s">
        <v>9</v>
      </c>
      <c r="Q19" s="346"/>
      <c r="R19" s="347"/>
      <c r="S19" s="304"/>
    </row>
    <row r="20" spans="1:23" ht="21" customHeight="1" x14ac:dyDescent="0.45">
      <c r="A20" s="268">
        <v>44365</v>
      </c>
      <c r="B20" s="247"/>
      <c r="C20" s="248"/>
      <c r="D20" s="245" t="s">
        <v>153</v>
      </c>
      <c r="E20" s="249"/>
      <c r="F20" s="250"/>
      <c r="H20" s="247"/>
      <c r="I20" s="248"/>
      <c r="J20" s="284">
        <v>30</v>
      </c>
      <c r="K20" s="248"/>
      <c r="L20" s="248"/>
      <c r="M20" s="249"/>
      <c r="N20" s="339"/>
      <c r="O20" s="287"/>
      <c r="P20" s="287"/>
      <c r="Q20" s="287"/>
      <c r="R20" s="340"/>
      <c r="S20" s="298"/>
    </row>
    <row r="21" spans="1:23" ht="27.75" customHeight="1" x14ac:dyDescent="0.45">
      <c r="A21" s="268">
        <v>44366</v>
      </c>
      <c r="C21" s="246" t="s">
        <v>154</v>
      </c>
      <c r="D21" s="246" t="s">
        <v>155</v>
      </c>
      <c r="E21" s="226"/>
      <c r="F21" s="250"/>
      <c r="I21" s="246">
        <v>90</v>
      </c>
      <c r="J21" s="246">
        <v>405</v>
      </c>
      <c r="N21" s="287"/>
      <c r="O21" s="286" t="s">
        <v>7</v>
      </c>
      <c r="P21" s="279" t="s">
        <v>8</v>
      </c>
      <c r="Q21" s="287"/>
      <c r="R21" s="288"/>
      <c r="S21" s="298"/>
    </row>
    <row r="22" spans="1:23" ht="47.25" customHeight="1" x14ac:dyDescent="0.45">
      <c r="A22" s="268">
        <v>44367</v>
      </c>
      <c r="D22" s="245" t="s">
        <v>156</v>
      </c>
      <c r="E22" s="305"/>
      <c r="F22" s="250"/>
      <c r="J22" s="306">
        <v>130</v>
      </c>
      <c r="K22" s="307"/>
      <c r="L22" s="307"/>
      <c r="M22" s="308"/>
      <c r="P22" s="279" t="s">
        <v>8</v>
      </c>
      <c r="Q22" s="287"/>
      <c r="R22" s="288"/>
      <c r="S22" s="298"/>
    </row>
    <row r="23" spans="1:23" ht="15" customHeight="1" x14ac:dyDescent="0.45">
      <c r="A23" s="268">
        <v>44368</v>
      </c>
      <c r="D23" s="246" t="s">
        <v>157</v>
      </c>
      <c r="F23" s="250"/>
      <c r="J23" s="306">
        <v>280</v>
      </c>
      <c r="K23" s="307"/>
      <c r="L23" s="307"/>
      <c r="M23" s="308"/>
      <c r="N23" s="287"/>
      <c r="P23" s="279" t="s">
        <v>8</v>
      </c>
      <c r="Q23" s="246"/>
      <c r="R23" s="288"/>
      <c r="S23" s="298"/>
    </row>
    <row r="24" spans="1:23" ht="15" customHeight="1" x14ac:dyDescent="0.45">
      <c r="A24" s="1437">
        <v>44369</v>
      </c>
      <c r="B24" s="1443" t="s">
        <v>158</v>
      </c>
      <c r="C24" s="248"/>
      <c r="D24" s="1445" t="s">
        <v>27</v>
      </c>
      <c r="E24" s="249"/>
      <c r="F24" s="250"/>
      <c r="H24" s="1371">
        <v>40</v>
      </c>
      <c r="J24" s="1373">
        <v>40</v>
      </c>
      <c r="K24" s="307"/>
      <c r="L24" s="307"/>
      <c r="M24" s="308"/>
      <c r="N24" s="1447" t="s">
        <v>9</v>
      </c>
      <c r="O24" s="287"/>
      <c r="P24" s="1448" t="s">
        <v>9</v>
      </c>
      <c r="Q24" s="287"/>
      <c r="R24" s="340"/>
      <c r="S24" s="298"/>
    </row>
    <row r="25" spans="1:23" ht="15" customHeight="1" x14ac:dyDescent="0.45">
      <c r="A25" s="1438"/>
      <c r="B25" s="1444"/>
      <c r="D25" s="1446"/>
      <c r="E25" s="290"/>
      <c r="F25" s="250"/>
      <c r="H25" s="1372"/>
      <c r="J25" s="1374"/>
      <c r="K25" s="307"/>
      <c r="L25" s="307"/>
      <c r="M25" s="308"/>
      <c r="N25" s="1447"/>
      <c r="P25" s="1449"/>
      <c r="Q25" s="246"/>
      <c r="R25" s="288"/>
      <c r="S25" s="298"/>
    </row>
    <row r="26" spans="1:23" x14ac:dyDescent="0.45">
      <c r="A26" s="268">
        <v>44370</v>
      </c>
      <c r="D26" s="245"/>
      <c r="F26" s="250"/>
      <c r="J26" s="306"/>
      <c r="K26" s="307"/>
      <c r="L26" s="307"/>
      <c r="M26" s="308"/>
      <c r="N26" s="287"/>
      <c r="Q26" s="246"/>
      <c r="R26" s="288"/>
      <c r="S26" s="298"/>
    </row>
    <row r="27" spans="1:23" x14ac:dyDescent="0.45">
      <c r="A27" s="268">
        <v>44371</v>
      </c>
      <c r="C27" s="245"/>
      <c r="D27" s="250"/>
      <c r="E27" s="338" t="s">
        <v>147</v>
      </c>
      <c r="F27" s="250"/>
      <c r="J27" s="306"/>
      <c r="K27" s="307">
        <v>60</v>
      </c>
      <c r="L27" s="307"/>
      <c r="M27" s="308"/>
      <c r="N27" s="339"/>
      <c r="O27" s="287"/>
      <c r="P27" s="349"/>
      <c r="Q27" s="348" t="s">
        <v>9</v>
      </c>
      <c r="R27" s="340"/>
      <c r="S27" s="298"/>
    </row>
    <row r="28" spans="1:23" ht="27.75" customHeight="1" x14ac:dyDescent="0.45">
      <c r="A28" s="268">
        <v>44372</v>
      </c>
      <c r="B28" s="293"/>
      <c r="C28" s="248"/>
      <c r="D28" s="284" t="s">
        <v>41</v>
      </c>
      <c r="E28" s="285" t="s">
        <v>159</v>
      </c>
      <c r="F28" s="250"/>
      <c r="J28" s="306">
        <v>225</v>
      </c>
      <c r="K28" s="307">
        <v>130</v>
      </c>
      <c r="L28" s="307"/>
      <c r="M28" s="308"/>
      <c r="N28" s="287"/>
      <c r="O28" s="287"/>
      <c r="P28" s="279" t="s">
        <v>8</v>
      </c>
      <c r="Q28" s="286" t="s">
        <v>7</v>
      </c>
      <c r="R28" s="340"/>
      <c r="S28" s="298"/>
    </row>
    <row r="29" spans="1:23" ht="15" customHeight="1" x14ac:dyDescent="0.45">
      <c r="A29" s="1437">
        <v>44373</v>
      </c>
      <c r="B29" s="293"/>
      <c r="C29" s="245"/>
      <c r="D29" s="245"/>
      <c r="F29" s="250"/>
      <c r="M29" s="308"/>
      <c r="N29" s="287"/>
      <c r="P29" s="287"/>
      <c r="Q29" s="246"/>
      <c r="R29" s="288"/>
      <c r="S29" s="298"/>
      <c r="V29" s="309"/>
      <c r="W29" s="309"/>
    </row>
    <row r="30" spans="1:23" ht="15" customHeight="1" x14ac:dyDescent="0.45">
      <c r="A30" s="1438"/>
      <c r="B30" s="1368"/>
      <c r="C30" s="1369"/>
      <c r="D30" s="1369"/>
      <c r="E30" s="1370"/>
      <c r="F30" s="250"/>
      <c r="M30" s="308"/>
      <c r="N30" s="1440"/>
      <c r="O30" s="1441"/>
      <c r="P30" s="1441"/>
      <c r="Q30" s="1441"/>
      <c r="R30" s="1442"/>
      <c r="S30" s="298"/>
    </row>
    <row r="31" spans="1:23" ht="19.5" customHeight="1" x14ac:dyDescent="0.45">
      <c r="A31" s="1437">
        <v>44374</v>
      </c>
      <c r="B31" s="293"/>
      <c r="C31" s="245"/>
      <c r="D31" s="245"/>
      <c r="E31" s="285"/>
      <c r="F31" s="250"/>
      <c r="M31" s="308"/>
      <c r="N31" s="287"/>
      <c r="O31" s="287"/>
      <c r="P31" s="287"/>
      <c r="Q31" s="246"/>
      <c r="R31" s="288"/>
      <c r="S31" s="298"/>
    </row>
    <row r="32" spans="1:23" ht="15" customHeight="1" x14ac:dyDescent="0.45">
      <c r="A32" s="1438"/>
      <c r="C32" s="250"/>
      <c r="D32" s="250"/>
      <c r="E32" s="250"/>
      <c r="F32" s="250"/>
      <c r="M32" s="308"/>
      <c r="N32" s="287"/>
      <c r="O32" s="287"/>
      <c r="P32" s="287"/>
      <c r="Q32" s="287"/>
      <c r="R32" s="288"/>
      <c r="S32" s="298"/>
    </row>
    <row r="33" spans="1:19" ht="15" customHeight="1" x14ac:dyDescent="0.45">
      <c r="A33" s="268">
        <v>44375</v>
      </c>
      <c r="B33" s="247"/>
      <c r="C33" s="248"/>
      <c r="D33" s="248"/>
      <c r="E33" s="293"/>
      <c r="F33" s="293"/>
      <c r="N33" s="339"/>
      <c r="O33" s="287"/>
      <c r="P33" s="287"/>
      <c r="Q33" s="287"/>
      <c r="R33" s="340"/>
      <c r="S33" s="298"/>
    </row>
    <row r="34" spans="1:19" ht="24.75" customHeight="1" x14ac:dyDescent="0.45">
      <c r="A34" s="268">
        <v>44376</v>
      </c>
      <c r="B34" s="293"/>
      <c r="C34" s="245"/>
      <c r="D34" s="293"/>
      <c r="E34" s="246" t="s">
        <v>160</v>
      </c>
      <c r="F34" s="310"/>
      <c r="I34" s="245"/>
      <c r="K34" s="302">
        <v>120</v>
      </c>
      <c r="N34" s="287"/>
      <c r="O34" s="287"/>
      <c r="P34" s="349"/>
      <c r="Q34" s="348" t="s">
        <v>9</v>
      </c>
      <c r="S34" s="298"/>
    </row>
    <row r="35" spans="1:19" ht="54" x14ac:dyDescent="0.45">
      <c r="A35" s="1437">
        <v>44377</v>
      </c>
      <c r="C35" s="245"/>
      <c r="D35" s="245" t="s">
        <v>162</v>
      </c>
      <c r="E35" s="283" t="s">
        <v>161</v>
      </c>
      <c r="F35" s="293"/>
      <c r="J35" s="246">
        <v>220</v>
      </c>
      <c r="K35" s="302">
        <v>85</v>
      </c>
      <c r="N35" s="287"/>
      <c r="P35" s="279" t="s">
        <v>8</v>
      </c>
      <c r="Q35" s="279" t="s">
        <v>8</v>
      </c>
      <c r="R35" s="288"/>
      <c r="S35" s="298"/>
    </row>
    <row r="36" spans="1:19" ht="26.25" customHeight="1" x14ac:dyDescent="0.45">
      <c r="A36" s="1438"/>
      <c r="C36" s="248"/>
      <c r="D36" s="250"/>
      <c r="E36" s="249"/>
      <c r="F36" s="293"/>
      <c r="N36" s="287"/>
      <c r="O36" s="287"/>
      <c r="P36" s="287"/>
      <c r="Q36" s="287"/>
      <c r="R36" s="340"/>
      <c r="S36" s="298"/>
    </row>
    <row r="37" spans="1:19" ht="15" customHeight="1" x14ac:dyDescent="0.45">
      <c r="A37" s="1437"/>
      <c r="C37" s="248"/>
      <c r="D37" s="251"/>
      <c r="E37" s="249"/>
      <c r="F37" s="293"/>
      <c r="N37" s="287"/>
      <c r="O37" s="287"/>
      <c r="P37" s="287"/>
      <c r="Q37" s="287"/>
      <c r="R37" s="340"/>
      <c r="S37" s="298"/>
    </row>
    <row r="38" spans="1:19" x14ac:dyDescent="0.45">
      <c r="A38" s="1438"/>
      <c r="D38" s="250"/>
      <c r="E38" s="290"/>
      <c r="F38" s="293"/>
      <c r="N38" s="287"/>
      <c r="P38" s="287"/>
      <c r="Q38" s="246"/>
      <c r="R38" s="288"/>
      <c r="S38" s="298"/>
    </row>
    <row r="39" spans="1:19" ht="15" customHeight="1" x14ac:dyDescent="0.45">
      <c r="A39" s="268"/>
      <c r="B39" s="1368"/>
      <c r="C39" s="1369"/>
      <c r="D39" s="1369"/>
      <c r="E39" s="1370"/>
      <c r="F39" s="250"/>
      <c r="N39" s="1440"/>
      <c r="O39" s="1441"/>
      <c r="P39" s="1441"/>
      <c r="Q39" s="1441"/>
      <c r="R39" s="1442"/>
      <c r="S39" s="298"/>
    </row>
    <row r="40" spans="1:19" ht="15" customHeight="1" x14ac:dyDescent="0.45">
      <c r="A40" s="268"/>
      <c r="F40" s="250"/>
      <c r="N40" s="287"/>
      <c r="Q40" s="246"/>
      <c r="R40" s="274"/>
      <c r="S40" s="311"/>
    </row>
    <row r="41" spans="1:19" ht="15" customHeight="1" x14ac:dyDescent="0.45">
      <c r="A41" s="1437"/>
      <c r="E41" s="246"/>
      <c r="F41" s="250"/>
      <c r="O41" s="287"/>
      <c r="P41" s="287"/>
      <c r="Q41" s="287"/>
      <c r="S41" s="311"/>
    </row>
    <row r="42" spans="1:19" ht="15" customHeight="1" x14ac:dyDescent="0.45">
      <c r="A42" s="1438"/>
      <c r="B42" s="293"/>
      <c r="D42" s="250"/>
      <c r="F42" s="250"/>
      <c r="G42" s="301"/>
      <c r="N42" s="302"/>
      <c r="P42" s="287"/>
      <c r="Q42" s="246"/>
      <c r="R42" s="302"/>
      <c r="S42" s="311"/>
    </row>
    <row r="43" spans="1:19" ht="15" customHeight="1" x14ac:dyDescent="0.45">
      <c r="A43" s="1437"/>
      <c r="B43" s="293"/>
      <c r="D43" s="250"/>
      <c r="E43" s="250"/>
      <c r="F43" s="250"/>
      <c r="G43" s="301"/>
      <c r="N43" s="284"/>
      <c r="O43" s="287"/>
      <c r="P43" s="287"/>
      <c r="Q43" s="287"/>
      <c r="R43" s="284"/>
      <c r="S43" s="311"/>
    </row>
    <row r="44" spans="1:19" ht="15" customHeight="1" x14ac:dyDescent="0.45">
      <c r="A44" s="1438"/>
      <c r="F44" s="250"/>
      <c r="Q44" s="246"/>
      <c r="R44" s="285"/>
      <c r="S44" s="311"/>
    </row>
    <row r="45" spans="1:19" ht="15" customHeight="1" x14ac:dyDescent="0.45">
      <c r="A45" s="268"/>
      <c r="B45" s="1368"/>
      <c r="C45" s="1369"/>
      <c r="D45" s="1369"/>
      <c r="E45" s="1370"/>
      <c r="F45" s="250"/>
      <c r="N45" s="1368"/>
      <c r="O45" s="1369"/>
      <c r="P45" s="1369"/>
      <c r="Q45" s="1450"/>
      <c r="S45" s="311"/>
    </row>
    <row r="46" spans="1:19" ht="15" customHeight="1" x14ac:dyDescent="0.45">
      <c r="A46" s="268"/>
      <c r="F46" s="250"/>
      <c r="G46" s="301"/>
      <c r="Q46" s="246"/>
      <c r="R46" s="302"/>
      <c r="S46" s="311"/>
    </row>
    <row r="47" spans="1:19" ht="18.45" thickBot="1" x14ac:dyDescent="0.5">
      <c r="A47" s="312" t="s">
        <v>20</v>
      </c>
      <c r="B47" s="313"/>
      <c r="C47" s="314"/>
      <c r="D47" s="314"/>
      <c r="E47" s="315"/>
      <c r="F47" s="313">
        <f>SUM(F3:F46)</f>
        <v>0</v>
      </c>
      <c r="G47" s="316"/>
      <c r="H47" s="313">
        <f t="shared" ref="H47:M47" si="0">SUM(H3:H46)</f>
        <v>665</v>
      </c>
      <c r="I47" s="314">
        <f t="shared" si="0"/>
        <v>90</v>
      </c>
      <c r="J47" s="314">
        <f t="shared" si="0"/>
        <v>2010</v>
      </c>
      <c r="K47" s="317">
        <f t="shared" si="0"/>
        <v>1267</v>
      </c>
      <c r="L47" s="317">
        <f t="shared" si="0"/>
        <v>0</v>
      </c>
      <c r="M47" s="315">
        <f t="shared" si="0"/>
        <v>0</v>
      </c>
      <c r="N47" s="313"/>
      <c r="O47" s="314"/>
      <c r="P47" s="314"/>
      <c r="Q47" s="317"/>
      <c r="R47" s="318"/>
      <c r="S47" s="319"/>
    </row>
    <row r="48" spans="1:19" ht="18.45" thickBot="1" x14ac:dyDescent="0.5">
      <c r="A48" s="312" t="s">
        <v>21</v>
      </c>
      <c r="B48" s="287"/>
      <c r="C48" s="287"/>
      <c r="D48" s="287"/>
      <c r="E48" s="287"/>
      <c r="F48" s="287">
        <f>F47/60</f>
        <v>0</v>
      </c>
      <c r="G48" s="287"/>
      <c r="H48" s="320">
        <f t="shared" ref="H48:M48" si="1">H47/60</f>
        <v>11.083333333333334</v>
      </c>
      <c r="I48" s="320">
        <f t="shared" si="1"/>
        <v>1.5</v>
      </c>
      <c r="J48" s="320">
        <f t="shared" si="1"/>
        <v>33.5</v>
      </c>
      <c r="K48" s="320">
        <f t="shared" si="1"/>
        <v>21.116666666666667</v>
      </c>
      <c r="L48" s="320">
        <f t="shared" si="1"/>
        <v>0</v>
      </c>
      <c r="M48" s="320">
        <f t="shared" si="1"/>
        <v>0</v>
      </c>
      <c r="N48" s="287"/>
      <c r="O48" s="287"/>
      <c r="P48" s="287"/>
      <c r="Q48" s="287"/>
    </row>
    <row r="49" spans="1:19" x14ac:dyDescent="0.45">
      <c r="A49" s="287" t="s">
        <v>41</v>
      </c>
      <c r="B49" s="287"/>
      <c r="C49" s="287"/>
      <c r="D49" s="287"/>
      <c r="E49" s="287"/>
      <c r="F49" s="287"/>
      <c r="G49" s="287"/>
      <c r="H49" s="321">
        <f>(H4+H17)/60</f>
        <v>5.583333333333333</v>
      </c>
      <c r="I49" s="321">
        <f>(I41)/60</f>
        <v>0</v>
      </c>
      <c r="J49" s="321">
        <f>(J13+J14+J21+J22+J23+J28+J35)/60</f>
        <v>28.916666666666668</v>
      </c>
      <c r="K49" s="321">
        <f>(K7+K10+K15+K35)/60</f>
        <v>8.5833333333333339</v>
      </c>
      <c r="L49" s="322">
        <f t="shared" ref="L49:M51" si="2">L17/24</f>
        <v>0</v>
      </c>
      <c r="M49" s="322">
        <f t="shared" si="2"/>
        <v>0</v>
      </c>
      <c r="N49" s="287"/>
      <c r="O49" s="287"/>
      <c r="P49" s="287"/>
      <c r="Q49" s="287"/>
    </row>
    <row r="50" spans="1:19" x14ac:dyDescent="0.45">
      <c r="A50" s="287" t="s">
        <v>42</v>
      </c>
      <c r="B50" s="287"/>
      <c r="C50" s="287"/>
      <c r="D50" s="287"/>
      <c r="E50" s="287"/>
      <c r="F50" s="287"/>
      <c r="G50" s="287"/>
      <c r="H50" s="321">
        <f>(H5)/60</f>
        <v>4.833333333333333</v>
      </c>
      <c r="I50" s="321">
        <f>(I21)/60</f>
        <v>1.5</v>
      </c>
      <c r="J50" s="321">
        <f>(J6+J12+J20)/60</f>
        <v>3.1666666666666665</v>
      </c>
      <c r="K50" s="321">
        <f>(K6+K8+K11+K28)/60</f>
        <v>8.7833333333333332</v>
      </c>
      <c r="L50" s="322">
        <f t="shared" si="2"/>
        <v>0</v>
      </c>
      <c r="M50" s="322">
        <f t="shared" si="2"/>
        <v>0</v>
      </c>
      <c r="N50" s="287"/>
      <c r="O50" s="287"/>
      <c r="P50" s="287"/>
      <c r="Q50" s="287"/>
    </row>
    <row r="51" spans="1:19" x14ac:dyDescent="0.45">
      <c r="A51" s="287" t="s">
        <v>43</v>
      </c>
      <c r="B51" s="287"/>
      <c r="C51" s="287"/>
      <c r="D51" s="287"/>
      <c r="E51" s="287"/>
      <c r="F51" s="287"/>
      <c r="G51" s="287"/>
      <c r="H51" s="321">
        <f>(H24)/60</f>
        <v>0.66666666666666663</v>
      </c>
      <c r="I51" s="321">
        <v>0</v>
      </c>
      <c r="J51" s="321">
        <f>(J24+J19+J18)/60</f>
        <v>1.4166666666666667</v>
      </c>
      <c r="K51" s="321">
        <f>(K9+K27+K34)/60</f>
        <v>3.75</v>
      </c>
      <c r="L51" s="322">
        <f t="shared" si="2"/>
        <v>0</v>
      </c>
      <c r="M51" s="322">
        <f t="shared" si="2"/>
        <v>0</v>
      </c>
      <c r="N51" s="287"/>
      <c r="O51" s="287"/>
      <c r="P51" s="287"/>
      <c r="Q51" s="287"/>
    </row>
    <row r="52" spans="1:19" x14ac:dyDescent="0.45">
      <c r="A52" s="287" t="s">
        <v>141</v>
      </c>
      <c r="B52" s="255"/>
      <c r="C52" s="255"/>
      <c r="D52" s="255"/>
      <c r="E52" s="255"/>
      <c r="F52" s="255"/>
      <c r="G52" s="255"/>
      <c r="H52" s="321">
        <f>(H39)/60</f>
        <v>0</v>
      </c>
      <c r="I52" s="321">
        <f>(I39)/60</f>
        <v>0</v>
      </c>
      <c r="J52" s="321">
        <f>(J39)/60</f>
        <v>0</v>
      </c>
      <c r="K52" s="321">
        <f>K39/60</f>
        <v>0</v>
      </c>
      <c r="L52" s="255"/>
      <c r="M52" s="255"/>
      <c r="N52" s="255"/>
      <c r="O52" s="255"/>
      <c r="P52" s="255"/>
      <c r="Q52" s="255"/>
      <c r="R52" s="255"/>
      <c r="S52" s="255"/>
    </row>
    <row r="53" spans="1:19" x14ac:dyDescent="0.45">
      <c r="A53" s="287"/>
      <c r="B53" s="255"/>
      <c r="C53" s="255"/>
      <c r="D53" s="255"/>
      <c r="E53" s="255"/>
      <c r="F53" s="255"/>
      <c r="G53" s="255"/>
      <c r="H53" s="255"/>
      <c r="I53" s="287"/>
      <c r="J53" s="255"/>
      <c r="K53" s="255"/>
      <c r="L53" s="255"/>
      <c r="M53" s="255"/>
      <c r="N53" s="255"/>
      <c r="O53" s="255"/>
      <c r="P53" s="255"/>
      <c r="Q53" s="255"/>
      <c r="R53" s="255"/>
      <c r="S53" s="255"/>
    </row>
    <row r="54" spans="1:19" x14ac:dyDescent="0.45">
      <c r="A54" s="287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</row>
    <row r="55" spans="1:19" x14ac:dyDescent="0.45">
      <c r="A55" s="287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</row>
    <row r="56" spans="1:19" x14ac:dyDescent="0.45">
      <c r="A56" s="287"/>
      <c r="B56" s="255"/>
      <c r="C56" s="255"/>
      <c r="D56" s="255"/>
      <c r="E56" s="323"/>
      <c r="F56" s="323"/>
      <c r="G56" s="309"/>
      <c r="H56" s="309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</row>
    <row r="57" spans="1:19" x14ac:dyDescent="0.45">
      <c r="B57" s="255"/>
      <c r="C57" s="1358" t="s">
        <v>143</v>
      </c>
      <c r="D57" s="1359"/>
      <c r="E57" s="1359"/>
      <c r="F57" s="1359"/>
      <c r="G57" s="1360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</row>
    <row r="58" spans="1:19" ht="18.45" thickBot="1" x14ac:dyDescent="0.5"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</row>
    <row r="59" spans="1:19" ht="18.45" thickBot="1" x14ac:dyDescent="0.5">
      <c r="B59" s="255"/>
      <c r="C59" s="325"/>
      <c r="D59" s="325" t="s">
        <v>1</v>
      </c>
      <c r="E59" s="326" t="s">
        <v>101</v>
      </c>
      <c r="F59" s="326" t="s">
        <v>102</v>
      </c>
      <c r="G59" s="326" t="s">
        <v>103</v>
      </c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</row>
    <row r="60" spans="1:19" x14ac:dyDescent="0.45">
      <c r="B60" s="255"/>
      <c r="C60" s="327" t="s">
        <v>108</v>
      </c>
      <c r="D60" s="328">
        <f>H49</f>
        <v>5.583333333333333</v>
      </c>
      <c r="E60" s="328">
        <f t="shared" ref="E60:F63" si="3">J49</f>
        <v>28.916666666666668</v>
      </c>
      <c r="F60" s="328">
        <f t="shared" si="3"/>
        <v>8.5833333333333339</v>
      </c>
      <c r="G60" s="329">
        <f>I49</f>
        <v>0</v>
      </c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</row>
    <row r="61" spans="1:19" x14ac:dyDescent="0.45">
      <c r="A61" s="287"/>
      <c r="B61" s="255"/>
      <c r="C61" s="330" t="s">
        <v>109</v>
      </c>
      <c r="D61" s="331">
        <f>H50</f>
        <v>4.833333333333333</v>
      </c>
      <c r="E61" s="331">
        <f t="shared" si="3"/>
        <v>3.1666666666666665</v>
      </c>
      <c r="F61" s="331">
        <f t="shared" si="3"/>
        <v>8.7833333333333332</v>
      </c>
      <c r="G61" s="332">
        <f>I50</f>
        <v>1.5</v>
      </c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</row>
    <row r="62" spans="1:19" x14ac:dyDescent="0.45">
      <c r="A62" s="255"/>
      <c r="B62" s="255"/>
      <c r="C62" s="330" t="s">
        <v>110</v>
      </c>
      <c r="D62" s="331">
        <f>H51</f>
        <v>0.66666666666666663</v>
      </c>
      <c r="E62" s="331">
        <f t="shared" si="3"/>
        <v>1.4166666666666667</v>
      </c>
      <c r="F62" s="331">
        <f t="shared" si="3"/>
        <v>3.75</v>
      </c>
      <c r="G62" s="332">
        <f>I51</f>
        <v>0</v>
      </c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</row>
    <row r="63" spans="1:19" ht="18.45" thickBot="1" x14ac:dyDescent="0.5">
      <c r="A63" s="255"/>
      <c r="B63" s="255"/>
      <c r="C63" s="333" t="s">
        <v>111</v>
      </c>
      <c r="D63" s="334">
        <f>H52</f>
        <v>0</v>
      </c>
      <c r="E63" s="334">
        <f t="shared" si="3"/>
        <v>0</v>
      </c>
      <c r="F63" s="334">
        <f t="shared" si="3"/>
        <v>0</v>
      </c>
      <c r="G63" s="334">
        <f>I52</f>
        <v>0</v>
      </c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</row>
    <row r="64" spans="1:19" ht="18.45" thickBot="1" x14ac:dyDescent="0.5">
      <c r="A64" s="255"/>
      <c r="B64" s="255"/>
      <c r="C64" s="335" t="s">
        <v>100</v>
      </c>
      <c r="D64" s="336">
        <f>D60+D61+D62+D63</f>
        <v>11.083333333333332</v>
      </c>
      <c r="E64" s="336">
        <f>E60+E61+E62+E63</f>
        <v>33.5</v>
      </c>
      <c r="F64" s="336">
        <f>F60+F61+F62+F63</f>
        <v>21.116666666666667</v>
      </c>
      <c r="G64" s="336">
        <f>G60+G61+G62+G63</f>
        <v>1.5</v>
      </c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</row>
    <row r="65" spans="3:4" s="255" customFormat="1" x14ac:dyDescent="0.45"/>
    <row r="66" spans="3:4" s="255" customFormat="1" x14ac:dyDescent="0.45">
      <c r="C66" s="287" t="s">
        <v>106</v>
      </c>
      <c r="D66" s="337">
        <f>D60+D61+D62+E60+E61+E62+F60+F61+F62+G60+G61+G62</f>
        <v>67.199999999999989</v>
      </c>
    </row>
    <row r="67" spans="3:4" s="255" customFormat="1" x14ac:dyDescent="0.45">
      <c r="C67" s="287" t="s">
        <v>107</v>
      </c>
      <c r="D67" s="337">
        <f>AVERAGE(D63:G63)</f>
        <v>0</v>
      </c>
    </row>
    <row r="68" spans="3:4" s="255" customFormat="1" x14ac:dyDescent="0.45"/>
    <row r="69" spans="3:4" s="255" customFormat="1" x14ac:dyDescent="0.45"/>
    <row r="70" spans="3:4" s="255" customFormat="1" x14ac:dyDescent="0.45"/>
    <row r="71" spans="3:4" s="255" customFormat="1" x14ac:dyDescent="0.45"/>
    <row r="72" spans="3:4" s="255" customFormat="1" x14ac:dyDescent="0.45"/>
    <row r="73" spans="3:4" s="255" customFormat="1" x14ac:dyDescent="0.45"/>
    <row r="74" spans="3:4" s="255" customFormat="1" x14ac:dyDescent="0.45"/>
    <row r="75" spans="3:4" s="255" customFormat="1" x14ac:dyDescent="0.45"/>
    <row r="76" spans="3:4" s="255" customFormat="1" x14ac:dyDescent="0.45"/>
    <row r="77" spans="3:4" s="255" customFormat="1" x14ac:dyDescent="0.45"/>
    <row r="78" spans="3:4" s="255" customFormat="1" x14ac:dyDescent="0.45"/>
    <row r="79" spans="3:4" s="255" customFormat="1" x14ac:dyDescent="0.45"/>
    <row r="80" spans="3:4" s="255" customFormat="1" x14ac:dyDescent="0.45"/>
    <row r="81" s="255" customFormat="1" x14ac:dyDescent="0.45"/>
    <row r="82" s="255" customFormat="1" x14ac:dyDescent="0.45"/>
    <row r="83" s="255" customFormat="1" x14ac:dyDescent="0.45"/>
    <row r="84" s="255" customFormat="1" x14ac:dyDescent="0.45"/>
    <row r="85" s="255" customFormat="1" x14ac:dyDescent="0.45"/>
    <row r="86" s="255" customFormat="1" x14ac:dyDescent="0.45"/>
    <row r="87" s="255" customFormat="1" x14ac:dyDescent="0.45"/>
    <row r="88" s="255" customFormat="1" x14ac:dyDescent="0.45"/>
    <row r="89" s="255" customFormat="1" x14ac:dyDescent="0.45"/>
    <row r="90" s="255" customFormat="1" x14ac:dyDescent="0.45"/>
    <row r="91" s="255" customFormat="1" x14ac:dyDescent="0.45"/>
    <row r="92" s="255" customFormat="1" x14ac:dyDescent="0.45"/>
    <row r="93" s="255" customFormat="1" x14ac:dyDescent="0.45"/>
    <row r="94" s="255" customFormat="1" x14ac:dyDescent="0.45"/>
    <row r="95" s="255" customFormat="1" x14ac:dyDescent="0.45"/>
    <row r="96" s="255" customFormat="1" x14ac:dyDescent="0.45"/>
    <row r="97" s="255" customFormat="1" x14ac:dyDescent="0.45"/>
    <row r="98" s="255" customFormat="1" x14ac:dyDescent="0.45"/>
    <row r="99" s="255" customFormat="1" x14ac:dyDescent="0.45"/>
    <row r="100" s="255" customFormat="1" x14ac:dyDescent="0.45"/>
    <row r="101" s="255" customFormat="1" x14ac:dyDescent="0.45"/>
    <row r="102" s="255" customFormat="1" x14ac:dyDescent="0.45"/>
    <row r="103" s="255" customFormat="1" x14ac:dyDescent="0.45"/>
    <row r="104" s="255" customFormat="1" x14ac:dyDescent="0.45"/>
    <row r="105" s="255" customFormat="1" x14ac:dyDescent="0.45"/>
    <row r="106" s="255" customFormat="1" x14ac:dyDescent="0.45"/>
    <row r="107" s="255" customFormat="1" x14ac:dyDescent="0.45"/>
    <row r="108" s="255" customFormat="1" x14ac:dyDescent="0.45"/>
    <row r="109" s="255" customFormat="1" x14ac:dyDescent="0.45"/>
    <row r="110" s="255" customFormat="1" x14ac:dyDescent="0.45"/>
    <row r="111" s="255" customFormat="1" x14ac:dyDescent="0.45"/>
    <row r="112" s="255" customFormat="1" x14ac:dyDescent="0.45"/>
    <row r="113" s="255" customFormat="1" x14ac:dyDescent="0.45"/>
    <row r="114" s="255" customFormat="1" x14ac:dyDescent="0.45"/>
    <row r="115" s="255" customFormat="1" x14ac:dyDescent="0.45"/>
    <row r="116" s="255" customFormat="1" x14ac:dyDescent="0.45"/>
    <row r="117" s="255" customFormat="1" x14ac:dyDescent="0.45"/>
    <row r="118" s="255" customFormat="1" x14ac:dyDescent="0.45"/>
    <row r="119" s="255" customFormat="1" x14ac:dyDescent="0.45"/>
    <row r="120" s="255" customFormat="1" x14ac:dyDescent="0.45"/>
    <row r="121" s="255" customFormat="1" x14ac:dyDescent="0.45"/>
    <row r="122" s="255" customFormat="1" x14ac:dyDescent="0.45"/>
    <row r="123" s="255" customFormat="1" x14ac:dyDescent="0.45"/>
    <row r="124" s="255" customFormat="1" x14ac:dyDescent="0.45"/>
    <row r="125" s="255" customFormat="1" x14ac:dyDescent="0.45"/>
    <row r="126" s="255" customFormat="1" x14ac:dyDescent="0.45"/>
    <row r="127" s="255" customFormat="1" x14ac:dyDescent="0.45"/>
    <row r="128" s="255" customFormat="1" x14ac:dyDescent="0.45"/>
    <row r="129" s="255" customFormat="1" x14ac:dyDescent="0.45"/>
    <row r="130" s="255" customFormat="1" x14ac:dyDescent="0.45"/>
    <row r="131" s="255" customFormat="1" x14ac:dyDescent="0.45"/>
    <row r="132" s="255" customFormat="1" x14ac:dyDescent="0.45"/>
    <row r="133" s="255" customFormat="1" x14ac:dyDescent="0.45"/>
    <row r="134" s="255" customFormat="1" x14ac:dyDescent="0.45"/>
    <row r="135" s="255" customFormat="1" x14ac:dyDescent="0.45"/>
    <row r="136" s="255" customFormat="1" x14ac:dyDescent="0.45"/>
    <row r="137" s="255" customFormat="1" x14ac:dyDescent="0.45"/>
    <row r="138" s="255" customFormat="1" x14ac:dyDescent="0.45"/>
    <row r="139" s="255" customFormat="1" x14ac:dyDescent="0.45"/>
    <row r="140" s="255" customFormat="1" x14ac:dyDescent="0.45"/>
    <row r="141" s="255" customFormat="1" x14ac:dyDescent="0.45"/>
    <row r="142" s="255" customFormat="1" x14ac:dyDescent="0.45"/>
    <row r="143" s="255" customFormat="1" x14ac:dyDescent="0.45"/>
    <row r="144" s="255" customFormat="1" x14ac:dyDescent="0.45"/>
    <row r="145" s="255" customFormat="1" x14ac:dyDescent="0.45"/>
    <row r="146" s="255" customFormat="1" x14ac:dyDescent="0.45"/>
    <row r="147" s="255" customFormat="1" x14ac:dyDescent="0.45"/>
    <row r="148" s="255" customFormat="1" x14ac:dyDescent="0.45"/>
    <row r="149" s="255" customFormat="1" x14ac:dyDescent="0.45"/>
    <row r="150" s="255" customFormat="1" x14ac:dyDescent="0.45"/>
    <row r="151" s="255" customFormat="1" x14ac:dyDescent="0.45"/>
    <row r="152" s="255" customFormat="1" x14ac:dyDescent="0.45"/>
    <row r="153" s="255" customFormat="1" x14ac:dyDescent="0.45"/>
    <row r="154" s="255" customFormat="1" x14ac:dyDescent="0.45"/>
    <row r="155" s="255" customFormat="1" x14ac:dyDescent="0.45"/>
    <row r="156" s="255" customFormat="1" x14ac:dyDescent="0.45"/>
    <row r="157" s="255" customFormat="1" x14ac:dyDescent="0.45"/>
    <row r="158" s="255" customFormat="1" x14ac:dyDescent="0.45"/>
    <row r="159" s="255" customFormat="1" x14ac:dyDescent="0.45"/>
    <row r="160" s="255" customFormat="1" x14ac:dyDescent="0.45"/>
    <row r="161" s="255" customFormat="1" x14ac:dyDescent="0.45"/>
    <row r="162" s="255" customFormat="1" x14ac:dyDescent="0.45"/>
    <row r="163" s="255" customFormat="1" x14ac:dyDescent="0.45"/>
    <row r="164" s="255" customFormat="1" x14ac:dyDescent="0.45"/>
    <row r="165" s="255" customFormat="1" x14ac:dyDescent="0.45"/>
    <row r="166" s="255" customFormat="1" x14ac:dyDescent="0.45"/>
    <row r="167" s="255" customFormat="1" x14ac:dyDescent="0.45"/>
    <row r="168" s="255" customFormat="1" x14ac:dyDescent="0.45"/>
    <row r="169" s="255" customFormat="1" x14ac:dyDescent="0.45"/>
    <row r="170" s="255" customFormat="1" x14ac:dyDescent="0.45"/>
    <row r="171" s="255" customFormat="1" x14ac:dyDescent="0.45"/>
    <row r="172" s="255" customFormat="1" x14ac:dyDescent="0.45"/>
    <row r="173" s="255" customFormat="1" x14ac:dyDescent="0.45"/>
    <row r="174" s="255" customFormat="1" x14ac:dyDescent="0.45"/>
    <row r="175" s="255" customFormat="1" x14ac:dyDescent="0.45"/>
    <row r="176" s="255" customFormat="1" x14ac:dyDescent="0.45"/>
    <row r="177" s="255" customFormat="1" x14ac:dyDescent="0.45"/>
    <row r="178" s="255" customFormat="1" x14ac:dyDescent="0.45"/>
    <row r="179" s="255" customFormat="1" x14ac:dyDescent="0.45"/>
    <row r="180" s="255" customFormat="1" x14ac:dyDescent="0.45"/>
    <row r="181" s="255" customFormat="1" x14ac:dyDescent="0.45"/>
    <row r="182" s="255" customFormat="1" x14ac:dyDescent="0.45"/>
    <row r="183" s="255" customFormat="1" x14ac:dyDescent="0.45"/>
    <row r="184" s="255" customFormat="1" x14ac:dyDescent="0.45"/>
    <row r="185" s="255" customFormat="1" x14ac:dyDescent="0.45"/>
    <row r="186" s="255" customFormat="1" x14ac:dyDescent="0.45"/>
    <row r="187" s="255" customFormat="1" x14ac:dyDescent="0.45"/>
    <row r="188" s="255" customFormat="1" x14ac:dyDescent="0.45"/>
    <row r="189" s="255" customFormat="1" x14ac:dyDescent="0.45"/>
    <row r="190" s="255" customFormat="1" x14ac:dyDescent="0.45"/>
    <row r="191" s="255" customFormat="1" x14ac:dyDescent="0.45"/>
    <row r="192" s="255" customFormat="1" x14ac:dyDescent="0.45"/>
    <row r="193" s="255" customFormat="1" x14ac:dyDescent="0.45"/>
    <row r="194" s="255" customFormat="1" x14ac:dyDescent="0.45"/>
    <row r="195" s="255" customFormat="1" x14ac:dyDescent="0.45"/>
    <row r="196" s="255" customFormat="1" x14ac:dyDescent="0.45"/>
    <row r="197" s="255" customFormat="1" x14ac:dyDescent="0.45"/>
    <row r="198" s="255" customFormat="1" x14ac:dyDescent="0.45"/>
    <row r="199" s="255" customFormat="1" x14ac:dyDescent="0.45"/>
    <row r="200" s="255" customFormat="1" x14ac:dyDescent="0.45"/>
    <row r="201" s="255" customFormat="1" x14ac:dyDescent="0.45"/>
    <row r="202" s="255" customFormat="1" x14ac:dyDescent="0.45"/>
    <row r="203" s="255" customFormat="1" x14ac:dyDescent="0.45"/>
    <row r="204" s="255" customFormat="1" x14ac:dyDescent="0.45"/>
    <row r="205" s="255" customFormat="1" x14ac:dyDescent="0.45"/>
    <row r="206" s="255" customFormat="1" x14ac:dyDescent="0.45"/>
    <row r="207" s="255" customFormat="1" x14ac:dyDescent="0.45"/>
    <row r="208" s="255" customFormat="1" x14ac:dyDescent="0.45"/>
    <row r="209" s="255" customFormat="1" x14ac:dyDescent="0.45"/>
    <row r="210" s="255" customFormat="1" x14ac:dyDescent="0.45"/>
    <row r="211" s="255" customFormat="1" x14ac:dyDescent="0.45"/>
    <row r="212" s="255" customFormat="1" x14ac:dyDescent="0.45"/>
    <row r="213" s="255" customFormat="1" x14ac:dyDescent="0.45"/>
    <row r="214" s="255" customFormat="1" x14ac:dyDescent="0.45"/>
    <row r="215" s="255" customFormat="1" x14ac:dyDescent="0.45"/>
    <row r="216" s="255" customFormat="1" x14ac:dyDescent="0.45"/>
    <row r="217" s="255" customFormat="1" x14ac:dyDescent="0.45"/>
    <row r="218" s="255" customFormat="1" x14ac:dyDescent="0.45"/>
    <row r="219" s="255" customFormat="1" x14ac:dyDescent="0.45"/>
    <row r="220" s="255" customFormat="1" x14ac:dyDescent="0.45"/>
    <row r="221" s="255" customFormat="1" x14ac:dyDescent="0.45"/>
    <row r="222" s="255" customFormat="1" x14ac:dyDescent="0.45"/>
    <row r="223" s="255" customFormat="1" x14ac:dyDescent="0.45"/>
    <row r="224" s="255" customFormat="1" x14ac:dyDescent="0.45"/>
    <row r="225" s="255" customFormat="1" x14ac:dyDescent="0.45"/>
    <row r="226" s="255" customFormat="1" x14ac:dyDescent="0.45"/>
    <row r="227" s="255" customFormat="1" x14ac:dyDescent="0.45"/>
    <row r="228" s="255" customFormat="1" x14ac:dyDescent="0.45"/>
    <row r="229" s="255" customFormat="1" x14ac:dyDescent="0.45"/>
    <row r="230" s="255" customFormat="1" x14ac:dyDescent="0.45"/>
    <row r="231" s="255" customFormat="1" x14ac:dyDescent="0.45"/>
    <row r="232" s="255" customFormat="1" x14ac:dyDescent="0.45"/>
    <row r="233" s="255" customFormat="1" x14ac:dyDescent="0.45"/>
    <row r="234" s="255" customFormat="1" x14ac:dyDescent="0.45"/>
    <row r="235" s="255" customFormat="1" x14ac:dyDescent="0.45"/>
    <row r="236" s="255" customFormat="1" x14ac:dyDescent="0.45"/>
    <row r="237" s="255" customFormat="1" x14ac:dyDescent="0.45"/>
    <row r="238" s="255" customFormat="1" x14ac:dyDescent="0.45"/>
    <row r="239" s="255" customFormat="1" x14ac:dyDescent="0.45"/>
    <row r="240" s="255" customFormat="1" x14ac:dyDescent="0.45"/>
    <row r="241" s="255" customFormat="1" x14ac:dyDescent="0.45"/>
    <row r="242" s="255" customFormat="1" x14ac:dyDescent="0.45"/>
    <row r="243" s="255" customFormat="1" x14ac:dyDescent="0.45"/>
    <row r="244" s="255" customFormat="1" x14ac:dyDescent="0.45"/>
    <row r="245" s="255" customFormat="1" x14ac:dyDescent="0.45"/>
    <row r="246" s="255" customFormat="1" x14ac:dyDescent="0.45"/>
    <row r="247" s="255" customFormat="1" x14ac:dyDescent="0.45"/>
    <row r="248" s="255" customFormat="1" x14ac:dyDescent="0.45"/>
    <row r="249" s="255" customFormat="1" x14ac:dyDescent="0.45"/>
    <row r="250" s="255" customFormat="1" x14ac:dyDescent="0.45"/>
    <row r="251" s="255" customFormat="1" x14ac:dyDescent="0.45"/>
    <row r="252" s="255" customFormat="1" x14ac:dyDescent="0.45"/>
    <row r="253" s="255" customFormat="1" x14ac:dyDescent="0.45"/>
    <row r="254" s="255" customFormat="1" x14ac:dyDescent="0.45"/>
    <row r="255" s="255" customFormat="1" x14ac:dyDescent="0.45"/>
    <row r="256" s="255" customFormat="1" x14ac:dyDescent="0.45"/>
    <row r="257" s="255" customFormat="1" x14ac:dyDescent="0.45"/>
    <row r="258" s="255" customFormat="1" x14ac:dyDescent="0.45"/>
    <row r="259" s="255" customFormat="1" x14ac:dyDescent="0.45"/>
    <row r="260" s="255" customFormat="1" x14ac:dyDescent="0.45"/>
    <row r="261" s="255" customFormat="1" x14ac:dyDescent="0.45"/>
    <row r="262" s="255" customFormat="1" x14ac:dyDescent="0.45"/>
    <row r="263" s="255" customFormat="1" x14ac:dyDescent="0.45"/>
    <row r="264" s="255" customFormat="1" x14ac:dyDescent="0.45"/>
    <row r="265" s="255" customFormat="1" x14ac:dyDescent="0.45"/>
    <row r="266" s="255" customFormat="1" x14ac:dyDescent="0.45"/>
    <row r="267" s="255" customFormat="1" x14ac:dyDescent="0.45"/>
    <row r="268" s="255" customFormat="1" x14ac:dyDescent="0.45"/>
    <row r="269" s="255" customFormat="1" x14ac:dyDescent="0.45"/>
    <row r="270" s="255" customFormat="1" x14ac:dyDescent="0.45"/>
    <row r="271" s="255" customFormat="1" x14ac:dyDescent="0.45"/>
    <row r="272" s="255" customFormat="1" x14ac:dyDescent="0.45"/>
    <row r="273" s="255" customFormat="1" x14ac:dyDescent="0.45"/>
    <row r="274" s="255" customFormat="1" x14ac:dyDescent="0.45"/>
    <row r="275" s="255" customFormat="1" x14ac:dyDescent="0.45"/>
    <row r="276" s="255" customFormat="1" x14ac:dyDescent="0.45"/>
    <row r="277" s="255" customFormat="1" x14ac:dyDescent="0.45"/>
    <row r="278" s="255" customFormat="1" x14ac:dyDescent="0.45"/>
    <row r="279" s="255" customFormat="1" x14ac:dyDescent="0.45"/>
    <row r="280" s="255" customFormat="1" x14ac:dyDescent="0.45"/>
    <row r="281" s="255" customFormat="1" x14ac:dyDescent="0.45"/>
    <row r="282" s="255" customFormat="1" x14ac:dyDescent="0.45"/>
    <row r="283" s="255" customFormat="1" x14ac:dyDescent="0.45"/>
    <row r="284" s="255" customFormat="1" x14ac:dyDescent="0.45"/>
    <row r="285" s="255" customFormat="1" x14ac:dyDescent="0.45"/>
    <row r="286" s="255" customFormat="1" x14ac:dyDescent="0.45"/>
    <row r="287" s="255" customFormat="1" x14ac:dyDescent="0.45"/>
    <row r="288" s="255" customFormat="1" x14ac:dyDescent="0.45"/>
    <row r="289" spans="1:19" x14ac:dyDescent="0.45">
      <c r="A289" s="255"/>
      <c r="B289" s="255"/>
      <c r="C289" s="255"/>
      <c r="D289" s="255"/>
      <c r="E289" s="255"/>
      <c r="F289" s="255"/>
      <c r="G289" s="255"/>
      <c r="H289" s="255"/>
      <c r="I289" s="255"/>
      <c r="J289" s="255"/>
      <c r="K289" s="255"/>
      <c r="L289" s="255"/>
      <c r="M289" s="255"/>
      <c r="N289" s="255"/>
      <c r="O289" s="255"/>
      <c r="P289" s="255"/>
      <c r="Q289" s="255"/>
      <c r="R289" s="255"/>
      <c r="S289" s="255"/>
    </row>
    <row r="290" spans="1:19" x14ac:dyDescent="0.45">
      <c r="A290" s="255"/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5"/>
      <c r="M290" s="255"/>
      <c r="N290" s="255"/>
      <c r="O290" s="255"/>
      <c r="P290" s="255"/>
      <c r="Q290" s="255"/>
      <c r="R290" s="255"/>
      <c r="S290" s="255"/>
    </row>
    <row r="291" spans="1:19" x14ac:dyDescent="0.45">
      <c r="A291" s="255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  <c r="S291" s="255"/>
    </row>
    <row r="292" spans="1:19" x14ac:dyDescent="0.45">
      <c r="A292" s="255"/>
    </row>
    <row r="293" spans="1:19" x14ac:dyDescent="0.45">
      <c r="A293" s="255"/>
    </row>
    <row r="294" spans="1:19" x14ac:dyDescent="0.45">
      <c r="A294" s="255"/>
    </row>
    <row r="295" spans="1:19" x14ac:dyDescent="0.45">
      <c r="A295" s="255"/>
    </row>
    <row r="296" spans="1:19" x14ac:dyDescent="0.45">
      <c r="A296" s="255"/>
    </row>
    <row r="297" spans="1:19" x14ac:dyDescent="0.45">
      <c r="A297" s="255"/>
    </row>
    <row r="298" spans="1:19" x14ac:dyDescent="0.45">
      <c r="A298" s="255"/>
    </row>
    <row r="299" spans="1:19" x14ac:dyDescent="0.45">
      <c r="A299" s="255"/>
    </row>
    <row r="300" spans="1:19" x14ac:dyDescent="0.45">
      <c r="A300" s="255"/>
    </row>
  </sheetData>
  <mergeCells count="26">
    <mergeCell ref="N24:N25"/>
    <mergeCell ref="P24:P25"/>
    <mergeCell ref="C57:G57"/>
    <mergeCell ref="B45:E45"/>
    <mergeCell ref="N45:Q45"/>
    <mergeCell ref="A37:A38"/>
    <mergeCell ref="B39:E39"/>
    <mergeCell ref="N39:R39"/>
    <mergeCell ref="A41:A42"/>
    <mergeCell ref="A43:A44"/>
    <mergeCell ref="A35:A36"/>
    <mergeCell ref="B1:E1"/>
    <mergeCell ref="H1:M1"/>
    <mergeCell ref="N1:Q1"/>
    <mergeCell ref="A10:A11"/>
    <mergeCell ref="A24:A25"/>
    <mergeCell ref="A29:A30"/>
    <mergeCell ref="B30:E30"/>
    <mergeCell ref="N30:R30"/>
    <mergeCell ref="A31:A32"/>
    <mergeCell ref="A4:A5"/>
    <mergeCell ref="A7:A8"/>
    <mergeCell ref="B24:B25"/>
    <mergeCell ref="D24:D25"/>
    <mergeCell ref="H24:H25"/>
    <mergeCell ref="J24:J25"/>
  </mergeCells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91"/>
  <sheetViews>
    <sheetView zoomScale="55" zoomScaleNormal="55" workbookViewId="0">
      <pane xSplit="1" topLeftCell="B1" activePane="topRight" state="frozen"/>
      <selection pane="topRight" activeCell="K45" sqref="K45"/>
    </sheetView>
  </sheetViews>
  <sheetFormatPr defaultColWidth="8.84375" defaultRowHeight="18" x14ac:dyDescent="0.45"/>
  <cols>
    <col min="1" max="1" width="22.69140625" style="324" customWidth="1"/>
    <col min="2" max="2" width="33.69140625" style="250" customWidth="1"/>
    <col min="3" max="3" width="30.3046875" style="246" customWidth="1"/>
    <col min="4" max="4" width="32.3828125" style="246" customWidth="1"/>
    <col min="5" max="5" width="32.53515625" style="283" bestFit="1" customWidth="1"/>
    <col min="6" max="6" width="19" style="284" customWidth="1"/>
    <col min="7" max="7" width="17.15234375" style="284" customWidth="1"/>
    <col min="8" max="8" width="11.53515625" style="250" bestFit="1" customWidth="1"/>
    <col min="9" max="9" width="16.69140625" style="246" customWidth="1"/>
    <col min="10" max="10" width="13.69140625" style="246" customWidth="1"/>
    <col min="11" max="11" width="12.3046875" style="302" bestFit="1" customWidth="1"/>
    <col min="12" max="12" width="9.84375" style="302" customWidth="1"/>
    <col min="13" max="13" width="10.15234375" style="283" bestFit="1" customWidth="1"/>
    <col min="14" max="14" width="11.84375" style="250" bestFit="1" customWidth="1"/>
    <col min="15" max="15" width="12.3046875" style="246" bestFit="1" customWidth="1"/>
    <col min="16" max="16" width="11.84375" style="246" bestFit="1" customWidth="1"/>
    <col min="17" max="17" width="12.3046875" style="283" bestFit="1" customWidth="1"/>
    <col min="18" max="19" width="10.15234375" style="287" customWidth="1"/>
    <col min="20" max="16384" width="8.84375" style="255"/>
  </cols>
  <sheetData>
    <row r="1" spans="1:22" ht="18.899999999999999" thickTop="1" thickBot="1" x14ac:dyDescent="0.5">
      <c r="A1" s="352"/>
      <c r="B1" s="1361" t="s">
        <v>3</v>
      </c>
      <c r="C1" s="1362"/>
      <c r="D1" s="1362"/>
      <c r="E1" s="1363"/>
      <c r="F1" s="253"/>
      <c r="G1" s="253"/>
      <c r="H1" s="1361" t="s">
        <v>6</v>
      </c>
      <c r="I1" s="1362"/>
      <c r="J1" s="1362"/>
      <c r="K1" s="1364"/>
      <c r="L1" s="1364"/>
      <c r="M1" s="1363"/>
      <c r="N1" s="1365" t="s">
        <v>13</v>
      </c>
      <c r="O1" s="1366"/>
      <c r="P1" s="1366"/>
      <c r="Q1" s="1367"/>
      <c r="R1" s="253"/>
      <c r="S1" s="254"/>
    </row>
    <row r="2" spans="1:22" ht="18.899999999999999" thickTop="1" thickBot="1" x14ac:dyDescent="0.5">
      <c r="A2" s="353" t="s">
        <v>0</v>
      </c>
      <c r="B2" s="257" t="s">
        <v>1</v>
      </c>
      <c r="C2" s="258" t="s">
        <v>4</v>
      </c>
      <c r="D2" s="258" t="s">
        <v>2</v>
      </c>
      <c r="E2" s="259" t="s">
        <v>5</v>
      </c>
      <c r="F2" s="260" t="s">
        <v>26</v>
      </c>
      <c r="G2" s="260" t="s">
        <v>19</v>
      </c>
      <c r="H2" s="261" t="s">
        <v>1</v>
      </c>
      <c r="I2" s="262" t="s">
        <v>4</v>
      </c>
      <c r="J2" s="262" t="s">
        <v>2</v>
      </c>
      <c r="K2" s="262" t="s">
        <v>5</v>
      </c>
      <c r="L2" s="263" t="s">
        <v>26</v>
      </c>
      <c r="M2" s="264" t="s">
        <v>19</v>
      </c>
      <c r="N2" s="257" t="s">
        <v>1</v>
      </c>
      <c r="O2" s="258" t="s">
        <v>4</v>
      </c>
      <c r="P2" s="258" t="s">
        <v>2</v>
      </c>
      <c r="Q2" s="265" t="s">
        <v>5</v>
      </c>
      <c r="R2" s="266" t="s">
        <v>19</v>
      </c>
      <c r="S2" s="267" t="s">
        <v>26</v>
      </c>
    </row>
    <row r="3" spans="1:22" ht="20.149999999999999" customHeight="1" thickTop="1" x14ac:dyDescent="0.5">
      <c r="A3" s="268">
        <v>44378</v>
      </c>
      <c r="B3" s="355" t="s">
        <v>163</v>
      </c>
      <c r="C3" s="355" t="s">
        <v>163</v>
      </c>
      <c r="D3" s="355" t="s">
        <v>163</v>
      </c>
      <c r="E3" s="355" t="s">
        <v>163</v>
      </c>
      <c r="F3" s="356"/>
      <c r="G3" s="357"/>
      <c r="H3" s="355">
        <v>105</v>
      </c>
      <c r="I3" s="358">
        <v>92</v>
      </c>
      <c r="J3" s="358">
        <v>56</v>
      </c>
      <c r="K3" s="358">
        <v>55</v>
      </c>
      <c r="L3" s="359"/>
      <c r="M3" s="360"/>
      <c r="N3" s="361" t="s">
        <v>7</v>
      </c>
      <c r="O3" s="361" t="s">
        <v>7</v>
      </c>
      <c r="P3" s="361" t="s">
        <v>7</v>
      </c>
      <c r="Q3" s="361" t="s">
        <v>7</v>
      </c>
      <c r="R3" s="362"/>
      <c r="S3" s="277"/>
      <c r="U3" s="278" t="s">
        <v>8</v>
      </c>
      <c r="V3" s="255" t="s">
        <v>10</v>
      </c>
    </row>
    <row r="4" spans="1:22" ht="20.149999999999999" customHeight="1" x14ac:dyDescent="0.5">
      <c r="A4" s="1437">
        <v>44379</v>
      </c>
      <c r="B4" s="355" t="s">
        <v>163</v>
      </c>
      <c r="C4" s="355" t="s">
        <v>163</v>
      </c>
      <c r="D4" s="363"/>
      <c r="E4" s="357"/>
      <c r="F4" s="355"/>
      <c r="G4" s="357"/>
      <c r="H4" s="355">
        <v>84</v>
      </c>
      <c r="I4" s="358">
        <v>10</v>
      </c>
      <c r="J4" s="358"/>
      <c r="K4" s="358"/>
      <c r="L4" s="358"/>
      <c r="M4" s="360"/>
      <c r="N4" s="361" t="s">
        <v>7</v>
      </c>
      <c r="O4" s="361" t="s">
        <v>7</v>
      </c>
      <c r="P4" s="364"/>
      <c r="Q4" s="364"/>
      <c r="R4" s="365"/>
      <c r="S4" s="277"/>
      <c r="U4" s="278"/>
    </row>
    <row r="5" spans="1:22" ht="20.149999999999999" customHeight="1" x14ac:dyDescent="0.5">
      <c r="A5" s="1438"/>
      <c r="B5" s="355" t="s">
        <v>152</v>
      </c>
      <c r="C5" s="355"/>
      <c r="D5" s="358" t="s">
        <v>160</v>
      </c>
      <c r="E5" s="358" t="s">
        <v>160</v>
      </c>
      <c r="F5" s="355"/>
      <c r="G5" s="357"/>
      <c r="H5" s="355">
        <v>10</v>
      </c>
      <c r="I5" s="358"/>
      <c r="J5" s="358">
        <v>15</v>
      </c>
      <c r="K5" s="358">
        <v>10</v>
      </c>
      <c r="L5" s="358"/>
      <c r="M5" s="360"/>
      <c r="N5" s="366" t="s">
        <v>9</v>
      </c>
      <c r="O5" s="364"/>
      <c r="P5" s="366" t="s">
        <v>9</v>
      </c>
      <c r="Q5" s="366" t="s">
        <v>9</v>
      </c>
      <c r="R5" s="365"/>
      <c r="S5" s="277"/>
      <c r="U5" s="278"/>
    </row>
    <row r="6" spans="1:22" ht="20.149999999999999" customHeight="1" x14ac:dyDescent="0.5">
      <c r="A6" s="1437">
        <v>44380</v>
      </c>
      <c r="B6" s="355" t="s">
        <v>163</v>
      </c>
      <c r="C6" s="363" t="s">
        <v>164</v>
      </c>
      <c r="D6" s="358"/>
      <c r="E6" s="367"/>
      <c r="F6" s="355"/>
      <c r="G6" s="357"/>
      <c r="H6" s="355">
        <v>16</v>
      </c>
      <c r="I6" s="358">
        <v>120</v>
      </c>
      <c r="J6" s="358"/>
      <c r="K6" s="358"/>
      <c r="L6" s="358"/>
      <c r="M6" s="360"/>
      <c r="N6" s="361" t="s">
        <v>7</v>
      </c>
      <c r="O6" s="368" t="s">
        <v>8</v>
      </c>
      <c r="P6" s="364"/>
      <c r="Q6" s="364"/>
      <c r="R6" s="365"/>
      <c r="S6" s="277"/>
      <c r="U6" s="278"/>
    </row>
    <row r="7" spans="1:22" ht="20.149999999999999" customHeight="1" x14ac:dyDescent="0.5">
      <c r="A7" s="1438"/>
      <c r="B7" s="355"/>
      <c r="C7" s="355" t="s">
        <v>163</v>
      </c>
      <c r="D7" s="369"/>
      <c r="E7" s="370"/>
      <c r="F7" s="371"/>
      <c r="G7" s="372"/>
      <c r="H7" s="371"/>
      <c r="I7" s="369">
        <v>20</v>
      </c>
      <c r="J7" s="369"/>
      <c r="K7" s="369"/>
      <c r="L7" s="369"/>
      <c r="M7" s="373"/>
      <c r="N7" s="374"/>
      <c r="O7" s="361" t="s">
        <v>7</v>
      </c>
      <c r="P7" s="369"/>
      <c r="Q7" s="369"/>
      <c r="R7" s="375"/>
      <c r="S7" s="277"/>
      <c r="U7" s="289" t="s">
        <v>7</v>
      </c>
      <c r="V7" s="255" t="s">
        <v>11</v>
      </c>
    </row>
    <row r="8" spans="1:22" ht="20.149999999999999" customHeight="1" x14ac:dyDescent="0.5">
      <c r="A8" s="268">
        <v>44381</v>
      </c>
      <c r="B8" s="355" t="s">
        <v>152</v>
      </c>
      <c r="C8" s="369"/>
      <c r="D8" s="376"/>
      <c r="E8" s="363" t="s">
        <v>164</v>
      </c>
      <c r="F8" s="371"/>
      <c r="G8" s="372"/>
      <c r="H8" s="371">
        <v>10</v>
      </c>
      <c r="I8" s="369"/>
      <c r="J8" s="369"/>
      <c r="K8" s="369">
        <v>12</v>
      </c>
      <c r="L8" s="369"/>
      <c r="M8" s="373"/>
      <c r="N8" s="366" t="s">
        <v>9</v>
      </c>
      <c r="O8" s="377"/>
      <c r="P8" s="369"/>
      <c r="Q8" s="368" t="s">
        <v>8</v>
      </c>
      <c r="R8" s="375"/>
      <c r="S8" s="291"/>
      <c r="U8" s="292" t="s">
        <v>9</v>
      </c>
      <c r="V8" s="255" t="s">
        <v>12</v>
      </c>
    </row>
    <row r="9" spans="1:22" ht="20.149999999999999" customHeight="1" x14ac:dyDescent="0.45">
      <c r="A9" s="268">
        <v>44382</v>
      </c>
      <c r="B9" s="378"/>
      <c r="C9" s="369"/>
      <c r="D9" s="379"/>
      <c r="E9" s="370"/>
      <c r="F9" s="371"/>
      <c r="G9" s="372"/>
      <c r="H9" s="371"/>
      <c r="I9" s="369"/>
      <c r="J9" s="369"/>
      <c r="K9" s="369"/>
      <c r="L9" s="369"/>
      <c r="M9" s="373"/>
      <c r="N9" s="374"/>
      <c r="O9" s="377"/>
      <c r="P9" s="369"/>
      <c r="Q9" s="369"/>
      <c r="R9" s="375"/>
      <c r="S9" s="291"/>
      <c r="U9" s="294" t="s">
        <v>71</v>
      </c>
      <c r="V9" s="295" t="s">
        <v>51</v>
      </c>
    </row>
    <row r="10" spans="1:22" ht="20.149999999999999" customHeight="1" x14ac:dyDescent="0.5">
      <c r="A10" s="268">
        <v>44383</v>
      </c>
      <c r="B10" s="378" t="s">
        <v>159</v>
      </c>
      <c r="C10" s="369"/>
      <c r="D10" s="379"/>
      <c r="E10" s="373" t="s">
        <v>165</v>
      </c>
      <c r="F10" s="371"/>
      <c r="G10" s="372"/>
      <c r="H10" s="371">
        <v>80</v>
      </c>
      <c r="I10" s="369"/>
      <c r="J10" s="369"/>
      <c r="K10" s="369">
        <v>30</v>
      </c>
      <c r="L10" s="369"/>
      <c r="M10" s="373"/>
      <c r="N10" s="361" t="s">
        <v>7</v>
      </c>
      <c r="O10" s="377"/>
      <c r="P10" s="369"/>
      <c r="Q10" s="368" t="s">
        <v>8</v>
      </c>
      <c r="R10" s="375"/>
      <c r="S10" s="291"/>
      <c r="U10" s="294"/>
      <c r="V10" s="295"/>
    </row>
    <row r="11" spans="1:22" ht="20.149999999999999" customHeight="1" x14ac:dyDescent="0.5">
      <c r="A11" s="1437">
        <v>44384</v>
      </c>
      <c r="B11" s="355" t="s">
        <v>152</v>
      </c>
      <c r="C11" s="369"/>
      <c r="D11" s="379" t="s">
        <v>166</v>
      </c>
      <c r="E11" s="373"/>
      <c r="F11" s="371"/>
      <c r="G11" s="372"/>
      <c r="H11" s="371">
        <v>15</v>
      </c>
      <c r="I11" s="369"/>
      <c r="J11" s="369">
        <v>15</v>
      </c>
      <c r="K11" s="369"/>
      <c r="L11" s="369"/>
      <c r="M11" s="373"/>
      <c r="N11" s="366" t="s">
        <v>9</v>
      </c>
      <c r="O11" s="377"/>
      <c r="P11" s="368" t="s">
        <v>8</v>
      </c>
      <c r="Q11" s="364"/>
      <c r="R11" s="375"/>
      <c r="S11" s="291"/>
      <c r="U11" s="294"/>
      <c r="V11" s="295"/>
    </row>
    <row r="12" spans="1:22" ht="20.149999999999999" customHeight="1" x14ac:dyDescent="0.5">
      <c r="A12" s="1438"/>
      <c r="B12" s="355" t="s">
        <v>163</v>
      </c>
      <c r="C12" s="355" t="s">
        <v>163</v>
      </c>
      <c r="D12" s="355" t="s">
        <v>152</v>
      </c>
      <c r="E12" s="380" t="s">
        <v>167</v>
      </c>
      <c r="F12" s="378"/>
      <c r="G12" s="381"/>
      <c r="H12" s="371">
        <v>130</v>
      </c>
      <c r="I12" s="369">
        <v>270</v>
      </c>
      <c r="J12" s="369">
        <v>20</v>
      </c>
      <c r="K12" s="369">
        <v>58</v>
      </c>
      <c r="L12" s="369"/>
      <c r="M12" s="373"/>
      <c r="N12" s="361" t="s">
        <v>7</v>
      </c>
      <c r="O12" s="361" t="s">
        <v>7</v>
      </c>
      <c r="P12" s="366" t="s">
        <v>9</v>
      </c>
      <c r="Q12" s="366" t="s">
        <v>9</v>
      </c>
      <c r="R12" s="375"/>
      <c r="S12" s="291"/>
    </row>
    <row r="13" spans="1:22" ht="20.149999999999999" customHeight="1" x14ac:dyDescent="0.5">
      <c r="A13" s="1437">
        <v>44385</v>
      </c>
      <c r="B13" s="355"/>
      <c r="C13" s="363"/>
      <c r="D13" s="355" t="s">
        <v>152</v>
      </c>
      <c r="E13" s="380"/>
      <c r="F13" s="378"/>
      <c r="G13" s="386"/>
      <c r="H13" s="371"/>
      <c r="I13" s="369"/>
      <c r="J13" s="369">
        <v>40</v>
      </c>
      <c r="K13" s="369"/>
      <c r="L13" s="369"/>
      <c r="M13" s="373"/>
      <c r="N13" s="364"/>
      <c r="O13" s="364"/>
      <c r="P13" s="366" t="s">
        <v>9</v>
      </c>
      <c r="Q13" s="364"/>
      <c r="R13" s="375"/>
      <c r="S13" s="291"/>
    </row>
    <row r="14" spans="1:22" ht="20.149999999999999" customHeight="1" x14ac:dyDescent="0.5">
      <c r="A14" s="1438"/>
      <c r="B14" s="378"/>
      <c r="C14" s="369"/>
      <c r="D14" s="355" t="s">
        <v>163</v>
      </c>
      <c r="E14" s="382"/>
      <c r="F14" s="383"/>
      <c r="G14" s="372"/>
      <c r="H14" s="371"/>
      <c r="I14" s="369"/>
      <c r="J14" s="369">
        <v>25</v>
      </c>
      <c r="K14" s="369"/>
      <c r="L14" s="369"/>
      <c r="M14" s="373"/>
      <c r="N14" s="374"/>
      <c r="O14" s="377"/>
      <c r="P14" s="361" t="s">
        <v>7</v>
      </c>
      <c r="Q14" s="369"/>
      <c r="R14" s="375"/>
      <c r="S14" s="298"/>
    </row>
    <row r="15" spans="1:22" ht="20.149999999999999" customHeight="1" x14ac:dyDescent="0.45">
      <c r="A15" s="268">
        <v>44386</v>
      </c>
      <c r="B15" s="384"/>
      <c r="C15" s="369"/>
      <c r="D15" s="379"/>
      <c r="E15" s="382"/>
      <c r="F15" s="371"/>
      <c r="G15" s="372"/>
      <c r="H15" s="1451"/>
      <c r="I15" s="1452"/>
      <c r="J15" s="1452"/>
      <c r="K15" s="1452"/>
      <c r="L15" s="1452"/>
      <c r="M15" s="1453"/>
      <c r="N15" s="374"/>
      <c r="O15" s="377"/>
      <c r="P15" s="369"/>
      <c r="Q15" s="369"/>
      <c r="R15" s="375"/>
      <c r="S15" s="298"/>
    </row>
    <row r="16" spans="1:22" ht="20.149999999999999" customHeight="1" x14ac:dyDescent="0.5">
      <c r="A16" s="268">
        <v>44387</v>
      </c>
      <c r="B16" s="384" t="s">
        <v>77</v>
      </c>
      <c r="C16" s="369"/>
      <c r="D16" s="355" t="s">
        <v>152</v>
      </c>
      <c r="E16" s="382"/>
      <c r="F16" s="385"/>
      <c r="G16" s="386"/>
      <c r="H16" s="371">
        <v>8</v>
      </c>
      <c r="I16" s="369"/>
      <c r="J16" s="369">
        <v>25</v>
      </c>
      <c r="K16" s="369"/>
      <c r="L16" s="369"/>
      <c r="M16" s="373"/>
      <c r="N16" s="366" t="s">
        <v>9</v>
      </c>
      <c r="O16" s="377"/>
      <c r="P16" s="366" t="s">
        <v>9</v>
      </c>
      <c r="Q16" s="369"/>
      <c r="R16" s="375"/>
      <c r="S16" s="298"/>
    </row>
    <row r="17" spans="1:19" ht="20.149999999999999" customHeight="1" x14ac:dyDescent="0.5">
      <c r="A17" s="268">
        <v>44388</v>
      </c>
      <c r="B17" s="384"/>
      <c r="C17" s="369"/>
      <c r="D17" s="376" t="s">
        <v>169</v>
      </c>
      <c r="E17" s="382"/>
      <c r="F17" s="385"/>
      <c r="G17" s="386"/>
      <c r="H17" s="371"/>
      <c r="I17" s="369"/>
      <c r="J17" s="369">
        <v>10</v>
      </c>
      <c r="K17" s="387"/>
      <c r="L17" s="369"/>
      <c r="M17" s="373"/>
      <c r="N17" s="374"/>
      <c r="O17" s="377"/>
      <c r="P17" s="366" t="s">
        <v>9</v>
      </c>
      <c r="Q17" s="369"/>
      <c r="R17" s="375"/>
      <c r="S17" s="298"/>
    </row>
    <row r="18" spans="1:19" ht="20.149999999999999" customHeight="1" x14ac:dyDescent="0.5">
      <c r="A18" s="268">
        <v>44389</v>
      </c>
      <c r="B18" s="374"/>
      <c r="C18" s="369"/>
      <c r="D18" s="376" t="s">
        <v>170</v>
      </c>
      <c r="E18" s="382"/>
      <c r="F18" s="378"/>
      <c r="G18" s="386"/>
      <c r="H18" s="371"/>
      <c r="I18" s="369"/>
      <c r="J18" s="369">
        <v>20</v>
      </c>
      <c r="K18" s="387"/>
      <c r="L18" s="369"/>
      <c r="M18" s="373"/>
      <c r="N18" s="374"/>
      <c r="O18" s="377"/>
      <c r="P18" s="366" t="s">
        <v>9</v>
      </c>
      <c r="Q18" s="369"/>
      <c r="R18" s="375"/>
      <c r="S18" s="298"/>
    </row>
    <row r="19" spans="1:19" ht="20.149999999999999" customHeight="1" x14ac:dyDescent="0.5">
      <c r="A19" s="268">
        <v>44390</v>
      </c>
      <c r="B19" s="384"/>
      <c r="C19" s="369"/>
      <c r="D19" s="369"/>
      <c r="E19" s="363" t="s">
        <v>164</v>
      </c>
      <c r="F19" s="378"/>
      <c r="G19" s="386"/>
      <c r="H19" s="371"/>
      <c r="I19" s="369"/>
      <c r="J19" s="369"/>
      <c r="K19" s="387">
        <v>198</v>
      </c>
      <c r="L19" s="369"/>
      <c r="M19" s="373"/>
      <c r="N19" s="374"/>
      <c r="O19" s="377"/>
      <c r="P19" s="369"/>
      <c r="Q19" s="368" t="s">
        <v>8</v>
      </c>
      <c r="R19" s="375"/>
      <c r="S19" s="298"/>
    </row>
    <row r="20" spans="1:19" ht="20.149999999999999" customHeight="1" x14ac:dyDescent="0.5">
      <c r="A20" s="268">
        <v>44391</v>
      </c>
      <c r="B20" s="371"/>
      <c r="C20" s="369"/>
      <c r="D20" s="369" t="s">
        <v>171</v>
      </c>
      <c r="E20" s="388" t="s">
        <v>163</v>
      </c>
      <c r="F20" s="371"/>
      <c r="G20" s="372"/>
      <c r="H20" s="371"/>
      <c r="I20" s="369"/>
      <c r="J20" s="369">
        <v>60</v>
      </c>
      <c r="K20" s="387">
        <v>40</v>
      </c>
      <c r="L20" s="369"/>
      <c r="M20" s="373"/>
      <c r="N20" s="374"/>
      <c r="O20" s="377"/>
      <c r="P20" s="368" t="s">
        <v>8</v>
      </c>
      <c r="Q20" s="361" t="s">
        <v>7</v>
      </c>
      <c r="R20" s="375"/>
      <c r="S20" s="298"/>
    </row>
    <row r="21" spans="1:19" ht="20.149999999999999" customHeight="1" x14ac:dyDescent="0.5">
      <c r="A21" s="268">
        <v>44392</v>
      </c>
      <c r="B21" s="371"/>
      <c r="C21" s="369"/>
      <c r="D21" s="389"/>
      <c r="E21" s="388" t="s">
        <v>163</v>
      </c>
      <c r="F21" s="371"/>
      <c r="G21" s="372"/>
      <c r="H21" s="371"/>
      <c r="I21" s="369"/>
      <c r="J21" s="369"/>
      <c r="K21" s="387">
        <v>60</v>
      </c>
      <c r="L21" s="387"/>
      <c r="M21" s="370"/>
      <c r="N21" s="374"/>
      <c r="O21" s="377"/>
      <c r="P21" s="369"/>
      <c r="Q21" s="361" t="s">
        <v>7</v>
      </c>
      <c r="R21" s="375"/>
      <c r="S21" s="298"/>
    </row>
    <row r="22" spans="1:19" ht="20.149999999999999" customHeight="1" x14ac:dyDescent="0.45">
      <c r="A22" s="268">
        <v>44393</v>
      </c>
      <c r="B22" s="1457" t="s">
        <v>172</v>
      </c>
      <c r="C22" s="1458"/>
      <c r="D22" s="1458"/>
      <c r="E22" s="1459"/>
      <c r="F22" s="371"/>
      <c r="G22" s="373"/>
      <c r="H22" s="374">
        <v>350</v>
      </c>
      <c r="I22" s="391">
        <v>350</v>
      </c>
      <c r="J22" s="391">
        <v>350</v>
      </c>
      <c r="K22" s="391">
        <v>350</v>
      </c>
      <c r="L22" s="391"/>
      <c r="M22" s="382"/>
      <c r="N22" s="1454" t="s">
        <v>7</v>
      </c>
      <c r="O22" s="1455"/>
      <c r="P22" s="1455"/>
      <c r="Q22" s="1456"/>
      <c r="R22" s="375"/>
      <c r="S22" s="304"/>
    </row>
    <row r="23" spans="1:19" ht="20.149999999999999" customHeight="1" x14ac:dyDescent="0.5">
      <c r="A23" s="268">
        <v>44394</v>
      </c>
      <c r="B23" s="355" t="s">
        <v>163</v>
      </c>
      <c r="C23" s="355" t="s">
        <v>163</v>
      </c>
      <c r="D23" s="372"/>
      <c r="E23" s="382"/>
      <c r="F23" s="371"/>
      <c r="G23" s="373"/>
      <c r="H23" s="390">
        <v>15</v>
      </c>
      <c r="I23" s="369">
        <v>27</v>
      </c>
      <c r="J23" s="369"/>
      <c r="K23" s="387"/>
      <c r="L23" s="387"/>
      <c r="M23" s="370"/>
      <c r="N23" s="361" t="s">
        <v>7</v>
      </c>
      <c r="O23" s="361" t="s">
        <v>7</v>
      </c>
      <c r="P23" s="369"/>
      <c r="Q23" s="369"/>
      <c r="R23" s="392"/>
      <c r="S23" s="304"/>
    </row>
    <row r="24" spans="1:19" ht="20.149999999999999" customHeight="1" x14ac:dyDescent="0.5">
      <c r="A24" s="268">
        <v>44395</v>
      </c>
      <c r="B24" s="374"/>
      <c r="C24" s="391"/>
      <c r="D24" s="355" t="s">
        <v>152</v>
      </c>
      <c r="E24" s="382"/>
      <c r="F24" s="371"/>
      <c r="G24" s="372"/>
      <c r="H24" s="374"/>
      <c r="I24" s="391"/>
      <c r="J24" s="372">
        <v>25</v>
      </c>
      <c r="K24" s="391"/>
      <c r="L24" s="391"/>
      <c r="M24" s="382"/>
      <c r="N24" s="374"/>
      <c r="O24" s="377"/>
      <c r="P24" s="366" t="s">
        <v>9</v>
      </c>
      <c r="Q24" s="369"/>
      <c r="R24" s="393"/>
      <c r="S24" s="298"/>
    </row>
    <row r="25" spans="1:19" ht="20.149999999999999" customHeight="1" x14ac:dyDescent="0.45">
      <c r="A25" s="268">
        <v>44396</v>
      </c>
      <c r="B25" s="1451" t="s">
        <v>173</v>
      </c>
      <c r="C25" s="1452"/>
      <c r="D25" s="1452"/>
      <c r="E25" s="1453"/>
      <c r="F25" s="371"/>
      <c r="G25" s="372"/>
      <c r="H25" s="371">
        <v>106</v>
      </c>
      <c r="I25" s="369">
        <v>113</v>
      </c>
      <c r="J25" s="369">
        <v>210</v>
      </c>
      <c r="K25" s="387">
        <v>211</v>
      </c>
      <c r="L25" s="387"/>
      <c r="M25" s="370"/>
      <c r="N25" s="1454" t="s">
        <v>7</v>
      </c>
      <c r="O25" s="1455"/>
      <c r="P25" s="1455"/>
      <c r="Q25" s="1456"/>
      <c r="R25" s="375"/>
      <c r="S25" s="298"/>
    </row>
    <row r="26" spans="1:19" ht="20.149999999999999" customHeight="1" x14ac:dyDescent="0.5">
      <c r="A26" s="268">
        <v>44397</v>
      </c>
      <c r="B26" s="371"/>
      <c r="C26" s="369"/>
      <c r="D26" s="355" t="s">
        <v>152</v>
      </c>
      <c r="E26" s="367"/>
      <c r="F26" s="371"/>
      <c r="G26" s="372"/>
      <c r="H26" s="371"/>
      <c r="I26" s="369"/>
      <c r="J26" s="394">
        <v>88</v>
      </c>
      <c r="K26" s="395"/>
      <c r="L26" s="395"/>
      <c r="M26" s="396"/>
      <c r="N26" s="374"/>
      <c r="O26" s="377"/>
      <c r="P26" s="366" t="s">
        <v>9</v>
      </c>
      <c r="Q26" s="369"/>
      <c r="R26" s="375"/>
      <c r="S26" s="298"/>
    </row>
    <row r="27" spans="1:19" ht="20.149999999999999" customHeight="1" x14ac:dyDescent="0.45">
      <c r="A27" s="268">
        <v>44398</v>
      </c>
      <c r="B27" s="371"/>
      <c r="C27" s="369"/>
      <c r="D27" s="389"/>
      <c r="E27" s="370"/>
      <c r="F27" s="371"/>
      <c r="G27" s="372"/>
      <c r="H27" s="371"/>
      <c r="I27" s="369"/>
      <c r="J27" s="394"/>
      <c r="K27" s="395"/>
      <c r="L27" s="395"/>
      <c r="M27" s="396"/>
      <c r="N27" s="374"/>
      <c r="O27" s="377"/>
      <c r="P27" s="369"/>
      <c r="Q27" s="369"/>
      <c r="R27" s="375"/>
      <c r="S27" s="298"/>
    </row>
    <row r="28" spans="1:19" ht="20.149999999999999" customHeight="1" x14ac:dyDescent="0.5">
      <c r="A28" s="268">
        <v>44399</v>
      </c>
      <c r="B28" s="355" t="s">
        <v>152</v>
      </c>
      <c r="C28" s="369"/>
      <c r="D28" s="355" t="s">
        <v>152</v>
      </c>
      <c r="E28" s="382"/>
      <c r="F28" s="371"/>
      <c r="G28" s="372"/>
      <c r="H28" s="405">
        <v>10</v>
      </c>
      <c r="I28" s="369"/>
      <c r="J28" s="407">
        <v>23</v>
      </c>
      <c r="K28" s="395"/>
      <c r="L28" s="395"/>
      <c r="M28" s="396"/>
      <c r="N28" s="366" t="s">
        <v>9</v>
      </c>
      <c r="O28" s="377"/>
      <c r="P28" s="366" t="s">
        <v>9</v>
      </c>
      <c r="Q28" s="369"/>
      <c r="R28" s="393"/>
      <c r="S28" s="298"/>
    </row>
    <row r="29" spans="1:19" ht="20.149999999999999" customHeight="1" x14ac:dyDescent="0.45">
      <c r="A29" s="268">
        <v>44400</v>
      </c>
      <c r="B29" s="397"/>
      <c r="C29" s="369"/>
      <c r="D29" s="389"/>
      <c r="E29" s="398"/>
      <c r="F29" s="371"/>
      <c r="G29" s="372"/>
      <c r="H29" s="406"/>
      <c r="I29" s="369"/>
      <c r="J29" s="408"/>
      <c r="K29" s="395"/>
      <c r="L29" s="395"/>
      <c r="M29" s="396"/>
      <c r="N29" s="374"/>
      <c r="O29" s="377"/>
      <c r="P29" s="369"/>
      <c r="Q29" s="369"/>
      <c r="R29" s="375"/>
      <c r="S29" s="298"/>
    </row>
    <row r="30" spans="1:19" ht="20.149999999999999" customHeight="1" x14ac:dyDescent="0.5">
      <c r="A30" s="268">
        <v>44401</v>
      </c>
      <c r="B30" s="355" t="s">
        <v>152</v>
      </c>
      <c r="C30" s="369"/>
      <c r="D30" s="355" t="s">
        <v>152</v>
      </c>
      <c r="E30" s="370"/>
      <c r="F30" s="371"/>
      <c r="G30" s="372"/>
      <c r="H30" s="371">
        <v>14</v>
      </c>
      <c r="I30" s="369"/>
      <c r="J30" s="394">
        <v>10</v>
      </c>
      <c r="K30" s="395"/>
      <c r="L30" s="395"/>
      <c r="M30" s="396"/>
      <c r="N30" s="366" t="s">
        <v>9</v>
      </c>
      <c r="O30" s="377"/>
      <c r="P30" s="366" t="s">
        <v>9</v>
      </c>
      <c r="Q30" s="369"/>
      <c r="R30" s="375"/>
      <c r="S30" s="298"/>
    </row>
    <row r="31" spans="1:19" ht="20.149999999999999" customHeight="1" x14ac:dyDescent="0.5">
      <c r="A31" s="268">
        <v>44402</v>
      </c>
      <c r="B31" s="371"/>
      <c r="C31" s="369"/>
      <c r="D31" s="389"/>
      <c r="E31" s="363" t="s">
        <v>164</v>
      </c>
      <c r="F31" s="371"/>
      <c r="G31" s="372"/>
      <c r="H31" s="371"/>
      <c r="I31" s="369"/>
      <c r="J31" s="394"/>
      <c r="K31" s="395">
        <v>75</v>
      </c>
      <c r="L31" s="395"/>
      <c r="M31" s="396"/>
      <c r="N31" s="374"/>
      <c r="O31" s="377"/>
      <c r="P31" s="364"/>
      <c r="Q31" s="368" t="s">
        <v>8</v>
      </c>
      <c r="R31" s="393"/>
      <c r="S31" s="298"/>
    </row>
    <row r="32" spans="1:19" ht="20.149999999999999" customHeight="1" x14ac:dyDescent="0.45">
      <c r="A32" s="268">
        <v>44403</v>
      </c>
      <c r="B32" s="378"/>
      <c r="C32" s="369"/>
      <c r="D32" s="389"/>
      <c r="E32" s="363"/>
      <c r="F32" s="371"/>
      <c r="G32" s="372"/>
      <c r="H32" s="371"/>
      <c r="I32" s="369"/>
      <c r="J32" s="394"/>
      <c r="K32" s="395"/>
      <c r="L32" s="395"/>
      <c r="M32" s="396"/>
      <c r="N32" s="374"/>
      <c r="O32" s="377"/>
      <c r="P32" s="369"/>
      <c r="Q32" s="369"/>
      <c r="R32" s="393"/>
      <c r="S32" s="298"/>
    </row>
    <row r="33" spans="1:23" ht="20.149999999999999" customHeight="1" x14ac:dyDescent="0.45">
      <c r="A33" s="268">
        <v>44404</v>
      </c>
      <c r="B33" s="378"/>
      <c r="C33" s="369"/>
      <c r="D33" s="389"/>
      <c r="E33" s="373"/>
      <c r="F33" s="371"/>
      <c r="G33" s="372"/>
      <c r="H33" s="371"/>
      <c r="I33" s="369"/>
      <c r="J33" s="369"/>
      <c r="K33" s="387"/>
      <c r="L33" s="387"/>
      <c r="M33" s="396"/>
      <c r="N33" s="374"/>
      <c r="O33" s="377"/>
      <c r="P33" s="369"/>
      <c r="Q33" s="369"/>
      <c r="R33" s="375"/>
      <c r="S33" s="298"/>
      <c r="V33" s="309"/>
      <c r="W33" s="309"/>
    </row>
    <row r="34" spans="1:23" ht="45.75" customHeight="1" x14ac:dyDescent="0.45">
      <c r="A34" s="268">
        <v>44405</v>
      </c>
      <c r="B34" s="374"/>
      <c r="C34" s="369"/>
      <c r="D34" s="409" t="s">
        <v>174</v>
      </c>
      <c r="E34" s="373"/>
      <c r="F34" s="371"/>
      <c r="G34" s="372"/>
      <c r="H34" s="371"/>
      <c r="I34" s="369"/>
      <c r="J34" s="369">
        <v>75</v>
      </c>
      <c r="K34" s="387"/>
      <c r="L34" s="387"/>
      <c r="M34" s="396"/>
      <c r="N34" s="374"/>
      <c r="O34" s="377"/>
      <c r="P34" s="410" t="s">
        <v>8</v>
      </c>
      <c r="Q34" s="369"/>
      <c r="R34" s="392"/>
      <c r="S34" s="298"/>
    </row>
    <row r="35" spans="1:23" ht="20.149999999999999" customHeight="1" x14ac:dyDescent="0.45">
      <c r="A35" s="268">
        <v>44406</v>
      </c>
      <c r="B35" s="1457" t="s">
        <v>172</v>
      </c>
      <c r="C35" s="1458"/>
      <c r="D35" s="1458"/>
      <c r="E35" s="1459"/>
      <c r="F35" s="371"/>
      <c r="G35" s="372"/>
      <c r="H35" s="371">
        <v>420</v>
      </c>
      <c r="I35" s="369">
        <v>420</v>
      </c>
      <c r="J35" s="369">
        <v>420</v>
      </c>
      <c r="K35" s="387">
        <v>420</v>
      </c>
      <c r="L35" s="387"/>
      <c r="M35" s="396"/>
      <c r="N35" s="1454" t="s">
        <v>7</v>
      </c>
      <c r="O35" s="1455"/>
      <c r="P35" s="1455"/>
      <c r="Q35" s="1456"/>
      <c r="R35" s="375"/>
      <c r="S35" s="298"/>
    </row>
    <row r="36" spans="1:23" ht="66.75" customHeight="1" x14ac:dyDescent="0.45">
      <c r="A36" s="268">
        <v>44407</v>
      </c>
      <c r="B36" s="371"/>
      <c r="C36" s="369"/>
      <c r="D36" s="389" t="s">
        <v>175</v>
      </c>
      <c r="E36" s="373"/>
      <c r="F36" s="371"/>
      <c r="G36" s="372"/>
      <c r="H36" s="371"/>
      <c r="I36" s="369"/>
      <c r="J36" s="369">
        <v>40</v>
      </c>
      <c r="K36" s="387"/>
      <c r="L36" s="387"/>
      <c r="M36" s="396"/>
      <c r="N36" s="374"/>
      <c r="O36" s="377"/>
      <c r="P36" s="410" t="s">
        <v>8</v>
      </c>
      <c r="Q36" s="369"/>
      <c r="R36" s="375"/>
      <c r="S36" s="298"/>
    </row>
    <row r="37" spans="1:23" ht="20.149999999999999" customHeight="1" x14ac:dyDescent="0.45">
      <c r="A37" s="268">
        <v>44408</v>
      </c>
      <c r="B37" s="374"/>
      <c r="C37" s="369"/>
      <c r="D37" s="389"/>
      <c r="E37" s="373"/>
      <c r="F37" s="378"/>
      <c r="G37" s="372"/>
      <c r="H37" s="371"/>
      <c r="I37" s="369"/>
      <c r="J37" s="369"/>
      <c r="K37" s="387"/>
      <c r="L37" s="387"/>
      <c r="M37" s="370"/>
      <c r="N37" s="374"/>
      <c r="O37" s="377"/>
      <c r="P37" s="369"/>
      <c r="Q37" s="369"/>
      <c r="R37" s="375"/>
      <c r="S37" s="298"/>
    </row>
    <row r="38" spans="1:23" ht="20.6" thickBot="1" x14ac:dyDescent="0.5">
      <c r="A38" s="312" t="s">
        <v>20</v>
      </c>
      <c r="B38" s="399"/>
      <c r="C38" s="400"/>
      <c r="D38" s="400"/>
      <c r="E38" s="401"/>
      <c r="F38" s="399">
        <f>SUM(F3:F37)</f>
        <v>0</v>
      </c>
      <c r="G38" s="402"/>
      <c r="H38" s="399">
        <f t="shared" ref="H38:M38" si="0">SUM(H3:H37)</f>
        <v>1373</v>
      </c>
      <c r="I38" s="400">
        <f t="shared" si="0"/>
        <v>1422</v>
      </c>
      <c r="J38" s="400">
        <f t="shared" si="0"/>
        <v>1527</v>
      </c>
      <c r="K38" s="403">
        <f t="shared" si="0"/>
        <v>1519</v>
      </c>
      <c r="L38" s="403">
        <f t="shared" si="0"/>
        <v>0</v>
      </c>
      <c r="M38" s="401">
        <f t="shared" si="0"/>
        <v>0</v>
      </c>
      <c r="N38" s="399"/>
      <c r="O38" s="400"/>
      <c r="P38" s="400"/>
      <c r="Q38" s="403"/>
      <c r="R38" s="404"/>
      <c r="S38" s="319"/>
    </row>
    <row r="39" spans="1:23" ht="18.45" thickBot="1" x14ac:dyDescent="0.5">
      <c r="A39" s="312" t="s">
        <v>21</v>
      </c>
      <c r="B39" s="287"/>
      <c r="C39" s="287"/>
      <c r="D39" s="287"/>
      <c r="E39" s="287"/>
      <c r="F39" s="287">
        <f>F38/60</f>
        <v>0</v>
      </c>
      <c r="G39" s="287"/>
      <c r="H39" s="320">
        <f t="shared" ref="H39:M39" si="1">H38/60</f>
        <v>22.883333333333333</v>
      </c>
      <c r="I39" s="320">
        <f t="shared" si="1"/>
        <v>23.7</v>
      </c>
      <c r="J39" s="320">
        <f t="shared" si="1"/>
        <v>25.45</v>
      </c>
      <c r="K39" s="320">
        <f t="shared" si="1"/>
        <v>25.316666666666666</v>
      </c>
      <c r="L39" s="320">
        <f t="shared" si="1"/>
        <v>0</v>
      </c>
      <c r="M39" s="320">
        <f t="shared" si="1"/>
        <v>0</v>
      </c>
      <c r="N39" s="287"/>
      <c r="O39" s="287"/>
      <c r="P39" s="287"/>
      <c r="Q39" s="287"/>
    </row>
    <row r="40" spans="1:23" x14ac:dyDescent="0.45">
      <c r="A40" s="287" t="s">
        <v>41</v>
      </c>
      <c r="B40" s="287"/>
      <c r="C40" s="287"/>
      <c r="D40" s="287"/>
      <c r="E40" s="287"/>
      <c r="F40" s="287"/>
      <c r="G40" s="287"/>
      <c r="H40" s="321">
        <f>(H7)/60</f>
        <v>0</v>
      </c>
      <c r="I40" s="321">
        <f>(I6)/60</f>
        <v>2</v>
      </c>
      <c r="J40" s="321">
        <f>(J11+J20+J34+J36)/60</f>
        <v>3.1666666666666665</v>
      </c>
      <c r="K40" s="321">
        <f>(K8+K10+K19+K31)/60</f>
        <v>5.25</v>
      </c>
      <c r="L40" s="322">
        <f t="shared" ref="L40:M42" si="2">L21/24</f>
        <v>0</v>
      </c>
      <c r="M40" s="322">
        <f t="shared" si="2"/>
        <v>0</v>
      </c>
      <c r="N40" s="287"/>
      <c r="O40" s="287"/>
      <c r="P40" s="287"/>
      <c r="Q40" s="287"/>
    </row>
    <row r="41" spans="1:23" x14ac:dyDescent="0.45">
      <c r="A41" s="287" t="s">
        <v>42</v>
      </c>
      <c r="B41" s="287"/>
      <c r="C41" s="287"/>
      <c r="D41" s="287"/>
      <c r="E41" s="287"/>
      <c r="F41" s="287"/>
      <c r="G41" s="287"/>
      <c r="H41" s="321">
        <f>(H3+H4+H6+H22+H23+H25+H35+H10+H12)/60</f>
        <v>21.766666666666666</v>
      </c>
      <c r="I41" s="321">
        <f>(I3+I4+I7+I12+I22+I25+I35+I23)/60</f>
        <v>21.7</v>
      </c>
      <c r="J41" s="321">
        <f>(J3+J14+J22+J25+J35)/60</f>
        <v>17.683333333333334</v>
      </c>
      <c r="K41" s="321">
        <f>(K3+K20+K21+K22+K25+K35)/60</f>
        <v>18.933333333333334</v>
      </c>
      <c r="L41" s="322">
        <f t="shared" si="2"/>
        <v>0</v>
      </c>
      <c r="M41" s="322">
        <f t="shared" si="2"/>
        <v>0</v>
      </c>
      <c r="N41" s="287"/>
      <c r="O41" s="287"/>
      <c r="P41" s="287"/>
      <c r="Q41" s="287"/>
    </row>
    <row r="42" spans="1:23" x14ac:dyDescent="0.45">
      <c r="A42" s="287" t="s">
        <v>43</v>
      </c>
      <c r="B42" s="287"/>
      <c r="C42" s="287"/>
      <c r="D42" s="287"/>
      <c r="E42" s="287"/>
      <c r="F42" s="287"/>
      <c r="G42" s="287"/>
      <c r="H42" s="321">
        <f>(H5+H11+H28+H30+H16+H8)/60</f>
        <v>1.1166666666666667</v>
      </c>
      <c r="I42" s="321">
        <v>0</v>
      </c>
      <c r="J42" s="321">
        <f>(J5+J13+J16+J17+J18+J24+J26+J28+J30+J12)/60</f>
        <v>4.5999999999999996</v>
      </c>
      <c r="K42" s="321">
        <f>(K5+K12)/60</f>
        <v>1.1333333333333333</v>
      </c>
      <c r="L42" s="322">
        <f t="shared" si="2"/>
        <v>0</v>
      </c>
      <c r="M42" s="322">
        <f t="shared" si="2"/>
        <v>0</v>
      </c>
      <c r="N42" s="287"/>
      <c r="O42" s="287"/>
      <c r="P42" s="287"/>
      <c r="Q42" s="287"/>
    </row>
    <row r="43" spans="1:23" x14ac:dyDescent="0.45">
      <c r="A43" s="287" t="s">
        <v>141</v>
      </c>
      <c r="B43" s="255"/>
      <c r="C43" s="255"/>
      <c r="D43" s="255"/>
      <c r="E43" s="255"/>
      <c r="F43" s="255"/>
      <c r="G43" s="255"/>
      <c r="H43" s="321"/>
      <c r="I43" s="321"/>
      <c r="J43" s="321"/>
      <c r="K43" s="321"/>
      <c r="L43" s="255"/>
      <c r="M43" s="255"/>
      <c r="N43" s="255"/>
      <c r="O43" s="255"/>
      <c r="P43" s="255"/>
      <c r="Q43" s="255"/>
      <c r="R43" s="255"/>
      <c r="S43" s="255"/>
    </row>
    <row r="44" spans="1:23" x14ac:dyDescent="0.45">
      <c r="A44" s="287"/>
      <c r="B44" s="255"/>
      <c r="C44" s="255"/>
      <c r="D44" s="255"/>
      <c r="E44" s="255"/>
      <c r="F44" s="255"/>
      <c r="G44" s="255"/>
      <c r="H44" s="255"/>
      <c r="I44" s="287"/>
      <c r="J44" s="255"/>
      <c r="K44" s="255"/>
      <c r="L44" s="255"/>
      <c r="M44" s="255"/>
      <c r="N44" s="255"/>
      <c r="O44" s="255"/>
      <c r="P44" s="255"/>
      <c r="Q44" s="255"/>
      <c r="R44" s="255"/>
      <c r="S44" s="255"/>
    </row>
    <row r="45" spans="1:23" x14ac:dyDescent="0.45">
      <c r="A45" s="287"/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</row>
    <row r="46" spans="1:23" x14ac:dyDescent="0.45">
      <c r="A46" s="287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</row>
    <row r="47" spans="1:23" x14ac:dyDescent="0.45">
      <c r="A47" s="287"/>
      <c r="B47" s="255"/>
      <c r="C47" s="255"/>
      <c r="D47" s="255"/>
      <c r="E47" s="323"/>
      <c r="F47" s="323"/>
      <c r="G47" s="309"/>
      <c r="H47" s="309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</row>
    <row r="48" spans="1:23" x14ac:dyDescent="0.45">
      <c r="B48" s="255"/>
      <c r="C48" s="1358" t="s">
        <v>168</v>
      </c>
      <c r="D48" s="1359"/>
      <c r="E48" s="1359"/>
      <c r="F48" s="1359"/>
      <c r="G48" s="1360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</row>
    <row r="49" spans="1:19" ht="18.45" thickBot="1" x14ac:dyDescent="0.5"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</row>
    <row r="50" spans="1:19" ht="18.45" thickBot="1" x14ac:dyDescent="0.5">
      <c r="B50" s="255"/>
      <c r="C50" s="325"/>
      <c r="D50" s="325" t="s">
        <v>1</v>
      </c>
      <c r="E50" s="326" t="s">
        <v>101</v>
      </c>
      <c r="F50" s="326" t="s">
        <v>102</v>
      </c>
      <c r="G50" s="326" t="s">
        <v>103</v>
      </c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</row>
    <row r="51" spans="1:19" x14ac:dyDescent="0.45">
      <c r="B51" s="255"/>
      <c r="C51" s="327" t="s">
        <v>108</v>
      </c>
      <c r="D51" s="328">
        <f>H40</f>
        <v>0</v>
      </c>
      <c r="E51" s="328">
        <f t="shared" ref="E51:F54" si="3">J40</f>
        <v>3.1666666666666665</v>
      </c>
      <c r="F51" s="328">
        <f t="shared" si="3"/>
        <v>5.25</v>
      </c>
      <c r="G51" s="329">
        <f>I40</f>
        <v>2</v>
      </c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</row>
    <row r="52" spans="1:19" ht="19.75" x14ac:dyDescent="0.45">
      <c r="A52" s="287"/>
      <c r="B52" s="255"/>
      <c r="C52" s="330" t="s">
        <v>109</v>
      </c>
      <c r="D52" s="331">
        <f>H41</f>
        <v>21.766666666666666</v>
      </c>
      <c r="E52" s="331">
        <f t="shared" si="3"/>
        <v>17.683333333333334</v>
      </c>
      <c r="F52" s="331">
        <f t="shared" si="3"/>
        <v>18.933333333333334</v>
      </c>
      <c r="G52" s="332">
        <f>I41</f>
        <v>21.7</v>
      </c>
      <c r="H52" s="255"/>
      <c r="I52" s="411" t="s">
        <v>176</v>
      </c>
      <c r="J52" s="412"/>
      <c r="K52" s="412"/>
      <c r="L52" s="413"/>
      <c r="M52" s="255"/>
      <c r="N52" s="255"/>
      <c r="O52" s="255"/>
      <c r="P52" s="255"/>
      <c r="Q52" s="255"/>
      <c r="R52" s="255"/>
      <c r="S52" s="255"/>
    </row>
    <row r="53" spans="1:19" x14ac:dyDescent="0.45">
      <c r="A53" s="354"/>
      <c r="B53" s="255"/>
      <c r="C53" s="330" t="s">
        <v>110</v>
      </c>
      <c r="D53" s="331">
        <f>H42</f>
        <v>1.1166666666666667</v>
      </c>
      <c r="E53" s="331">
        <f t="shared" si="3"/>
        <v>4.5999999999999996</v>
      </c>
      <c r="F53" s="331">
        <f t="shared" si="3"/>
        <v>1.1333333333333333</v>
      </c>
      <c r="G53" s="332">
        <f>I42</f>
        <v>0</v>
      </c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</row>
    <row r="54" spans="1:19" ht="18.45" thickBot="1" x14ac:dyDescent="0.5">
      <c r="A54" s="354"/>
      <c r="B54" s="255"/>
      <c r="C54" s="333" t="s">
        <v>111</v>
      </c>
      <c r="D54" s="334">
        <f>H43</f>
        <v>0</v>
      </c>
      <c r="E54" s="334">
        <f t="shared" si="3"/>
        <v>0</v>
      </c>
      <c r="F54" s="334">
        <f t="shared" si="3"/>
        <v>0</v>
      </c>
      <c r="G54" s="334">
        <f>I43</f>
        <v>0</v>
      </c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</row>
    <row r="55" spans="1:19" ht="18.45" thickBot="1" x14ac:dyDescent="0.5">
      <c r="A55" s="354"/>
      <c r="B55" s="255"/>
      <c r="C55" s="335" t="s">
        <v>100</v>
      </c>
      <c r="D55" s="336">
        <f>D51+D52+D53+D54</f>
        <v>22.883333333333333</v>
      </c>
      <c r="E55" s="336">
        <f>E51+E52+E53+E54</f>
        <v>25.450000000000003</v>
      </c>
      <c r="F55" s="336">
        <f>F51+F52+F53+F54</f>
        <v>25.316666666666666</v>
      </c>
      <c r="G55" s="336">
        <f>G51+G52+G53+G54</f>
        <v>23.7</v>
      </c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</row>
    <row r="56" spans="1:19" x14ac:dyDescent="0.45">
      <c r="A56" s="354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</row>
    <row r="57" spans="1:19" x14ac:dyDescent="0.45">
      <c r="A57" s="354"/>
      <c r="B57" s="255"/>
      <c r="C57" s="287" t="s">
        <v>106</v>
      </c>
      <c r="D57" s="337">
        <f>D51+D52+D53+E51+E52+E53+F51+F52+F53+G51+G52+G53</f>
        <v>97.350000000000009</v>
      </c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</row>
    <row r="58" spans="1:19" x14ac:dyDescent="0.45">
      <c r="A58" s="354"/>
      <c r="B58" s="255"/>
      <c r="C58" s="287" t="s">
        <v>107</v>
      </c>
      <c r="D58" s="337">
        <f>AVERAGE(D54:G54)</f>
        <v>0</v>
      </c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</row>
    <row r="59" spans="1:19" x14ac:dyDescent="0.45">
      <c r="A59" s="354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</row>
    <row r="60" spans="1:19" x14ac:dyDescent="0.45">
      <c r="A60" s="354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</row>
    <row r="61" spans="1:19" x14ac:dyDescent="0.45">
      <c r="A61" s="354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</row>
    <row r="62" spans="1:19" x14ac:dyDescent="0.45">
      <c r="A62" s="354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</row>
    <row r="63" spans="1:19" x14ac:dyDescent="0.45">
      <c r="A63" s="354"/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</row>
    <row r="64" spans="1:19" x14ac:dyDescent="0.45">
      <c r="A64" s="354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</row>
    <row r="65" spans="1:19" x14ac:dyDescent="0.45">
      <c r="A65" s="354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</row>
    <row r="66" spans="1:19" x14ac:dyDescent="0.45">
      <c r="A66" s="354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</row>
    <row r="67" spans="1:19" x14ac:dyDescent="0.45">
      <c r="A67" s="354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</row>
    <row r="68" spans="1:19" x14ac:dyDescent="0.45">
      <c r="A68" s="354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</row>
    <row r="69" spans="1:19" x14ac:dyDescent="0.45">
      <c r="A69" s="354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</row>
    <row r="70" spans="1:19" x14ac:dyDescent="0.45">
      <c r="A70" s="354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</row>
    <row r="71" spans="1:19" x14ac:dyDescent="0.45">
      <c r="A71" s="354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</row>
    <row r="72" spans="1:19" x14ac:dyDescent="0.45">
      <c r="A72" s="354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</row>
    <row r="73" spans="1:19" x14ac:dyDescent="0.45">
      <c r="A73" s="354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</row>
    <row r="74" spans="1:19" x14ac:dyDescent="0.45">
      <c r="A74" s="354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</row>
    <row r="75" spans="1:19" x14ac:dyDescent="0.45">
      <c r="A75" s="354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</row>
    <row r="76" spans="1:19" x14ac:dyDescent="0.45">
      <c r="A76" s="354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</row>
    <row r="77" spans="1:19" x14ac:dyDescent="0.45">
      <c r="A77" s="354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</row>
    <row r="78" spans="1:19" x14ac:dyDescent="0.45">
      <c r="A78" s="354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</row>
    <row r="79" spans="1:19" x14ac:dyDescent="0.45">
      <c r="A79" s="354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</row>
    <row r="80" spans="1:19" x14ac:dyDescent="0.45">
      <c r="A80" s="354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</row>
    <row r="81" spans="1:19" x14ac:dyDescent="0.45">
      <c r="A81" s="354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</row>
    <row r="82" spans="1:19" x14ac:dyDescent="0.45">
      <c r="A82" s="354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</row>
    <row r="83" spans="1:19" x14ac:dyDescent="0.45">
      <c r="A83" s="354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</row>
    <row r="84" spans="1:19" x14ac:dyDescent="0.45">
      <c r="A84" s="354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</row>
    <row r="85" spans="1:19" x14ac:dyDescent="0.45">
      <c r="A85" s="354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</row>
    <row r="86" spans="1:19" x14ac:dyDescent="0.45">
      <c r="A86" s="354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</row>
    <row r="87" spans="1:19" x14ac:dyDescent="0.45">
      <c r="A87" s="354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</row>
    <row r="88" spans="1:19" x14ac:dyDescent="0.45">
      <c r="A88" s="354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</row>
    <row r="89" spans="1:19" x14ac:dyDescent="0.45">
      <c r="A89" s="354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5"/>
    </row>
    <row r="90" spans="1:19" x14ac:dyDescent="0.45">
      <c r="A90" s="354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</row>
    <row r="91" spans="1:19" x14ac:dyDescent="0.45">
      <c r="A91" s="354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255"/>
    </row>
    <row r="92" spans="1:19" x14ac:dyDescent="0.45">
      <c r="A92" s="354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5"/>
      <c r="S92" s="255"/>
    </row>
    <row r="93" spans="1:19" x14ac:dyDescent="0.45">
      <c r="A93" s="354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5"/>
    </row>
    <row r="94" spans="1:19" x14ac:dyDescent="0.45">
      <c r="A94" s="354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255"/>
    </row>
    <row r="95" spans="1:19" x14ac:dyDescent="0.45">
      <c r="A95" s="354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5"/>
    </row>
    <row r="96" spans="1:19" x14ac:dyDescent="0.45">
      <c r="A96" s="354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5"/>
    </row>
    <row r="97" spans="1:19" x14ac:dyDescent="0.45">
      <c r="A97" s="354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5"/>
    </row>
    <row r="98" spans="1:19" x14ac:dyDescent="0.45">
      <c r="A98" s="354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  <c r="R98" s="255"/>
      <c r="S98" s="255"/>
    </row>
    <row r="99" spans="1:19" x14ac:dyDescent="0.45">
      <c r="A99" s="354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5"/>
    </row>
    <row r="100" spans="1:19" x14ac:dyDescent="0.45">
      <c r="A100" s="354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</row>
    <row r="101" spans="1:19" x14ac:dyDescent="0.45">
      <c r="A101" s="354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</row>
    <row r="102" spans="1:19" x14ac:dyDescent="0.45">
      <c r="A102" s="354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</row>
    <row r="103" spans="1:19" x14ac:dyDescent="0.45">
      <c r="A103" s="354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</row>
    <row r="104" spans="1:19" x14ac:dyDescent="0.45">
      <c r="A104" s="354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</row>
    <row r="105" spans="1:19" x14ac:dyDescent="0.45">
      <c r="A105" s="354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</row>
    <row r="106" spans="1:19" x14ac:dyDescent="0.45">
      <c r="A106" s="354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</row>
    <row r="107" spans="1:19" x14ac:dyDescent="0.45">
      <c r="A107" s="354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</row>
    <row r="108" spans="1:19" x14ac:dyDescent="0.45">
      <c r="A108" s="354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</row>
    <row r="109" spans="1:19" x14ac:dyDescent="0.45">
      <c r="A109" s="354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</row>
    <row r="110" spans="1:19" x14ac:dyDescent="0.45">
      <c r="A110" s="354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</row>
    <row r="111" spans="1:19" x14ac:dyDescent="0.45">
      <c r="A111" s="354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</row>
    <row r="112" spans="1:19" x14ac:dyDescent="0.45">
      <c r="A112" s="354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</row>
    <row r="113" spans="1:19" x14ac:dyDescent="0.45">
      <c r="A113" s="354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</row>
    <row r="114" spans="1:19" x14ac:dyDescent="0.45">
      <c r="A114" s="354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</row>
    <row r="115" spans="1:19" x14ac:dyDescent="0.45">
      <c r="A115" s="354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</row>
    <row r="116" spans="1:19" x14ac:dyDescent="0.45">
      <c r="A116" s="354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</row>
    <row r="117" spans="1:19" x14ac:dyDescent="0.45">
      <c r="A117" s="354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</row>
    <row r="118" spans="1:19" x14ac:dyDescent="0.45">
      <c r="A118" s="354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</row>
    <row r="119" spans="1:19" x14ac:dyDescent="0.45">
      <c r="A119" s="354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</row>
    <row r="120" spans="1:19" x14ac:dyDescent="0.45">
      <c r="A120" s="354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</row>
    <row r="121" spans="1:19" x14ac:dyDescent="0.45">
      <c r="A121" s="354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</row>
    <row r="122" spans="1:19" x14ac:dyDescent="0.45">
      <c r="A122" s="354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</row>
    <row r="123" spans="1:19" x14ac:dyDescent="0.45">
      <c r="A123" s="354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</row>
    <row r="124" spans="1:19" x14ac:dyDescent="0.45">
      <c r="A124" s="354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</row>
    <row r="125" spans="1:19" x14ac:dyDescent="0.45">
      <c r="A125" s="354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</row>
    <row r="126" spans="1:19" x14ac:dyDescent="0.45">
      <c r="A126" s="354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</row>
    <row r="127" spans="1:19" x14ac:dyDescent="0.45">
      <c r="A127" s="354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</row>
    <row r="128" spans="1:19" x14ac:dyDescent="0.45">
      <c r="A128" s="354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</row>
    <row r="129" spans="1:19" x14ac:dyDescent="0.45">
      <c r="A129" s="354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</row>
    <row r="130" spans="1:19" x14ac:dyDescent="0.45">
      <c r="A130" s="354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</row>
    <row r="131" spans="1:19" x14ac:dyDescent="0.45">
      <c r="A131" s="354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</row>
    <row r="132" spans="1:19" x14ac:dyDescent="0.45">
      <c r="A132" s="354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</row>
    <row r="133" spans="1:19" x14ac:dyDescent="0.45">
      <c r="A133" s="354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</row>
    <row r="134" spans="1:19" x14ac:dyDescent="0.45">
      <c r="A134" s="354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</row>
    <row r="135" spans="1:19" x14ac:dyDescent="0.45">
      <c r="A135" s="354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</row>
    <row r="136" spans="1:19" x14ac:dyDescent="0.45">
      <c r="A136" s="354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</row>
    <row r="137" spans="1:19" x14ac:dyDescent="0.45">
      <c r="A137" s="354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</row>
    <row r="138" spans="1:19" x14ac:dyDescent="0.45">
      <c r="A138" s="354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</row>
    <row r="139" spans="1:19" x14ac:dyDescent="0.45">
      <c r="A139" s="354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</row>
    <row r="140" spans="1:19" x14ac:dyDescent="0.45">
      <c r="A140" s="354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</row>
    <row r="141" spans="1:19" x14ac:dyDescent="0.45">
      <c r="A141" s="354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</row>
    <row r="142" spans="1:19" x14ac:dyDescent="0.45">
      <c r="A142" s="354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</row>
    <row r="143" spans="1:19" x14ac:dyDescent="0.45">
      <c r="A143" s="354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</row>
    <row r="144" spans="1:19" x14ac:dyDescent="0.45">
      <c r="A144" s="354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</row>
    <row r="145" spans="1:19" x14ac:dyDescent="0.45">
      <c r="A145" s="354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</row>
    <row r="146" spans="1:19" x14ac:dyDescent="0.45">
      <c r="A146" s="354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</row>
    <row r="147" spans="1:19" x14ac:dyDescent="0.45">
      <c r="A147" s="354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</row>
    <row r="148" spans="1:19" x14ac:dyDescent="0.45">
      <c r="A148" s="354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</row>
    <row r="149" spans="1:19" x14ac:dyDescent="0.45">
      <c r="A149" s="354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</row>
    <row r="150" spans="1:19" x14ac:dyDescent="0.45">
      <c r="A150" s="354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</row>
    <row r="151" spans="1:19" x14ac:dyDescent="0.45">
      <c r="A151" s="354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</row>
    <row r="152" spans="1:19" x14ac:dyDescent="0.45">
      <c r="A152" s="354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</row>
    <row r="153" spans="1:19" x14ac:dyDescent="0.45">
      <c r="A153" s="354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</row>
    <row r="154" spans="1:19" x14ac:dyDescent="0.45">
      <c r="A154" s="354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</row>
    <row r="155" spans="1:19" x14ac:dyDescent="0.45">
      <c r="A155" s="354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</row>
    <row r="156" spans="1:19" x14ac:dyDescent="0.45">
      <c r="A156" s="354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</row>
    <row r="157" spans="1:19" x14ac:dyDescent="0.45">
      <c r="A157" s="354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</row>
    <row r="158" spans="1:19" x14ac:dyDescent="0.45">
      <c r="A158" s="354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</row>
    <row r="159" spans="1:19" x14ac:dyDescent="0.45">
      <c r="A159" s="354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</row>
    <row r="160" spans="1:19" x14ac:dyDescent="0.45">
      <c r="A160" s="354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</row>
    <row r="161" spans="1:19" x14ac:dyDescent="0.45">
      <c r="A161" s="354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</row>
    <row r="162" spans="1:19" x14ac:dyDescent="0.45">
      <c r="A162" s="354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</row>
    <row r="163" spans="1:19" x14ac:dyDescent="0.45">
      <c r="A163" s="354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</row>
    <row r="164" spans="1:19" x14ac:dyDescent="0.45">
      <c r="A164" s="354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</row>
    <row r="165" spans="1:19" x14ac:dyDescent="0.45">
      <c r="A165" s="354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</row>
    <row r="166" spans="1:19" x14ac:dyDescent="0.45">
      <c r="A166" s="354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</row>
    <row r="167" spans="1:19" x14ac:dyDescent="0.45">
      <c r="A167" s="354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</row>
    <row r="168" spans="1:19" x14ac:dyDescent="0.45">
      <c r="A168" s="354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255"/>
    </row>
    <row r="169" spans="1:19" x14ac:dyDescent="0.45">
      <c r="A169" s="354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</row>
    <row r="170" spans="1:19" x14ac:dyDescent="0.45">
      <c r="A170" s="354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255"/>
      <c r="N170" s="255"/>
      <c r="O170" s="255"/>
      <c r="P170" s="255"/>
      <c r="Q170" s="255"/>
      <c r="R170" s="255"/>
      <c r="S170" s="255"/>
    </row>
    <row r="171" spans="1:19" x14ac:dyDescent="0.45">
      <c r="A171" s="354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  <c r="S171" s="255"/>
    </row>
    <row r="172" spans="1:19" x14ac:dyDescent="0.45">
      <c r="A172" s="354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  <c r="S172" s="255"/>
    </row>
    <row r="173" spans="1:19" x14ac:dyDescent="0.45">
      <c r="A173" s="354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  <c r="S173" s="255"/>
    </row>
    <row r="174" spans="1:19" x14ac:dyDescent="0.45">
      <c r="A174" s="354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  <c r="S174" s="255"/>
    </row>
    <row r="175" spans="1:19" x14ac:dyDescent="0.45">
      <c r="A175" s="354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  <c r="S175" s="255"/>
    </row>
    <row r="176" spans="1:19" x14ac:dyDescent="0.45">
      <c r="A176" s="354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</row>
    <row r="177" spans="1:19" x14ac:dyDescent="0.45">
      <c r="A177" s="354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255"/>
    </row>
    <row r="178" spans="1:19" x14ac:dyDescent="0.45">
      <c r="A178" s="354"/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5"/>
      <c r="R178" s="255"/>
      <c r="S178" s="255"/>
    </row>
    <row r="179" spans="1:19" x14ac:dyDescent="0.45">
      <c r="A179" s="354"/>
      <c r="B179" s="255"/>
      <c r="C179" s="255"/>
      <c r="D179" s="255"/>
      <c r="E179" s="255"/>
      <c r="F179" s="255"/>
      <c r="G179" s="255"/>
      <c r="H179" s="255"/>
      <c r="I179" s="255"/>
      <c r="J179" s="255"/>
      <c r="K179" s="255"/>
      <c r="L179" s="255"/>
      <c r="M179" s="255"/>
      <c r="N179" s="255"/>
      <c r="O179" s="255"/>
      <c r="P179" s="255"/>
      <c r="Q179" s="255"/>
      <c r="R179" s="255"/>
      <c r="S179" s="255"/>
    </row>
    <row r="180" spans="1:19" x14ac:dyDescent="0.45">
      <c r="A180" s="354"/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255"/>
    </row>
    <row r="181" spans="1:19" x14ac:dyDescent="0.45">
      <c r="A181" s="354"/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  <c r="S181" s="255"/>
    </row>
    <row r="182" spans="1:19" x14ac:dyDescent="0.45">
      <c r="A182" s="354"/>
      <c r="B182" s="255"/>
      <c r="C182" s="255"/>
      <c r="D182" s="255"/>
      <c r="E182" s="255"/>
      <c r="F182" s="255"/>
      <c r="G182" s="255"/>
      <c r="H182" s="255"/>
      <c r="I182" s="255"/>
      <c r="J182" s="255"/>
      <c r="K182" s="255"/>
      <c r="L182" s="255"/>
      <c r="M182" s="255"/>
      <c r="N182" s="255"/>
      <c r="O182" s="255"/>
      <c r="P182" s="255"/>
      <c r="Q182" s="255"/>
      <c r="R182" s="255"/>
      <c r="S182" s="255"/>
    </row>
    <row r="183" spans="1:19" x14ac:dyDescent="0.45">
      <c r="A183" s="354"/>
      <c r="B183" s="255"/>
      <c r="C183" s="255"/>
      <c r="D183" s="255"/>
      <c r="E183" s="255"/>
      <c r="F183" s="255"/>
      <c r="G183" s="255"/>
      <c r="H183" s="255"/>
      <c r="I183" s="255"/>
      <c r="J183" s="255"/>
      <c r="K183" s="255"/>
      <c r="L183" s="255"/>
      <c r="M183" s="255"/>
      <c r="N183" s="255"/>
      <c r="O183" s="255"/>
      <c r="P183" s="255"/>
      <c r="Q183" s="255"/>
      <c r="R183" s="255"/>
      <c r="S183" s="255"/>
    </row>
    <row r="184" spans="1:19" x14ac:dyDescent="0.45">
      <c r="A184" s="354"/>
      <c r="B184" s="255"/>
      <c r="C184" s="255"/>
      <c r="D184" s="255"/>
      <c r="E184" s="255"/>
      <c r="F184" s="255"/>
      <c r="G184" s="255"/>
      <c r="H184" s="255"/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  <c r="S184" s="255"/>
    </row>
    <row r="185" spans="1:19" x14ac:dyDescent="0.45">
      <c r="A185" s="354"/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  <c r="S185" s="255"/>
    </row>
    <row r="186" spans="1:19" x14ac:dyDescent="0.45">
      <c r="A186" s="354"/>
      <c r="B186" s="255"/>
      <c r="C186" s="255"/>
      <c r="D186" s="255"/>
      <c r="E186" s="255"/>
      <c r="F186" s="255"/>
      <c r="G186" s="255"/>
      <c r="H186" s="255"/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  <c r="S186" s="255"/>
    </row>
    <row r="187" spans="1:19" x14ac:dyDescent="0.45">
      <c r="A187" s="354"/>
      <c r="B187" s="255"/>
      <c r="C187" s="255"/>
      <c r="D187" s="255"/>
      <c r="E187" s="255"/>
      <c r="F187" s="255"/>
      <c r="G187" s="255"/>
      <c r="H187" s="255"/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  <c r="S187" s="255"/>
    </row>
    <row r="188" spans="1:19" x14ac:dyDescent="0.45">
      <c r="A188" s="354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5"/>
      <c r="S188" s="255"/>
    </row>
    <row r="189" spans="1:19" x14ac:dyDescent="0.45">
      <c r="A189" s="354"/>
      <c r="B189" s="255"/>
      <c r="C189" s="255"/>
      <c r="D189" s="255"/>
      <c r="E189" s="255"/>
      <c r="F189" s="255"/>
      <c r="G189" s="255"/>
      <c r="H189" s="255"/>
      <c r="I189" s="255"/>
      <c r="J189" s="255"/>
      <c r="K189" s="255"/>
      <c r="L189" s="255"/>
      <c r="M189" s="255"/>
      <c r="N189" s="255"/>
      <c r="O189" s="255"/>
      <c r="P189" s="255"/>
      <c r="Q189" s="255"/>
      <c r="R189" s="255"/>
      <c r="S189" s="255"/>
    </row>
    <row r="190" spans="1:19" x14ac:dyDescent="0.45">
      <c r="A190" s="354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5"/>
      <c r="R190" s="255"/>
      <c r="S190" s="255"/>
    </row>
    <row r="191" spans="1:19" x14ac:dyDescent="0.45">
      <c r="A191" s="354"/>
      <c r="B191" s="255"/>
      <c r="C191" s="255"/>
      <c r="D191" s="255"/>
      <c r="E191" s="255"/>
      <c r="F191" s="255"/>
      <c r="G191" s="255"/>
      <c r="H191" s="255"/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  <c r="S191" s="255"/>
    </row>
    <row r="192" spans="1:19" x14ac:dyDescent="0.45">
      <c r="A192" s="354"/>
      <c r="B192" s="255"/>
      <c r="C192" s="255"/>
      <c r="D192" s="255"/>
      <c r="E192" s="255"/>
      <c r="F192" s="255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5"/>
      <c r="R192" s="255"/>
      <c r="S192" s="255"/>
    </row>
    <row r="193" spans="1:19" x14ac:dyDescent="0.45">
      <c r="A193" s="354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  <c r="S193" s="255"/>
    </row>
    <row r="194" spans="1:19" x14ac:dyDescent="0.45">
      <c r="A194" s="354"/>
      <c r="B194" s="255"/>
      <c r="C194" s="255"/>
      <c r="D194" s="255"/>
      <c r="E194" s="255"/>
      <c r="F194" s="255"/>
      <c r="G194" s="255"/>
      <c r="H194" s="255"/>
      <c r="I194" s="255"/>
      <c r="J194" s="255"/>
      <c r="K194" s="255"/>
      <c r="L194" s="255"/>
      <c r="M194" s="255"/>
      <c r="N194" s="255"/>
      <c r="O194" s="255"/>
      <c r="P194" s="255"/>
      <c r="Q194" s="255"/>
      <c r="R194" s="255"/>
      <c r="S194" s="255"/>
    </row>
    <row r="195" spans="1:19" x14ac:dyDescent="0.45">
      <c r="A195" s="354"/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  <c r="S195" s="255"/>
    </row>
    <row r="196" spans="1:19" x14ac:dyDescent="0.45">
      <c r="A196" s="354"/>
      <c r="B196" s="255"/>
      <c r="C196" s="255"/>
      <c r="D196" s="255"/>
      <c r="E196" s="255"/>
      <c r="F196" s="255"/>
      <c r="G196" s="255"/>
      <c r="H196" s="255"/>
      <c r="I196" s="255"/>
      <c r="J196" s="255"/>
      <c r="K196" s="255"/>
      <c r="L196" s="255"/>
      <c r="M196" s="255"/>
      <c r="N196" s="255"/>
      <c r="O196" s="255"/>
      <c r="P196" s="255"/>
      <c r="Q196" s="255"/>
      <c r="R196" s="255"/>
      <c r="S196" s="255"/>
    </row>
    <row r="197" spans="1:19" x14ac:dyDescent="0.45">
      <c r="A197" s="354"/>
      <c r="B197" s="255"/>
      <c r="C197" s="255"/>
      <c r="D197" s="255"/>
      <c r="E197" s="255"/>
      <c r="F197" s="255"/>
      <c r="G197" s="255"/>
      <c r="H197" s="255"/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  <c r="S197" s="255"/>
    </row>
    <row r="198" spans="1:19" x14ac:dyDescent="0.45">
      <c r="A198" s="354"/>
      <c r="B198" s="255"/>
      <c r="C198" s="255"/>
      <c r="D198" s="255"/>
      <c r="E198" s="255"/>
      <c r="F198" s="255"/>
      <c r="G198" s="255"/>
      <c r="H198" s="255"/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  <c r="S198" s="255"/>
    </row>
    <row r="199" spans="1:19" x14ac:dyDescent="0.45">
      <c r="A199" s="354"/>
      <c r="B199" s="255"/>
      <c r="C199" s="255"/>
      <c r="D199" s="255"/>
      <c r="E199" s="255"/>
      <c r="F199" s="255"/>
      <c r="G199" s="255"/>
      <c r="H199" s="255"/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  <c r="S199" s="255"/>
    </row>
    <row r="200" spans="1:19" x14ac:dyDescent="0.45">
      <c r="A200" s="354"/>
      <c r="B200" s="255"/>
      <c r="C200" s="255"/>
      <c r="D200" s="255"/>
      <c r="E200" s="255"/>
      <c r="F200" s="255"/>
      <c r="G200" s="255"/>
      <c r="H200" s="255"/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  <c r="S200" s="255"/>
    </row>
    <row r="201" spans="1:19" x14ac:dyDescent="0.45">
      <c r="A201" s="354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255"/>
    </row>
    <row r="202" spans="1:19" x14ac:dyDescent="0.45">
      <c r="A202" s="354"/>
      <c r="B202" s="255"/>
      <c r="C202" s="255"/>
      <c r="D202" s="255"/>
      <c r="E202" s="255"/>
      <c r="F202" s="255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  <c r="S202" s="255"/>
    </row>
    <row r="203" spans="1:19" x14ac:dyDescent="0.45">
      <c r="A203" s="354"/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  <c r="S203" s="255"/>
    </row>
    <row r="204" spans="1:19" x14ac:dyDescent="0.45">
      <c r="A204" s="354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5"/>
      <c r="R204" s="255"/>
      <c r="S204" s="255"/>
    </row>
    <row r="205" spans="1:19" x14ac:dyDescent="0.45">
      <c r="A205" s="354"/>
      <c r="B205" s="255"/>
      <c r="C205" s="255"/>
      <c r="D205" s="255"/>
      <c r="E205" s="255"/>
      <c r="F205" s="255"/>
      <c r="G205" s="255"/>
      <c r="H205" s="255"/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  <c r="S205" s="255"/>
    </row>
    <row r="206" spans="1:19" x14ac:dyDescent="0.45">
      <c r="A206" s="354"/>
      <c r="B206" s="255"/>
      <c r="C206" s="255"/>
      <c r="D206" s="255"/>
      <c r="E206" s="255"/>
      <c r="F206" s="255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  <c r="S206" s="255"/>
    </row>
    <row r="207" spans="1:19" x14ac:dyDescent="0.45">
      <c r="A207" s="354"/>
      <c r="B207" s="255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255"/>
    </row>
    <row r="208" spans="1:19" x14ac:dyDescent="0.45">
      <c r="A208" s="354"/>
      <c r="B208" s="255"/>
      <c r="C208" s="255"/>
      <c r="D208" s="255"/>
      <c r="E208" s="255"/>
      <c r="F208" s="255"/>
      <c r="G208" s="255"/>
      <c r="H208" s="255"/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  <c r="S208" s="255"/>
    </row>
    <row r="209" spans="1:19" x14ac:dyDescent="0.45">
      <c r="A209" s="354"/>
      <c r="B209" s="255"/>
      <c r="C209" s="255"/>
      <c r="D209" s="255"/>
      <c r="E209" s="255"/>
      <c r="F209" s="255"/>
      <c r="G209" s="255"/>
      <c r="H209" s="255"/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  <c r="S209" s="255"/>
    </row>
    <row r="210" spans="1:19" x14ac:dyDescent="0.45">
      <c r="A210" s="354"/>
      <c r="B210" s="255"/>
      <c r="C210" s="255"/>
      <c r="D210" s="255"/>
      <c r="E210" s="255"/>
      <c r="F210" s="255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  <c r="S210" s="255"/>
    </row>
    <row r="211" spans="1:19" x14ac:dyDescent="0.45">
      <c r="A211" s="354"/>
      <c r="B211" s="255"/>
      <c r="C211" s="255"/>
      <c r="D211" s="255"/>
      <c r="E211" s="255"/>
      <c r="F211" s="255"/>
      <c r="G211" s="255"/>
      <c r="H211" s="255"/>
      <c r="I211" s="255"/>
      <c r="J211" s="255"/>
      <c r="K211" s="255"/>
      <c r="L211" s="255"/>
      <c r="M211" s="255"/>
      <c r="N211" s="255"/>
      <c r="O211" s="255"/>
      <c r="P211" s="255"/>
      <c r="Q211" s="255"/>
      <c r="R211" s="255"/>
      <c r="S211" s="255"/>
    </row>
    <row r="212" spans="1:19" x14ac:dyDescent="0.45">
      <c r="A212" s="354"/>
      <c r="B212" s="255"/>
      <c r="C212" s="255"/>
      <c r="D212" s="255"/>
      <c r="E212" s="255"/>
      <c r="F212" s="255"/>
      <c r="G212" s="255"/>
      <c r="H212" s="255"/>
      <c r="I212" s="255"/>
      <c r="J212" s="255"/>
      <c r="K212" s="255"/>
      <c r="L212" s="255"/>
      <c r="M212" s="255"/>
      <c r="N212" s="255"/>
      <c r="O212" s="255"/>
      <c r="P212" s="255"/>
      <c r="Q212" s="255"/>
      <c r="R212" s="255"/>
      <c r="S212" s="255"/>
    </row>
    <row r="213" spans="1:19" x14ac:dyDescent="0.45">
      <c r="A213" s="354"/>
      <c r="B213" s="255"/>
      <c r="C213" s="255"/>
      <c r="D213" s="255"/>
      <c r="E213" s="255"/>
      <c r="F213" s="255"/>
      <c r="G213" s="255"/>
      <c r="H213" s="255"/>
      <c r="I213" s="255"/>
      <c r="J213" s="255"/>
      <c r="K213" s="255"/>
      <c r="L213" s="255"/>
      <c r="M213" s="255"/>
      <c r="N213" s="255"/>
      <c r="O213" s="255"/>
      <c r="P213" s="255"/>
      <c r="Q213" s="255"/>
      <c r="R213" s="255"/>
      <c r="S213" s="255"/>
    </row>
    <row r="214" spans="1:19" x14ac:dyDescent="0.45">
      <c r="A214" s="354"/>
      <c r="B214" s="255"/>
      <c r="C214" s="255"/>
      <c r="D214" s="255"/>
      <c r="E214" s="255"/>
      <c r="F214" s="255"/>
      <c r="G214" s="255"/>
      <c r="H214" s="255"/>
      <c r="I214" s="255"/>
      <c r="J214" s="255"/>
      <c r="K214" s="255"/>
      <c r="L214" s="255"/>
      <c r="M214" s="255"/>
      <c r="N214" s="255"/>
      <c r="O214" s="255"/>
      <c r="P214" s="255"/>
      <c r="Q214" s="255"/>
      <c r="R214" s="255"/>
      <c r="S214" s="255"/>
    </row>
    <row r="215" spans="1:19" x14ac:dyDescent="0.45">
      <c r="A215" s="354"/>
      <c r="B215" s="255"/>
      <c r="C215" s="255"/>
      <c r="D215" s="255"/>
      <c r="E215" s="255"/>
      <c r="F215" s="255"/>
      <c r="G215" s="255"/>
      <c r="H215" s="255"/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  <c r="S215" s="255"/>
    </row>
    <row r="216" spans="1:19" x14ac:dyDescent="0.45">
      <c r="A216" s="354"/>
      <c r="B216" s="255"/>
      <c r="C216" s="255"/>
      <c r="D216" s="255"/>
      <c r="E216" s="255"/>
      <c r="F216" s="255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  <c r="S216" s="255"/>
    </row>
    <row r="217" spans="1:19" x14ac:dyDescent="0.45">
      <c r="A217" s="354"/>
      <c r="B217" s="255"/>
      <c r="C217" s="255"/>
      <c r="D217" s="255"/>
      <c r="E217" s="255"/>
      <c r="F217" s="255"/>
      <c r="G217" s="255"/>
      <c r="H217" s="255"/>
      <c r="I217" s="255"/>
      <c r="J217" s="255"/>
      <c r="K217" s="255"/>
      <c r="L217" s="255"/>
      <c r="M217" s="255"/>
      <c r="N217" s="255"/>
      <c r="O217" s="255"/>
      <c r="P217" s="255"/>
      <c r="Q217" s="255"/>
      <c r="R217" s="255"/>
      <c r="S217" s="255"/>
    </row>
    <row r="218" spans="1:19" x14ac:dyDescent="0.45">
      <c r="A218" s="354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  <c r="S218" s="255"/>
    </row>
    <row r="219" spans="1:19" x14ac:dyDescent="0.45">
      <c r="A219" s="354"/>
      <c r="B219" s="255"/>
      <c r="C219" s="255"/>
      <c r="D219" s="255"/>
      <c r="E219" s="255"/>
      <c r="F219" s="255"/>
      <c r="G219" s="255"/>
      <c r="H219" s="255"/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  <c r="S219" s="255"/>
    </row>
    <row r="220" spans="1:19" x14ac:dyDescent="0.45">
      <c r="A220" s="354"/>
      <c r="B220" s="255"/>
      <c r="C220" s="255"/>
      <c r="D220" s="255"/>
      <c r="E220" s="255"/>
      <c r="F220" s="255"/>
      <c r="G220" s="255"/>
      <c r="H220" s="255"/>
      <c r="I220" s="255"/>
      <c r="J220" s="255"/>
      <c r="K220" s="255"/>
      <c r="L220" s="255"/>
      <c r="M220" s="255"/>
      <c r="N220" s="255"/>
      <c r="O220" s="255"/>
      <c r="P220" s="255"/>
      <c r="Q220" s="255"/>
      <c r="R220" s="255"/>
      <c r="S220" s="255"/>
    </row>
    <row r="221" spans="1:19" x14ac:dyDescent="0.45">
      <c r="A221" s="354"/>
      <c r="B221" s="255"/>
      <c r="C221" s="255"/>
      <c r="D221" s="255"/>
      <c r="E221" s="255"/>
      <c r="F221" s="255"/>
      <c r="G221" s="255"/>
      <c r="H221" s="255"/>
      <c r="I221" s="255"/>
      <c r="J221" s="255"/>
      <c r="K221" s="255"/>
      <c r="L221" s="255"/>
      <c r="M221" s="255"/>
      <c r="N221" s="255"/>
      <c r="O221" s="255"/>
      <c r="P221" s="255"/>
      <c r="Q221" s="255"/>
      <c r="R221" s="255"/>
      <c r="S221" s="255"/>
    </row>
    <row r="222" spans="1:19" x14ac:dyDescent="0.45">
      <c r="A222" s="354"/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5"/>
      <c r="R222" s="255"/>
      <c r="S222" s="255"/>
    </row>
    <row r="223" spans="1:19" x14ac:dyDescent="0.45">
      <c r="A223" s="354"/>
      <c r="B223" s="255"/>
      <c r="C223" s="255"/>
      <c r="D223" s="255"/>
      <c r="E223" s="255"/>
      <c r="F223" s="255"/>
      <c r="G223" s="255"/>
      <c r="H223" s="255"/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  <c r="S223" s="255"/>
    </row>
    <row r="224" spans="1:19" x14ac:dyDescent="0.45">
      <c r="A224" s="354"/>
      <c r="B224" s="255"/>
      <c r="C224" s="255"/>
      <c r="D224" s="255"/>
      <c r="E224" s="255"/>
      <c r="F224" s="255"/>
      <c r="G224" s="255"/>
      <c r="H224" s="255"/>
      <c r="I224" s="255"/>
      <c r="J224" s="255"/>
      <c r="K224" s="255"/>
      <c r="L224" s="255"/>
      <c r="M224" s="255"/>
      <c r="N224" s="255"/>
      <c r="O224" s="255"/>
      <c r="P224" s="255"/>
      <c r="Q224" s="255"/>
      <c r="R224" s="255"/>
      <c r="S224" s="255"/>
    </row>
    <row r="225" spans="1:19" x14ac:dyDescent="0.45">
      <c r="A225" s="354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255"/>
    </row>
    <row r="226" spans="1:19" x14ac:dyDescent="0.45">
      <c r="A226" s="354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  <c r="S226" s="255"/>
    </row>
    <row r="227" spans="1:19" x14ac:dyDescent="0.45">
      <c r="A227" s="354"/>
      <c r="B227" s="255"/>
      <c r="C227" s="255"/>
      <c r="D227" s="255"/>
      <c r="E227" s="255"/>
      <c r="F227" s="255"/>
      <c r="G227" s="255"/>
      <c r="H227" s="255"/>
      <c r="I227" s="255"/>
      <c r="J227" s="255"/>
      <c r="K227" s="255"/>
      <c r="L227" s="255"/>
      <c r="M227" s="255"/>
      <c r="N227" s="255"/>
      <c r="O227" s="255"/>
      <c r="P227" s="255"/>
      <c r="Q227" s="255"/>
      <c r="R227" s="255"/>
      <c r="S227" s="255"/>
    </row>
    <row r="228" spans="1:19" x14ac:dyDescent="0.45">
      <c r="A228" s="354"/>
      <c r="B228" s="255"/>
      <c r="C228" s="255"/>
      <c r="D228" s="255"/>
      <c r="E228" s="255"/>
      <c r="F228" s="255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5"/>
      <c r="R228" s="255"/>
      <c r="S228" s="255"/>
    </row>
    <row r="229" spans="1:19" x14ac:dyDescent="0.45">
      <c r="A229" s="354"/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  <c r="S229" s="255"/>
    </row>
    <row r="230" spans="1:19" x14ac:dyDescent="0.45">
      <c r="A230" s="354"/>
      <c r="B230" s="255"/>
      <c r="C230" s="255"/>
      <c r="D230" s="255"/>
      <c r="E230" s="255"/>
      <c r="F230" s="255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  <c r="S230" s="255"/>
    </row>
    <row r="231" spans="1:19" x14ac:dyDescent="0.45">
      <c r="A231" s="354"/>
      <c r="B231" s="255"/>
      <c r="C231" s="255"/>
      <c r="D231" s="255"/>
      <c r="E231" s="255"/>
      <c r="F231" s="255"/>
      <c r="G231" s="255"/>
      <c r="H231" s="255"/>
      <c r="I231" s="255"/>
      <c r="J231" s="255"/>
      <c r="K231" s="255"/>
      <c r="L231" s="255"/>
      <c r="M231" s="255"/>
      <c r="N231" s="255"/>
      <c r="O231" s="255"/>
      <c r="P231" s="255"/>
      <c r="Q231" s="255"/>
      <c r="R231" s="255"/>
      <c r="S231" s="255"/>
    </row>
    <row r="232" spans="1:19" x14ac:dyDescent="0.45">
      <c r="A232" s="354"/>
      <c r="B232" s="255"/>
      <c r="C232" s="255"/>
      <c r="D232" s="255"/>
      <c r="E232" s="255"/>
      <c r="F232" s="255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  <c r="S232" s="255"/>
    </row>
    <row r="233" spans="1:19" x14ac:dyDescent="0.45">
      <c r="A233" s="354"/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  <c r="S233" s="255"/>
    </row>
    <row r="234" spans="1:19" x14ac:dyDescent="0.45">
      <c r="A234" s="354"/>
      <c r="B234" s="255"/>
      <c r="C234" s="255"/>
      <c r="D234" s="255"/>
      <c r="E234" s="255"/>
      <c r="F234" s="255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5"/>
      <c r="R234" s="255"/>
      <c r="S234" s="255"/>
    </row>
    <row r="235" spans="1:19" x14ac:dyDescent="0.45">
      <c r="A235" s="354"/>
      <c r="B235" s="255"/>
      <c r="C235" s="255"/>
      <c r="D235" s="255"/>
      <c r="E235" s="255"/>
      <c r="F235" s="255"/>
      <c r="G235" s="255"/>
      <c r="H235" s="255"/>
      <c r="I235" s="255"/>
      <c r="J235" s="255"/>
      <c r="K235" s="255"/>
      <c r="L235" s="255"/>
      <c r="M235" s="255"/>
      <c r="N235" s="255"/>
      <c r="O235" s="255"/>
      <c r="P235" s="255"/>
      <c r="Q235" s="255"/>
      <c r="R235" s="255"/>
      <c r="S235" s="255"/>
    </row>
    <row r="236" spans="1:19" x14ac:dyDescent="0.45">
      <c r="A236" s="354"/>
      <c r="B236" s="255"/>
      <c r="C236" s="255"/>
      <c r="D236" s="255"/>
      <c r="E236" s="255"/>
      <c r="F236" s="255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  <c r="S236" s="255"/>
    </row>
    <row r="237" spans="1:19" x14ac:dyDescent="0.45">
      <c r="A237" s="354"/>
      <c r="B237" s="255"/>
      <c r="C237" s="255"/>
      <c r="D237" s="255"/>
      <c r="E237" s="255"/>
      <c r="F237" s="255"/>
      <c r="G237" s="255"/>
      <c r="H237" s="255"/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  <c r="S237" s="255"/>
    </row>
    <row r="238" spans="1:19" x14ac:dyDescent="0.45">
      <c r="A238" s="354"/>
      <c r="B238" s="255"/>
      <c r="C238" s="255"/>
      <c r="D238" s="255"/>
      <c r="E238" s="255"/>
      <c r="F238" s="255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  <c r="S238" s="255"/>
    </row>
    <row r="239" spans="1:19" x14ac:dyDescent="0.45">
      <c r="A239" s="354"/>
      <c r="B239" s="255"/>
      <c r="C239" s="255"/>
      <c r="D239" s="255"/>
      <c r="E239" s="255"/>
      <c r="F239" s="255"/>
      <c r="G239" s="255"/>
      <c r="H239" s="255"/>
      <c r="I239" s="255"/>
      <c r="J239" s="255"/>
      <c r="K239" s="255"/>
      <c r="L239" s="255"/>
      <c r="M239" s="255"/>
      <c r="N239" s="255"/>
      <c r="O239" s="255"/>
      <c r="P239" s="255"/>
      <c r="Q239" s="255"/>
      <c r="R239" s="255"/>
      <c r="S239" s="255"/>
    </row>
    <row r="240" spans="1:19" x14ac:dyDescent="0.45">
      <c r="A240" s="354"/>
      <c r="B240" s="255"/>
      <c r="C240" s="255"/>
      <c r="D240" s="255"/>
      <c r="E240" s="255"/>
      <c r="F240" s="255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  <c r="S240" s="255"/>
    </row>
    <row r="241" spans="1:19" x14ac:dyDescent="0.45">
      <c r="A241" s="354"/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</row>
    <row r="242" spans="1:19" x14ac:dyDescent="0.45">
      <c r="A242" s="354"/>
      <c r="B242" s="255"/>
      <c r="C242" s="255"/>
      <c r="D242" s="255"/>
      <c r="E242" s="255"/>
      <c r="F242" s="255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5"/>
      <c r="R242" s="255"/>
      <c r="S242" s="255"/>
    </row>
    <row r="243" spans="1:19" x14ac:dyDescent="0.45">
      <c r="A243" s="354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  <c r="S243" s="255"/>
    </row>
    <row r="244" spans="1:19" x14ac:dyDescent="0.45">
      <c r="A244" s="354"/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5"/>
      <c r="S244" s="255"/>
    </row>
    <row r="245" spans="1:19" x14ac:dyDescent="0.45">
      <c r="A245" s="354"/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  <c r="S245" s="255"/>
    </row>
    <row r="246" spans="1:19" x14ac:dyDescent="0.45">
      <c r="A246" s="354"/>
      <c r="B246" s="255"/>
      <c r="C246" s="255"/>
      <c r="D246" s="255"/>
      <c r="E246" s="255"/>
      <c r="F246" s="255"/>
      <c r="G246" s="255"/>
      <c r="H246" s="255"/>
      <c r="I246" s="255"/>
      <c r="J246" s="255"/>
      <c r="K246" s="255"/>
      <c r="L246" s="255"/>
      <c r="M246" s="255"/>
      <c r="N246" s="255"/>
      <c r="O246" s="255"/>
      <c r="P246" s="255"/>
      <c r="Q246" s="255"/>
      <c r="R246" s="255"/>
      <c r="S246" s="255"/>
    </row>
    <row r="247" spans="1:19" x14ac:dyDescent="0.45">
      <c r="A247" s="354"/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5"/>
      <c r="R247" s="255"/>
      <c r="S247" s="255"/>
    </row>
    <row r="248" spans="1:19" x14ac:dyDescent="0.45">
      <c r="A248" s="354"/>
      <c r="B248" s="255"/>
      <c r="C248" s="255"/>
      <c r="D248" s="255"/>
      <c r="E248" s="255"/>
      <c r="F248" s="255"/>
      <c r="G248" s="255"/>
      <c r="H248" s="255"/>
      <c r="I248" s="255"/>
      <c r="J248" s="255"/>
      <c r="K248" s="255"/>
      <c r="L248" s="255"/>
      <c r="M248" s="255"/>
      <c r="N248" s="255"/>
      <c r="O248" s="255"/>
      <c r="P248" s="255"/>
      <c r="Q248" s="255"/>
      <c r="R248" s="255"/>
      <c r="S248" s="255"/>
    </row>
    <row r="249" spans="1:19" x14ac:dyDescent="0.45">
      <c r="A249" s="354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5"/>
      <c r="R249" s="255"/>
      <c r="S249" s="255"/>
    </row>
    <row r="250" spans="1:19" x14ac:dyDescent="0.45">
      <c r="A250" s="354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  <c r="S250" s="255"/>
    </row>
    <row r="251" spans="1:19" x14ac:dyDescent="0.45">
      <c r="A251" s="354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  <c r="S251" s="255"/>
    </row>
    <row r="252" spans="1:19" x14ac:dyDescent="0.45">
      <c r="A252" s="354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</row>
    <row r="253" spans="1:19" x14ac:dyDescent="0.45">
      <c r="A253" s="354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255"/>
    </row>
    <row r="254" spans="1:19" x14ac:dyDescent="0.45">
      <c r="A254" s="354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255"/>
    </row>
    <row r="255" spans="1:19" x14ac:dyDescent="0.45">
      <c r="A255" s="354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</row>
    <row r="256" spans="1:19" x14ac:dyDescent="0.45">
      <c r="A256" s="354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255"/>
    </row>
    <row r="257" spans="1:19" x14ac:dyDescent="0.45">
      <c r="A257" s="354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255"/>
    </row>
    <row r="258" spans="1:19" x14ac:dyDescent="0.45">
      <c r="A258" s="354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255"/>
    </row>
    <row r="259" spans="1:19" x14ac:dyDescent="0.45">
      <c r="A259" s="354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255"/>
    </row>
    <row r="260" spans="1:19" x14ac:dyDescent="0.45">
      <c r="A260" s="354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255"/>
    </row>
    <row r="261" spans="1:19" x14ac:dyDescent="0.45">
      <c r="A261" s="354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255"/>
    </row>
    <row r="262" spans="1:19" x14ac:dyDescent="0.45">
      <c r="A262" s="354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255"/>
    </row>
    <row r="263" spans="1:19" x14ac:dyDescent="0.45">
      <c r="A263" s="354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255"/>
    </row>
    <row r="264" spans="1:19" x14ac:dyDescent="0.45">
      <c r="A264" s="354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255"/>
    </row>
    <row r="265" spans="1:19" x14ac:dyDescent="0.45">
      <c r="A265" s="354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255"/>
    </row>
    <row r="266" spans="1:19" x14ac:dyDescent="0.45">
      <c r="A266" s="354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255"/>
    </row>
    <row r="267" spans="1:19" x14ac:dyDescent="0.45">
      <c r="A267" s="354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255"/>
    </row>
    <row r="268" spans="1:19" x14ac:dyDescent="0.45">
      <c r="A268" s="354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255"/>
    </row>
    <row r="269" spans="1:19" x14ac:dyDescent="0.45">
      <c r="A269" s="354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255"/>
    </row>
    <row r="270" spans="1:19" x14ac:dyDescent="0.45">
      <c r="A270" s="354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255"/>
    </row>
    <row r="271" spans="1:19" x14ac:dyDescent="0.45">
      <c r="A271" s="354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255"/>
    </row>
    <row r="272" spans="1:19" x14ac:dyDescent="0.45">
      <c r="A272" s="354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255"/>
    </row>
    <row r="273" spans="1:19" x14ac:dyDescent="0.45">
      <c r="A273" s="354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255"/>
    </row>
    <row r="274" spans="1:19" x14ac:dyDescent="0.45">
      <c r="A274" s="354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255"/>
    </row>
    <row r="275" spans="1:19" x14ac:dyDescent="0.45">
      <c r="A275" s="354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255"/>
    </row>
    <row r="276" spans="1:19" x14ac:dyDescent="0.45">
      <c r="A276" s="354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</row>
    <row r="277" spans="1:19" x14ac:dyDescent="0.45">
      <c r="A277" s="354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</row>
    <row r="278" spans="1:19" x14ac:dyDescent="0.45">
      <c r="A278" s="354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</row>
    <row r="279" spans="1:19" x14ac:dyDescent="0.45">
      <c r="A279" s="354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255"/>
    </row>
    <row r="280" spans="1:19" x14ac:dyDescent="0.45">
      <c r="A280" s="354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  <c r="S280" s="255"/>
    </row>
    <row r="281" spans="1:19" x14ac:dyDescent="0.45">
      <c r="A281" s="354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5"/>
      <c r="R281" s="255"/>
      <c r="S281" s="255"/>
    </row>
    <row r="282" spans="1:19" x14ac:dyDescent="0.45">
      <c r="A282" s="354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  <c r="S282" s="255"/>
    </row>
    <row r="283" spans="1:19" x14ac:dyDescent="0.45">
      <c r="A283" s="354"/>
    </row>
    <row r="284" spans="1:19" x14ac:dyDescent="0.45">
      <c r="A284" s="354"/>
    </row>
    <row r="285" spans="1:19" x14ac:dyDescent="0.45">
      <c r="A285" s="354"/>
    </row>
    <row r="286" spans="1:19" x14ac:dyDescent="0.45">
      <c r="A286" s="354"/>
    </row>
    <row r="287" spans="1:19" x14ac:dyDescent="0.45">
      <c r="A287" s="354"/>
    </row>
    <row r="288" spans="1:19" x14ac:dyDescent="0.45">
      <c r="A288" s="354"/>
    </row>
    <row r="289" spans="1:1" x14ac:dyDescent="0.45">
      <c r="A289" s="354"/>
    </row>
    <row r="290" spans="1:1" x14ac:dyDescent="0.45">
      <c r="A290" s="354"/>
    </row>
    <row r="291" spans="1:1" x14ac:dyDescent="0.45">
      <c r="A291" s="354"/>
    </row>
  </sheetData>
  <mergeCells count="15">
    <mergeCell ref="N35:Q35"/>
    <mergeCell ref="C48:G48"/>
    <mergeCell ref="A4:A5"/>
    <mergeCell ref="A6:A7"/>
    <mergeCell ref="A11:A12"/>
    <mergeCell ref="A13:A14"/>
    <mergeCell ref="B22:E22"/>
    <mergeCell ref="B25:E25"/>
    <mergeCell ref="B35:E35"/>
    <mergeCell ref="N25:Q25"/>
    <mergeCell ref="B1:E1"/>
    <mergeCell ref="H1:M1"/>
    <mergeCell ref="N1:Q1"/>
    <mergeCell ref="H15:M15"/>
    <mergeCell ref="N22:Q22"/>
  </mergeCells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96"/>
  <sheetViews>
    <sheetView topLeftCell="A29" zoomScale="55" zoomScaleNormal="55" workbookViewId="0">
      <pane xSplit="1" topLeftCell="B1" activePane="topRight" state="frozen"/>
      <selection pane="topRight" activeCell="B55" sqref="B55"/>
    </sheetView>
  </sheetViews>
  <sheetFormatPr defaultColWidth="8.84375" defaultRowHeight="18" x14ac:dyDescent="0.45"/>
  <cols>
    <col min="1" max="1" width="22.69140625" style="324" customWidth="1"/>
    <col min="2" max="2" width="33.69140625" style="250" customWidth="1"/>
    <col min="3" max="3" width="30.3046875" style="246" customWidth="1"/>
    <col min="4" max="4" width="32.3828125" style="246" customWidth="1"/>
    <col min="5" max="5" width="32.53515625" style="283" bestFit="1" customWidth="1"/>
    <col min="6" max="6" width="19" style="284" customWidth="1"/>
    <col min="7" max="7" width="17.15234375" style="284" customWidth="1"/>
    <col min="8" max="8" width="11.53515625" style="250" bestFit="1" customWidth="1"/>
    <col min="9" max="9" width="16.69140625" style="246" customWidth="1"/>
    <col min="10" max="10" width="17.53515625" style="246" customWidth="1"/>
    <col min="11" max="11" width="12.3046875" style="302" bestFit="1" customWidth="1"/>
    <col min="12" max="12" width="9.84375" style="302" customWidth="1"/>
    <col min="13" max="13" width="10.15234375" style="283" bestFit="1" customWidth="1"/>
    <col min="14" max="14" width="11.84375" style="250" bestFit="1" customWidth="1"/>
    <col min="15" max="15" width="12.3046875" style="246" bestFit="1" customWidth="1"/>
    <col min="16" max="16" width="11.84375" style="246" bestFit="1" customWidth="1"/>
    <col min="17" max="17" width="12.3046875" style="283" bestFit="1" customWidth="1"/>
    <col min="18" max="19" width="10.15234375" style="287" customWidth="1"/>
    <col min="20" max="16384" width="8.84375" style="255"/>
  </cols>
  <sheetData>
    <row r="1" spans="1:22" ht="18.899999999999999" thickTop="1" thickBot="1" x14ac:dyDescent="0.5">
      <c r="A1" s="352"/>
      <c r="B1" s="1361" t="s">
        <v>3</v>
      </c>
      <c r="C1" s="1362"/>
      <c r="D1" s="1362"/>
      <c r="E1" s="1363"/>
      <c r="F1" s="253"/>
      <c r="G1" s="253"/>
      <c r="H1" s="1361" t="s">
        <v>6</v>
      </c>
      <c r="I1" s="1362"/>
      <c r="J1" s="1362"/>
      <c r="K1" s="1364"/>
      <c r="L1" s="1364"/>
      <c r="M1" s="1363"/>
      <c r="N1" s="1365" t="s">
        <v>13</v>
      </c>
      <c r="O1" s="1366"/>
      <c r="P1" s="1366"/>
      <c r="Q1" s="1367"/>
      <c r="R1" s="253"/>
      <c r="S1" s="254"/>
    </row>
    <row r="2" spans="1:22" ht="18.899999999999999" thickTop="1" thickBot="1" x14ac:dyDescent="0.5">
      <c r="A2" s="353" t="s">
        <v>0</v>
      </c>
      <c r="B2" s="257" t="s">
        <v>1</v>
      </c>
      <c r="C2" s="258" t="s">
        <v>4</v>
      </c>
      <c r="D2" s="258" t="s">
        <v>2</v>
      </c>
      <c r="E2" s="259" t="s">
        <v>5</v>
      </c>
      <c r="F2" s="260" t="s">
        <v>26</v>
      </c>
      <c r="G2" s="260" t="s">
        <v>19</v>
      </c>
      <c r="H2" s="261" t="s">
        <v>1</v>
      </c>
      <c r="I2" s="262" t="s">
        <v>4</v>
      </c>
      <c r="J2" s="262" t="s">
        <v>2</v>
      </c>
      <c r="K2" s="262" t="s">
        <v>5</v>
      </c>
      <c r="L2" s="263" t="s">
        <v>26</v>
      </c>
      <c r="M2" s="264" t="s">
        <v>19</v>
      </c>
      <c r="N2" s="257" t="s">
        <v>1</v>
      </c>
      <c r="O2" s="258" t="s">
        <v>4</v>
      </c>
      <c r="P2" s="258" t="s">
        <v>2</v>
      </c>
      <c r="Q2" s="265" t="s">
        <v>5</v>
      </c>
      <c r="R2" s="266" t="s">
        <v>19</v>
      </c>
      <c r="S2" s="267" t="s">
        <v>26</v>
      </c>
    </row>
    <row r="3" spans="1:22" ht="20.149999999999999" customHeight="1" thickTop="1" x14ac:dyDescent="0.45">
      <c r="A3" s="1460">
        <v>44409</v>
      </c>
      <c r="B3" s="269"/>
      <c r="C3" s="226" t="s">
        <v>178</v>
      </c>
      <c r="D3" s="226" t="s">
        <v>152</v>
      </c>
      <c r="E3" s="270"/>
      <c r="F3" s="271"/>
      <c r="G3" s="272"/>
      <c r="H3" s="269"/>
      <c r="I3" s="226">
        <v>30</v>
      </c>
      <c r="J3" s="226">
        <v>50</v>
      </c>
      <c r="K3" s="226"/>
      <c r="L3" s="273"/>
      <c r="M3" s="274"/>
      <c r="N3" s="280"/>
      <c r="O3" s="289" t="s">
        <v>7</v>
      </c>
      <c r="P3" s="292" t="s">
        <v>9</v>
      </c>
      <c r="Q3" s="246"/>
      <c r="R3" s="276"/>
      <c r="S3" s="277"/>
      <c r="U3" s="278" t="s">
        <v>8</v>
      </c>
      <c r="V3" s="255" t="s">
        <v>10</v>
      </c>
    </row>
    <row r="4" spans="1:22" ht="20.149999999999999" customHeight="1" x14ac:dyDescent="0.45">
      <c r="A4" s="1438"/>
      <c r="B4" s="269"/>
      <c r="C4" s="226"/>
      <c r="D4" s="226" t="s">
        <v>97</v>
      </c>
      <c r="E4" s="270"/>
      <c r="F4" s="269"/>
      <c r="G4" s="272"/>
      <c r="H4" s="269"/>
      <c r="I4" s="226"/>
      <c r="J4" s="226">
        <v>22</v>
      </c>
      <c r="K4" s="226"/>
      <c r="L4" s="226"/>
      <c r="M4" s="274"/>
      <c r="N4" s="280"/>
      <c r="O4" s="414"/>
      <c r="P4" s="278" t="s">
        <v>8</v>
      </c>
      <c r="Q4" s="246"/>
      <c r="R4" s="281"/>
      <c r="S4" s="277"/>
      <c r="U4" s="278"/>
    </row>
    <row r="5" spans="1:22" ht="20.149999999999999" customHeight="1" x14ac:dyDescent="0.45">
      <c r="A5" s="1437">
        <v>44410</v>
      </c>
      <c r="B5" s="269"/>
      <c r="C5" s="226" t="s">
        <v>179</v>
      </c>
      <c r="D5" s="226" t="s">
        <v>152</v>
      </c>
      <c r="E5" s="270" t="s">
        <v>180</v>
      </c>
      <c r="F5" s="269"/>
      <c r="G5" s="272"/>
      <c r="H5" s="269"/>
      <c r="I5" s="226">
        <v>72</v>
      </c>
      <c r="J5" s="226">
        <v>30</v>
      </c>
      <c r="K5" s="226">
        <v>70</v>
      </c>
      <c r="L5" s="226"/>
      <c r="M5" s="274"/>
      <c r="N5" s="247"/>
      <c r="O5" s="289" t="s">
        <v>7</v>
      </c>
      <c r="P5" s="292" t="s">
        <v>9</v>
      </c>
      <c r="Q5" s="292" t="s">
        <v>9</v>
      </c>
      <c r="R5" s="281"/>
      <c r="S5" s="277"/>
      <c r="U5" s="278"/>
    </row>
    <row r="6" spans="1:22" ht="20.149999999999999" customHeight="1" x14ac:dyDescent="0.45">
      <c r="A6" s="1438"/>
      <c r="B6" s="269"/>
      <c r="C6" s="226"/>
      <c r="D6" s="226"/>
      <c r="E6" s="270" t="s">
        <v>169</v>
      </c>
      <c r="F6" s="269"/>
      <c r="G6" s="272"/>
      <c r="H6" s="269"/>
      <c r="I6" s="226"/>
      <c r="J6" s="226">
        <v>10</v>
      </c>
      <c r="K6" s="226"/>
      <c r="L6" s="226"/>
      <c r="M6" s="274"/>
      <c r="N6" s="247"/>
      <c r="O6" s="414"/>
      <c r="P6" s="292" t="s">
        <v>9</v>
      </c>
      <c r="Q6" s="246"/>
      <c r="R6" s="281"/>
      <c r="S6" s="277"/>
      <c r="U6" s="278"/>
    </row>
    <row r="7" spans="1:22" ht="20.149999999999999" customHeight="1" x14ac:dyDescent="0.45">
      <c r="A7" s="1437">
        <v>44411</v>
      </c>
      <c r="B7" s="269" t="s">
        <v>152</v>
      </c>
      <c r="D7" s="246" t="s">
        <v>152</v>
      </c>
      <c r="E7" s="283" t="s">
        <v>181</v>
      </c>
      <c r="F7" s="250"/>
      <c r="H7" s="250">
        <v>50</v>
      </c>
      <c r="J7" s="246">
        <v>70</v>
      </c>
      <c r="K7" s="246">
        <v>30</v>
      </c>
      <c r="L7" s="246"/>
      <c r="M7" s="285"/>
      <c r="N7" s="292" t="s">
        <v>9</v>
      </c>
      <c r="O7" s="275"/>
      <c r="P7" s="292" t="s">
        <v>9</v>
      </c>
      <c r="Q7" s="278" t="s">
        <v>8</v>
      </c>
      <c r="R7" s="288"/>
      <c r="S7" s="277"/>
      <c r="U7" s="289" t="s">
        <v>7</v>
      </c>
      <c r="V7" s="255" t="s">
        <v>11</v>
      </c>
    </row>
    <row r="8" spans="1:22" ht="20.149999999999999" customHeight="1" x14ac:dyDescent="0.45">
      <c r="A8" s="1438"/>
      <c r="B8" s="270" t="s">
        <v>169</v>
      </c>
      <c r="F8" s="250"/>
      <c r="H8" s="250">
        <v>10</v>
      </c>
      <c r="K8" s="246"/>
      <c r="L8" s="246"/>
      <c r="M8" s="285"/>
      <c r="N8" s="292" t="s">
        <v>9</v>
      </c>
      <c r="O8" s="275"/>
      <c r="Q8" s="246"/>
      <c r="R8" s="288"/>
      <c r="S8" s="277"/>
      <c r="U8" s="289"/>
    </row>
    <row r="9" spans="1:22" ht="20.149999999999999" customHeight="1" x14ac:dyDescent="0.45">
      <c r="A9" s="1437">
        <v>44412</v>
      </c>
      <c r="B9" s="1368" t="s">
        <v>182</v>
      </c>
      <c r="C9" s="1369"/>
      <c r="D9" s="1369"/>
      <c r="E9" s="1370"/>
      <c r="F9" s="250"/>
      <c r="H9" s="250">
        <v>114</v>
      </c>
      <c r="I9" s="246">
        <v>108</v>
      </c>
      <c r="J9" s="246">
        <v>100</v>
      </c>
      <c r="K9" s="246">
        <v>97</v>
      </c>
      <c r="L9" s="246"/>
      <c r="M9" s="285"/>
      <c r="N9" s="1464" t="s">
        <v>7</v>
      </c>
      <c r="O9" s="1465"/>
      <c r="P9" s="1465"/>
      <c r="Q9" s="1466"/>
      <c r="R9" s="288"/>
      <c r="S9" s="291"/>
      <c r="U9" s="292" t="s">
        <v>9</v>
      </c>
      <c r="V9" s="255" t="s">
        <v>12</v>
      </c>
    </row>
    <row r="10" spans="1:22" ht="20.149999999999999" customHeight="1" x14ac:dyDescent="0.45">
      <c r="A10" s="1438"/>
      <c r="B10" s="269" t="s">
        <v>152</v>
      </c>
      <c r="D10" s="269" t="s">
        <v>152</v>
      </c>
      <c r="E10" s="290"/>
      <c r="F10" s="250"/>
      <c r="H10" s="250">
        <v>50</v>
      </c>
      <c r="J10" s="246">
        <v>40</v>
      </c>
      <c r="K10" s="246"/>
      <c r="L10" s="246"/>
      <c r="M10" s="285"/>
      <c r="N10" s="292" t="s">
        <v>9</v>
      </c>
      <c r="O10" s="275"/>
      <c r="P10" s="292" t="s">
        <v>9</v>
      </c>
      <c r="Q10" s="246"/>
      <c r="R10" s="288"/>
      <c r="S10" s="291"/>
      <c r="U10" s="292"/>
    </row>
    <row r="11" spans="1:22" ht="20.149999999999999" customHeight="1" x14ac:dyDescent="0.45">
      <c r="A11" s="268">
        <v>44413</v>
      </c>
      <c r="B11" s="269" t="s">
        <v>152</v>
      </c>
      <c r="D11" s="269" t="s">
        <v>152</v>
      </c>
      <c r="F11" s="250"/>
      <c r="H11" s="250">
        <v>45</v>
      </c>
      <c r="J11" s="246">
        <v>135</v>
      </c>
      <c r="K11" s="246"/>
      <c r="L11" s="246"/>
      <c r="M11" s="285"/>
      <c r="N11" s="292" t="s">
        <v>9</v>
      </c>
      <c r="O11" s="275"/>
      <c r="P11" s="292" t="s">
        <v>9</v>
      </c>
      <c r="Q11" s="246"/>
      <c r="R11" s="288"/>
      <c r="S11" s="291"/>
      <c r="U11" s="294" t="s">
        <v>71</v>
      </c>
      <c r="V11" s="295" t="s">
        <v>51</v>
      </c>
    </row>
    <row r="12" spans="1:22" ht="44.25" customHeight="1" x14ac:dyDescent="0.45">
      <c r="A12" s="1437">
        <v>44414</v>
      </c>
      <c r="B12" s="293"/>
      <c r="D12" s="245" t="s">
        <v>183</v>
      </c>
      <c r="E12" s="285"/>
      <c r="F12" s="250"/>
      <c r="J12" s="246">
        <v>65</v>
      </c>
      <c r="K12" s="246"/>
      <c r="L12" s="246"/>
      <c r="M12" s="285"/>
      <c r="N12" s="247"/>
      <c r="O12" s="275"/>
      <c r="P12" s="279" t="s">
        <v>8</v>
      </c>
      <c r="Q12" s="246"/>
      <c r="R12" s="288"/>
      <c r="S12" s="291"/>
      <c r="U12" s="294"/>
      <c r="V12" s="295"/>
    </row>
    <row r="13" spans="1:22" ht="20.149999999999999" customHeight="1" x14ac:dyDescent="0.45">
      <c r="A13" s="1438"/>
      <c r="B13" s="293"/>
      <c r="D13" s="246" t="s">
        <v>184</v>
      </c>
      <c r="E13" s="285"/>
      <c r="F13" s="250"/>
      <c r="J13" s="246">
        <v>143</v>
      </c>
      <c r="K13" s="246"/>
      <c r="L13" s="246"/>
      <c r="M13" s="285"/>
      <c r="N13" s="247"/>
      <c r="O13" s="275"/>
      <c r="P13" s="292" t="s">
        <v>9</v>
      </c>
      <c r="Q13" s="246"/>
      <c r="R13" s="288"/>
      <c r="S13" s="291"/>
      <c r="U13" s="294"/>
      <c r="V13" s="295"/>
    </row>
    <row r="14" spans="1:22" ht="20.149999999999999" customHeight="1" x14ac:dyDescent="0.45">
      <c r="A14" s="268">
        <v>44415</v>
      </c>
      <c r="B14" s="1461" t="s">
        <v>182</v>
      </c>
      <c r="C14" s="1462"/>
      <c r="D14" s="1462"/>
      <c r="E14" s="1463"/>
      <c r="F14" s="293"/>
      <c r="G14" s="296"/>
      <c r="H14" s="250">
        <v>145</v>
      </c>
      <c r="I14" s="246">
        <v>150</v>
      </c>
      <c r="J14" s="246">
        <v>147</v>
      </c>
      <c r="K14" s="246">
        <v>170</v>
      </c>
      <c r="L14" s="246"/>
      <c r="M14" s="285"/>
      <c r="N14" s="1464" t="s">
        <v>7</v>
      </c>
      <c r="O14" s="1465"/>
      <c r="P14" s="1465"/>
      <c r="Q14" s="1466"/>
      <c r="R14" s="288"/>
      <c r="S14" s="291"/>
    </row>
    <row r="15" spans="1:22" ht="20.149999999999999" customHeight="1" x14ac:dyDescent="0.45">
      <c r="A15" s="268">
        <v>44416</v>
      </c>
      <c r="B15" s="293" t="s">
        <v>185</v>
      </c>
      <c r="D15" s="344"/>
      <c r="E15" s="249"/>
      <c r="F15" s="297"/>
      <c r="H15" s="250">
        <v>15</v>
      </c>
      <c r="K15" s="246"/>
      <c r="L15" s="246"/>
      <c r="M15" s="285"/>
      <c r="N15" s="278" t="s">
        <v>8</v>
      </c>
      <c r="O15" s="275"/>
      <c r="Q15" s="246"/>
      <c r="R15" s="288"/>
      <c r="S15" s="298"/>
    </row>
    <row r="16" spans="1:22" ht="20.149999999999999" customHeight="1" x14ac:dyDescent="0.45">
      <c r="A16" s="1437">
        <v>44417</v>
      </c>
      <c r="B16" s="415"/>
      <c r="D16" s="344" t="s">
        <v>186</v>
      </c>
      <c r="E16" s="249"/>
      <c r="F16" s="297"/>
      <c r="H16" s="299"/>
      <c r="I16" s="284"/>
      <c r="J16" s="284">
        <v>245</v>
      </c>
      <c r="K16" s="284"/>
      <c r="L16" s="284"/>
      <c r="M16" s="285"/>
      <c r="N16" s="247"/>
      <c r="O16" s="275"/>
      <c r="P16" s="278" t="s">
        <v>8</v>
      </c>
      <c r="Q16" s="246"/>
      <c r="R16" s="288"/>
      <c r="S16" s="298"/>
    </row>
    <row r="17" spans="1:19" ht="20.149999999999999" customHeight="1" x14ac:dyDescent="0.45">
      <c r="A17" s="1438"/>
      <c r="B17" s="1368" t="s">
        <v>189</v>
      </c>
      <c r="C17" s="1369"/>
      <c r="D17" s="1369"/>
      <c r="E17" s="1370"/>
      <c r="F17" s="250"/>
      <c r="H17" s="247">
        <v>16114</v>
      </c>
      <c r="I17" s="248">
        <v>23615</v>
      </c>
      <c r="J17" s="248">
        <v>21829</v>
      </c>
      <c r="K17" s="248">
        <v>23700</v>
      </c>
      <c r="L17" s="248"/>
      <c r="M17" s="249"/>
      <c r="N17" s="1464" t="s">
        <v>7</v>
      </c>
      <c r="O17" s="1465"/>
      <c r="P17" s="1465"/>
      <c r="Q17" s="1466"/>
      <c r="R17" s="288"/>
      <c r="S17" s="298"/>
    </row>
    <row r="18" spans="1:19" ht="20.149999999999999" customHeight="1" x14ac:dyDescent="0.45">
      <c r="A18" s="268">
        <v>44418</v>
      </c>
      <c r="B18" s="299"/>
      <c r="D18" s="344"/>
      <c r="E18" s="249"/>
      <c r="F18" s="300"/>
      <c r="G18" s="301"/>
      <c r="K18" s="246"/>
      <c r="L18" s="246"/>
      <c r="M18" s="285"/>
      <c r="N18" s="247"/>
      <c r="O18" s="275"/>
      <c r="Q18" s="246"/>
      <c r="R18" s="288"/>
      <c r="S18" s="298"/>
    </row>
    <row r="19" spans="1:19" ht="20.149999999999999" customHeight="1" x14ac:dyDescent="0.45">
      <c r="A19" s="268">
        <v>44419</v>
      </c>
      <c r="B19" s="299"/>
      <c r="D19" s="343"/>
      <c r="E19" s="249"/>
      <c r="F19" s="300"/>
      <c r="G19" s="301"/>
      <c r="L19" s="246"/>
      <c r="M19" s="285"/>
      <c r="N19" s="247"/>
      <c r="O19" s="275"/>
      <c r="Q19" s="246"/>
      <c r="R19" s="288"/>
      <c r="S19" s="298"/>
    </row>
    <row r="20" spans="1:19" ht="20.149999999999999" customHeight="1" x14ac:dyDescent="0.45">
      <c r="A20" s="268">
        <v>44420</v>
      </c>
      <c r="B20" s="247"/>
      <c r="D20" s="343"/>
      <c r="E20" s="249"/>
      <c r="F20" s="293"/>
      <c r="G20" s="301"/>
      <c r="L20" s="246"/>
      <c r="M20" s="285"/>
      <c r="N20" s="247"/>
      <c r="O20" s="275"/>
      <c r="Q20" s="246"/>
      <c r="R20" s="288"/>
      <c r="S20" s="298"/>
    </row>
    <row r="21" spans="1:19" ht="20.149999999999999" customHeight="1" x14ac:dyDescent="0.45">
      <c r="A21" s="268">
        <v>44421</v>
      </c>
      <c r="B21" s="299"/>
      <c r="E21" s="245"/>
      <c r="F21" s="293"/>
      <c r="G21" s="301"/>
      <c r="L21" s="246"/>
      <c r="M21" s="285"/>
      <c r="N21" s="247"/>
      <c r="O21" s="275"/>
      <c r="Q21" s="246"/>
      <c r="R21" s="288"/>
      <c r="S21" s="298"/>
    </row>
    <row r="22" spans="1:19" ht="20.149999999999999" customHeight="1" x14ac:dyDescent="0.45">
      <c r="A22" s="268">
        <v>44422</v>
      </c>
      <c r="E22" s="303"/>
      <c r="F22" s="250"/>
      <c r="L22" s="246"/>
      <c r="M22" s="285"/>
      <c r="N22" s="247"/>
      <c r="O22" s="275"/>
      <c r="Q22" s="246"/>
      <c r="R22" s="288"/>
      <c r="S22" s="298"/>
    </row>
    <row r="23" spans="1:19" ht="20.149999999999999" customHeight="1" x14ac:dyDescent="0.45">
      <c r="A23" s="268">
        <v>44423</v>
      </c>
      <c r="D23" s="245"/>
      <c r="F23" s="250"/>
      <c r="N23" s="247"/>
      <c r="O23" s="275"/>
      <c r="Q23" s="246"/>
      <c r="R23" s="288"/>
      <c r="S23" s="298"/>
    </row>
    <row r="24" spans="1:19" ht="20.149999999999999" customHeight="1" x14ac:dyDescent="0.45">
      <c r="A24" s="268">
        <v>44424</v>
      </c>
      <c r="E24" s="246"/>
      <c r="F24" s="250"/>
      <c r="G24" s="285"/>
      <c r="H24" s="251"/>
      <c r="N24" s="247"/>
      <c r="O24" s="275"/>
      <c r="Q24" s="246"/>
      <c r="R24" s="288"/>
      <c r="S24" s="304"/>
    </row>
    <row r="25" spans="1:19" ht="20.149999999999999" customHeight="1" x14ac:dyDescent="0.45">
      <c r="A25" s="268">
        <v>44425</v>
      </c>
      <c r="B25" s="247"/>
      <c r="C25" s="248"/>
      <c r="D25" s="284"/>
      <c r="E25" s="249"/>
      <c r="F25" s="250"/>
      <c r="G25" s="285"/>
      <c r="H25" s="251"/>
      <c r="N25" s="247"/>
      <c r="O25" s="275"/>
      <c r="Q25" s="246"/>
      <c r="R25" s="347"/>
      <c r="S25" s="304"/>
    </row>
    <row r="26" spans="1:19" ht="20.149999999999999" customHeight="1" x14ac:dyDescent="0.45">
      <c r="A26" s="268">
        <v>44426</v>
      </c>
      <c r="B26" s="247"/>
      <c r="C26" s="248"/>
      <c r="D26" s="245"/>
      <c r="E26" s="249"/>
      <c r="F26" s="250"/>
      <c r="H26" s="247"/>
      <c r="I26" s="248"/>
      <c r="J26" s="284"/>
      <c r="K26" s="248"/>
      <c r="L26" s="248"/>
      <c r="M26" s="249"/>
      <c r="N26" s="247"/>
      <c r="O26" s="275"/>
      <c r="Q26" s="246"/>
      <c r="R26" s="340"/>
      <c r="S26" s="298"/>
    </row>
    <row r="27" spans="1:19" ht="20.149999999999999" customHeight="1" x14ac:dyDescent="0.45">
      <c r="A27" s="268">
        <v>44427</v>
      </c>
      <c r="E27" s="226"/>
      <c r="F27" s="250"/>
      <c r="N27" s="247"/>
      <c r="O27" s="275"/>
      <c r="Q27" s="246"/>
      <c r="R27" s="288"/>
      <c r="S27" s="298"/>
    </row>
    <row r="28" spans="1:19" ht="20.149999999999999" customHeight="1" x14ac:dyDescent="0.45">
      <c r="A28" s="268">
        <v>44428</v>
      </c>
      <c r="D28" s="245"/>
      <c r="E28" s="305"/>
      <c r="F28" s="250"/>
      <c r="J28" s="306"/>
      <c r="K28" s="307"/>
      <c r="L28" s="307"/>
      <c r="M28" s="308"/>
      <c r="N28" s="247"/>
      <c r="O28" s="275"/>
      <c r="Q28" s="246"/>
      <c r="R28" s="288"/>
      <c r="S28" s="298"/>
    </row>
    <row r="29" spans="1:19" ht="20.149999999999999" customHeight="1" x14ac:dyDescent="0.45">
      <c r="A29" s="268">
        <v>44429</v>
      </c>
      <c r="D29" s="245" t="s">
        <v>164</v>
      </c>
      <c r="F29" s="250"/>
      <c r="J29" s="306">
        <v>165</v>
      </c>
      <c r="K29" s="307"/>
      <c r="L29" s="307"/>
      <c r="M29" s="308"/>
      <c r="N29" s="247"/>
      <c r="O29" s="275"/>
      <c r="P29" s="278" t="s">
        <v>8</v>
      </c>
      <c r="Q29" s="246"/>
      <c r="R29" s="288"/>
      <c r="S29" s="298"/>
    </row>
    <row r="30" spans="1:19" ht="20.149999999999999" customHeight="1" x14ac:dyDescent="0.45">
      <c r="A30" s="268">
        <v>44430</v>
      </c>
      <c r="B30" s="350"/>
      <c r="D30" s="245"/>
      <c r="E30" s="249"/>
      <c r="F30" s="250"/>
      <c r="H30" s="1371"/>
      <c r="J30" s="1373"/>
      <c r="K30" s="307"/>
      <c r="L30" s="307"/>
      <c r="M30" s="308"/>
      <c r="N30" s="247"/>
      <c r="O30" s="275"/>
      <c r="Q30" s="246"/>
      <c r="R30" s="340"/>
      <c r="S30" s="298"/>
    </row>
    <row r="31" spans="1:19" ht="20.149999999999999" customHeight="1" x14ac:dyDescent="0.45">
      <c r="A31" s="268">
        <v>44431</v>
      </c>
      <c r="B31" s="351"/>
      <c r="D31" s="245"/>
      <c r="E31" s="290"/>
      <c r="F31" s="250"/>
      <c r="H31" s="1372"/>
      <c r="J31" s="1374"/>
      <c r="K31" s="307"/>
      <c r="L31" s="307"/>
      <c r="M31" s="308"/>
      <c r="N31" s="247"/>
      <c r="O31" s="275"/>
      <c r="Q31" s="246"/>
      <c r="R31" s="288"/>
      <c r="S31" s="298"/>
    </row>
    <row r="32" spans="1:19" ht="20.149999999999999" customHeight="1" x14ac:dyDescent="0.45">
      <c r="A32" s="268">
        <v>44432</v>
      </c>
      <c r="D32" s="245"/>
      <c r="F32" s="250"/>
      <c r="J32" s="306">
        <v>260</v>
      </c>
      <c r="K32" s="307"/>
      <c r="L32" s="307"/>
      <c r="M32" s="308"/>
      <c r="N32" s="247"/>
      <c r="O32" s="275"/>
      <c r="P32" s="278" t="s">
        <v>8</v>
      </c>
      <c r="Q32" s="246"/>
      <c r="R32" s="288"/>
      <c r="S32" s="298"/>
    </row>
    <row r="33" spans="1:23" ht="20.149999999999999" customHeight="1" x14ac:dyDescent="0.45">
      <c r="A33" s="268">
        <v>44433</v>
      </c>
      <c r="D33" s="245" t="s">
        <v>187</v>
      </c>
      <c r="E33" s="245" t="s">
        <v>187</v>
      </c>
      <c r="F33" s="250"/>
      <c r="J33" s="306">
        <v>10</v>
      </c>
      <c r="K33" s="307">
        <v>15</v>
      </c>
      <c r="L33" s="307"/>
      <c r="M33" s="308"/>
      <c r="N33" s="247"/>
      <c r="O33" s="275"/>
      <c r="P33" s="289" t="s">
        <v>7</v>
      </c>
      <c r="Q33" s="289" t="s">
        <v>7</v>
      </c>
      <c r="R33" s="340"/>
      <c r="S33" s="298"/>
    </row>
    <row r="34" spans="1:23" ht="41.25" customHeight="1" x14ac:dyDescent="0.45">
      <c r="A34" s="1437">
        <v>44434</v>
      </c>
      <c r="D34" s="245" t="s">
        <v>188</v>
      </c>
      <c r="E34" s="245"/>
      <c r="F34" s="250"/>
      <c r="J34" s="306">
        <v>35</v>
      </c>
      <c r="K34" s="307"/>
      <c r="L34" s="307"/>
      <c r="M34" s="308"/>
      <c r="N34" s="247"/>
      <c r="O34" s="275"/>
      <c r="P34" s="279" t="s">
        <v>8</v>
      </c>
      <c r="Q34" s="414"/>
      <c r="R34" s="340"/>
      <c r="S34" s="298"/>
    </row>
    <row r="35" spans="1:23" ht="20.149999999999999" customHeight="1" x14ac:dyDescent="0.45">
      <c r="A35" s="1438"/>
      <c r="B35" s="293"/>
      <c r="D35" s="245" t="s">
        <v>152</v>
      </c>
      <c r="E35" s="245"/>
      <c r="F35" s="250"/>
      <c r="J35" s="306">
        <v>10</v>
      </c>
      <c r="K35" s="307"/>
      <c r="L35" s="307"/>
      <c r="M35" s="308"/>
      <c r="N35" s="247"/>
      <c r="O35" s="275"/>
      <c r="P35" s="292" t="s">
        <v>9</v>
      </c>
      <c r="Q35" s="414"/>
      <c r="R35" s="340"/>
      <c r="S35" s="298"/>
    </row>
    <row r="36" spans="1:23" ht="42.75" customHeight="1" x14ac:dyDescent="0.45">
      <c r="A36" s="1437">
        <v>44435</v>
      </c>
      <c r="B36" s="415" t="s">
        <v>191</v>
      </c>
      <c r="D36" s="245" t="s">
        <v>190</v>
      </c>
      <c r="E36" s="285"/>
      <c r="F36" s="250"/>
      <c r="H36" s="250">
        <v>60</v>
      </c>
      <c r="J36" s="246">
        <v>57</v>
      </c>
      <c r="M36" s="308"/>
      <c r="N36" s="341" t="s">
        <v>9</v>
      </c>
      <c r="O36" s="275"/>
      <c r="P36" s="279" t="s">
        <v>8</v>
      </c>
      <c r="Q36" s="246"/>
      <c r="R36" s="288"/>
      <c r="S36" s="298"/>
      <c r="V36" s="309"/>
      <c r="W36" s="309"/>
    </row>
    <row r="37" spans="1:23" ht="20.149999999999999" customHeight="1" x14ac:dyDescent="0.45">
      <c r="A37" s="1438"/>
      <c r="B37" s="415" t="s">
        <v>192</v>
      </c>
      <c r="D37" s="245"/>
      <c r="E37" s="285"/>
      <c r="F37" s="250"/>
      <c r="H37" s="250">
        <v>25</v>
      </c>
      <c r="M37" s="308"/>
      <c r="N37" s="289" t="s">
        <v>7</v>
      </c>
      <c r="O37" s="275"/>
      <c r="Q37" s="246"/>
      <c r="R37" s="340"/>
      <c r="S37" s="298"/>
      <c r="V37" s="309"/>
      <c r="W37" s="309"/>
    </row>
    <row r="38" spans="1:23" ht="20.149999999999999" customHeight="1" x14ac:dyDescent="0.45">
      <c r="A38" s="268">
        <v>44436</v>
      </c>
      <c r="B38" s="247"/>
      <c r="D38" s="245"/>
      <c r="E38" s="285"/>
      <c r="F38" s="250"/>
      <c r="M38" s="308"/>
      <c r="N38" s="247"/>
      <c r="O38" s="275"/>
      <c r="Q38" s="246"/>
      <c r="R38" s="347"/>
      <c r="S38" s="298"/>
    </row>
    <row r="39" spans="1:23" ht="47.25" customHeight="1" x14ac:dyDescent="0.45">
      <c r="A39" s="1437">
        <v>44437</v>
      </c>
      <c r="B39" s="293" t="s">
        <v>152</v>
      </c>
      <c r="D39" s="245" t="s">
        <v>193</v>
      </c>
      <c r="E39" s="285"/>
      <c r="F39" s="250"/>
      <c r="H39" s="250">
        <v>10</v>
      </c>
      <c r="J39" s="246">
        <v>42</v>
      </c>
      <c r="M39" s="308"/>
      <c r="N39" s="341" t="s">
        <v>9</v>
      </c>
      <c r="O39" s="275"/>
      <c r="P39" s="279" t="s">
        <v>8</v>
      </c>
      <c r="Q39" s="246"/>
      <c r="R39" s="288"/>
      <c r="S39" s="298"/>
    </row>
    <row r="40" spans="1:23" ht="20.149999999999999" customHeight="1" x14ac:dyDescent="0.45">
      <c r="A40" s="1438"/>
      <c r="B40" s="293"/>
      <c r="D40" s="245"/>
      <c r="E40" s="285"/>
      <c r="F40" s="250"/>
      <c r="J40" s="246">
        <v>60</v>
      </c>
      <c r="M40" s="308"/>
      <c r="N40" s="247"/>
      <c r="O40" s="275"/>
      <c r="P40" s="279" t="s">
        <v>8</v>
      </c>
      <c r="Q40" s="246"/>
      <c r="R40" s="288"/>
      <c r="S40" s="298"/>
    </row>
    <row r="41" spans="1:23" ht="39.75" customHeight="1" x14ac:dyDescent="0.45">
      <c r="A41" s="268">
        <v>44438</v>
      </c>
      <c r="D41" s="245" t="s">
        <v>193</v>
      </c>
      <c r="E41" s="285"/>
      <c r="F41" s="250"/>
      <c r="M41" s="308"/>
      <c r="N41" s="247"/>
      <c r="O41" s="275"/>
      <c r="Q41" s="246"/>
      <c r="R41" s="288"/>
      <c r="S41" s="298"/>
    </row>
    <row r="42" spans="1:23" ht="41.25" customHeight="1" x14ac:dyDescent="0.45">
      <c r="A42" s="268">
        <v>44439</v>
      </c>
      <c r="B42" s="247"/>
      <c r="D42" s="245" t="s">
        <v>197</v>
      </c>
      <c r="E42" s="285"/>
      <c r="F42" s="293"/>
      <c r="H42" s="250">
        <v>20</v>
      </c>
      <c r="N42" s="247"/>
      <c r="O42" s="275"/>
      <c r="P42" s="286" t="s">
        <v>7</v>
      </c>
      <c r="Q42" s="246"/>
      <c r="R42" s="288"/>
      <c r="S42" s="298"/>
    </row>
    <row r="43" spans="1:23" ht="18.45" thickBot="1" x14ac:dyDescent="0.5">
      <c r="A43" s="312" t="s">
        <v>20</v>
      </c>
      <c r="B43" s="313"/>
      <c r="C43" s="314"/>
      <c r="D43" s="314"/>
      <c r="E43" s="315"/>
      <c r="F43" s="313">
        <f>SUM(F3:F42)</f>
        <v>0</v>
      </c>
      <c r="G43" s="316"/>
      <c r="H43" s="313">
        <f t="shared" ref="H43:M43" si="0">SUM(H3:H42)</f>
        <v>16658</v>
      </c>
      <c r="I43" s="314">
        <f t="shared" si="0"/>
        <v>23975</v>
      </c>
      <c r="J43" s="314">
        <f t="shared" si="0"/>
        <v>23525</v>
      </c>
      <c r="K43" s="317">
        <f t="shared" si="0"/>
        <v>24082</v>
      </c>
      <c r="L43" s="317">
        <f t="shared" si="0"/>
        <v>0</v>
      </c>
      <c r="M43" s="315">
        <f t="shared" si="0"/>
        <v>0</v>
      </c>
      <c r="N43" s="313"/>
      <c r="O43" s="314"/>
      <c r="P43" s="314"/>
      <c r="Q43" s="317"/>
      <c r="R43" s="318"/>
      <c r="S43" s="319"/>
    </row>
    <row r="44" spans="1:23" ht="18.45" thickBot="1" x14ac:dyDescent="0.5">
      <c r="A44" s="312" t="s">
        <v>21</v>
      </c>
      <c r="B44" s="287"/>
      <c r="C44" s="287"/>
      <c r="D44" s="287"/>
      <c r="E44" s="287"/>
      <c r="F44" s="287">
        <f>F43/60</f>
        <v>0</v>
      </c>
      <c r="G44" s="287"/>
      <c r="H44" s="320">
        <f t="shared" ref="H44:M44" si="1">H43/60</f>
        <v>277.63333333333333</v>
      </c>
      <c r="I44" s="320">
        <f t="shared" si="1"/>
        <v>399.58333333333331</v>
      </c>
      <c r="J44" s="320">
        <f t="shared" si="1"/>
        <v>392.08333333333331</v>
      </c>
      <c r="K44" s="320">
        <f t="shared" si="1"/>
        <v>401.36666666666667</v>
      </c>
      <c r="L44" s="320">
        <f t="shared" si="1"/>
        <v>0</v>
      </c>
      <c r="M44" s="320">
        <f t="shared" si="1"/>
        <v>0</v>
      </c>
      <c r="N44" s="287"/>
      <c r="O44" s="287"/>
      <c r="P44" s="287"/>
      <c r="Q44" s="287"/>
    </row>
    <row r="45" spans="1:23" x14ac:dyDescent="0.45">
      <c r="A45" s="287" t="s">
        <v>41</v>
      </c>
      <c r="B45" s="287"/>
      <c r="C45" s="287"/>
      <c r="D45" s="287"/>
      <c r="E45" s="287"/>
      <c r="F45" s="287"/>
      <c r="G45" s="287"/>
      <c r="H45" s="321">
        <f>(H15)/60</f>
        <v>0.25</v>
      </c>
      <c r="I45" s="321">
        <f>(I34)/60</f>
        <v>0</v>
      </c>
      <c r="J45" s="321">
        <f>(J4+J12+J16+J29+J34+J39+J40+J36+J32)/60</f>
        <v>15.85</v>
      </c>
      <c r="K45" s="321">
        <f>(K7)/60</f>
        <v>0.5</v>
      </c>
      <c r="L45" s="322">
        <f t="shared" ref="L45:M47" si="2">L23/24</f>
        <v>0</v>
      </c>
      <c r="M45" s="322">
        <f t="shared" si="2"/>
        <v>0</v>
      </c>
      <c r="N45" s="287"/>
      <c r="O45" s="287"/>
      <c r="P45" s="287"/>
      <c r="Q45" s="287"/>
    </row>
    <row r="46" spans="1:23" x14ac:dyDescent="0.45">
      <c r="A46" s="287" t="s">
        <v>42</v>
      </c>
      <c r="B46" s="287"/>
      <c r="C46" s="287"/>
      <c r="D46" s="287"/>
      <c r="E46" s="287"/>
      <c r="F46" s="287"/>
      <c r="G46" s="287"/>
      <c r="H46" s="321">
        <f>(H9+H14+H17+H37)/60</f>
        <v>273.3</v>
      </c>
      <c r="I46" s="321">
        <f>(I3+I5+I9+I14+I17)/60</f>
        <v>399.58333333333331</v>
      </c>
      <c r="J46" s="321">
        <f>(J9+J14+J17+J33+J42)/60</f>
        <v>368.1</v>
      </c>
      <c r="K46" s="321">
        <f>(K9+K14+K17+K33)/60</f>
        <v>399.7</v>
      </c>
      <c r="L46" s="322">
        <f t="shared" si="2"/>
        <v>0</v>
      </c>
      <c r="M46" s="322">
        <f t="shared" si="2"/>
        <v>0</v>
      </c>
      <c r="N46" s="287"/>
      <c r="O46" s="287"/>
      <c r="P46" s="287"/>
      <c r="Q46" s="287"/>
    </row>
    <row r="47" spans="1:23" x14ac:dyDescent="0.45">
      <c r="A47" s="287" t="s">
        <v>43</v>
      </c>
      <c r="B47" s="287"/>
      <c r="C47" s="287"/>
      <c r="D47" s="287"/>
      <c r="E47" s="287"/>
      <c r="F47" s="287"/>
      <c r="G47" s="287"/>
      <c r="H47" s="321">
        <f>(H7+H8+H10+H11+H36+H39)/60</f>
        <v>3.75</v>
      </c>
      <c r="I47" s="321">
        <v>0</v>
      </c>
      <c r="J47" s="321">
        <f>(J3+J5+J6+J7+J10+J11+J35+J13)/60</f>
        <v>8.1333333333333329</v>
      </c>
      <c r="K47" s="321">
        <f>(K5)/60</f>
        <v>1.1666666666666667</v>
      </c>
      <c r="L47" s="322">
        <f t="shared" si="2"/>
        <v>0</v>
      </c>
      <c r="M47" s="322">
        <f t="shared" si="2"/>
        <v>0</v>
      </c>
      <c r="N47" s="287"/>
      <c r="O47" s="287"/>
      <c r="P47" s="287"/>
      <c r="Q47" s="287"/>
    </row>
    <row r="48" spans="1:23" x14ac:dyDescent="0.45">
      <c r="A48" s="287" t="s">
        <v>141</v>
      </c>
      <c r="B48" s="255"/>
      <c r="C48" s="255"/>
      <c r="D48" s="255"/>
      <c r="E48" s="255"/>
      <c r="F48" s="255"/>
      <c r="G48" s="255"/>
      <c r="H48" s="321">
        <f>(H41)/60</f>
        <v>0</v>
      </c>
      <c r="I48" s="321">
        <f>(I41)/60</f>
        <v>0</v>
      </c>
      <c r="J48" s="321">
        <f>(J41)/60</f>
        <v>0</v>
      </c>
      <c r="K48" s="321">
        <f>(K41)/60</f>
        <v>0</v>
      </c>
      <c r="L48" s="255"/>
      <c r="M48" s="255"/>
      <c r="N48" s="255"/>
      <c r="O48" s="255"/>
      <c r="P48" s="255"/>
      <c r="Q48" s="255"/>
      <c r="R48" s="255"/>
      <c r="S48" s="255"/>
    </row>
    <row r="49" spans="1:19" x14ac:dyDescent="0.45">
      <c r="A49" s="287"/>
      <c r="B49" s="255"/>
      <c r="C49" s="255"/>
      <c r="D49" s="255"/>
      <c r="E49" s="255"/>
      <c r="F49" s="255"/>
      <c r="G49" s="255"/>
      <c r="H49" s="255"/>
      <c r="I49" s="287"/>
      <c r="J49" s="255"/>
      <c r="K49" s="255"/>
      <c r="L49" s="255"/>
      <c r="M49" s="255"/>
      <c r="N49" s="255"/>
      <c r="O49" s="255"/>
      <c r="P49" s="255"/>
      <c r="Q49" s="255"/>
      <c r="R49" s="255"/>
      <c r="S49" s="255"/>
    </row>
    <row r="50" spans="1:19" x14ac:dyDescent="0.45">
      <c r="A50" s="287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</row>
    <row r="51" spans="1:19" x14ac:dyDescent="0.45">
      <c r="A51" s="287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</row>
    <row r="52" spans="1:19" x14ac:dyDescent="0.45">
      <c r="A52" s="287"/>
      <c r="B52" s="255"/>
      <c r="C52" s="255"/>
      <c r="D52" s="255"/>
      <c r="E52" s="323"/>
      <c r="F52" s="323"/>
      <c r="G52" s="309"/>
      <c r="H52" s="309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</row>
    <row r="53" spans="1:19" x14ac:dyDescent="0.45">
      <c r="B53" s="255"/>
      <c r="C53" s="1358" t="s">
        <v>177</v>
      </c>
      <c r="D53" s="1359"/>
      <c r="E53" s="1359"/>
      <c r="F53" s="1359"/>
      <c r="G53" s="1360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</row>
    <row r="54" spans="1:19" ht="18.45" thickBot="1" x14ac:dyDescent="0.5"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</row>
    <row r="55" spans="1:19" ht="18.45" thickBot="1" x14ac:dyDescent="0.5">
      <c r="B55" s="255"/>
      <c r="C55" s="325"/>
      <c r="D55" s="325" t="s">
        <v>1</v>
      </c>
      <c r="E55" s="326" t="s">
        <v>101</v>
      </c>
      <c r="F55" s="326" t="s">
        <v>102</v>
      </c>
      <c r="G55" s="326" t="s">
        <v>103</v>
      </c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</row>
    <row r="56" spans="1:19" x14ac:dyDescent="0.45">
      <c r="B56" s="255"/>
      <c r="C56" s="327" t="s">
        <v>108</v>
      </c>
      <c r="D56" s="328">
        <f>H45</f>
        <v>0.25</v>
      </c>
      <c r="E56" s="328">
        <f t="shared" ref="E56:F59" si="3">J45</f>
        <v>15.85</v>
      </c>
      <c r="F56" s="328">
        <f t="shared" si="3"/>
        <v>0.5</v>
      </c>
      <c r="G56" s="329">
        <f>I45</f>
        <v>0</v>
      </c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</row>
    <row r="57" spans="1:19" x14ac:dyDescent="0.45">
      <c r="A57" s="287"/>
      <c r="B57" s="255"/>
      <c r="C57" s="330" t="s">
        <v>109</v>
      </c>
      <c r="D57" s="331">
        <f>H46</f>
        <v>273.3</v>
      </c>
      <c r="E57" s="331">
        <f t="shared" si="3"/>
        <v>368.1</v>
      </c>
      <c r="F57" s="331">
        <f t="shared" si="3"/>
        <v>399.7</v>
      </c>
      <c r="G57" s="332">
        <f>I46</f>
        <v>399.58333333333331</v>
      </c>
      <c r="H57" s="255"/>
      <c r="I57" s="416"/>
      <c r="J57" s="416"/>
      <c r="K57" s="416"/>
      <c r="L57" s="416"/>
      <c r="M57" s="255"/>
      <c r="N57" s="255"/>
      <c r="O57" s="255"/>
      <c r="P57" s="255"/>
      <c r="Q57" s="255"/>
      <c r="R57" s="255"/>
      <c r="S57" s="255"/>
    </row>
    <row r="58" spans="1:19" x14ac:dyDescent="0.45">
      <c r="A58" s="354"/>
      <c r="B58" s="255"/>
      <c r="C58" s="330" t="s">
        <v>110</v>
      </c>
      <c r="D58" s="331">
        <f>H47</f>
        <v>3.75</v>
      </c>
      <c r="E58" s="331">
        <f t="shared" si="3"/>
        <v>8.1333333333333329</v>
      </c>
      <c r="F58" s="331">
        <f t="shared" si="3"/>
        <v>1.1666666666666667</v>
      </c>
      <c r="G58" s="332">
        <f>I47</f>
        <v>0</v>
      </c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</row>
    <row r="59" spans="1:19" ht="18.45" thickBot="1" x14ac:dyDescent="0.5">
      <c r="A59" s="354"/>
      <c r="B59" s="255"/>
      <c r="C59" s="333" t="s">
        <v>111</v>
      </c>
      <c r="D59" s="334">
        <f>H48</f>
        <v>0</v>
      </c>
      <c r="E59" s="334">
        <f t="shared" si="3"/>
        <v>0</v>
      </c>
      <c r="F59" s="334">
        <f t="shared" si="3"/>
        <v>0</v>
      </c>
      <c r="G59" s="334">
        <f>I48</f>
        <v>0</v>
      </c>
      <c r="H59" s="255"/>
      <c r="I59" s="255"/>
      <c r="J59" s="255" t="s">
        <v>196</v>
      </c>
      <c r="K59" s="255"/>
      <c r="L59" s="255"/>
      <c r="M59" s="255"/>
      <c r="N59" s="255"/>
      <c r="O59" s="255"/>
      <c r="P59" s="255"/>
      <c r="Q59" s="255"/>
      <c r="R59" s="255"/>
      <c r="S59" s="255"/>
    </row>
    <row r="60" spans="1:19" ht="18.45" thickBot="1" x14ac:dyDescent="0.5">
      <c r="A60" s="354"/>
      <c r="B60" s="255"/>
      <c r="C60" s="335" t="s">
        <v>100</v>
      </c>
      <c r="D60" s="336">
        <f>D56+D57+D58+D59</f>
        <v>277.3</v>
      </c>
      <c r="E60" s="336">
        <f>E56+E57+E58+E59</f>
        <v>392.08333333333337</v>
      </c>
      <c r="F60" s="336">
        <f>F56+F57+F58+F59</f>
        <v>401.36666666666667</v>
      </c>
      <c r="G60" s="336">
        <f>G56+G57+G58+G59</f>
        <v>399.58333333333331</v>
      </c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</row>
    <row r="61" spans="1:19" x14ac:dyDescent="0.45">
      <c r="A61" s="354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</row>
    <row r="62" spans="1:19" x14ac:dyDescent="0.45">
      <c r="A62" s="354"/>
      <c r="B62" s="255"/>
      <c r="C62" s="419" t="s">
        <v>106</v>
      </c>
      <c r="D62" s="421">
        <f>D56+D57+D58+E56+E57+E58+F56+F57+F58+G56+G57+G58</f>
        <v>1470.3333333333333</v>
      </c>
      <c r="E62" s="422"/>
      <c r="F62" s="422"/>
      <c r="G62" s="422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</row>
    <row r="63" spans="1:19" ht="40.5" customHeight="1" x14ac:dyDescent="0.45">
      <c r="A63" s="354"/>
      <c r="B63" s="255"/>
      <c r="C63" s="420" t="s">
        <v>195</v>
      </c>
      <c r="D63" s="421">
        <f>AVERAGE(D59:G59)</f>
        <v>0</v>
      </c>
      <c r="E63" s="422"/>
      <c r="F63" s="422"/>
      <c r="G63" s="422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</row>
    <row r="64" spans="1:19" ht="90.75" customHeight="1" x14ac:dyDescent="0.45">
      <c r="A64" s="354"/>
      <c r="B64" s="255"/>
      <c r="C64" s="417" t="s">
        <v>194</v>
      </c>
      <c r="D64" s="418">
        <f>H17/60</f>
        <v>268.56666666666666</v>
      </c>
      <c r="E64" s="418">
        <f>J17/60</f>
        <v>363.81666666666666</v>
      </c>
      <c r="F64" s="419">
        <f>K17/60</f>
        <v>395</v>
      </c>
      <c r="G64" s="418">
        <f>I17/60</f>
        <v>393.58333333333331</v>
      </c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</row>
    <row r="65" spans="1:19" x14ac:dyDescent="0.45">
      <c r="A65" s="354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</row>
    <row r="66" spans="1:19" x14ac:dyDescent="0.45">
      <c r="A66" s="354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</row>
    <row r="67" spans="1:19" x14ac:dyDescent="0.45">
      <c r="A67" s="354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</row>
    <row r="68" spans="1:19" x14ac:dyDescent="0.45">
      <c r="A68" s="354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</row>
    <row r="69" spans="1:19" x14ac:dyDescent="0.45">
      <c r="A69" s="354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</row>
    <row r="70" spans="1:19" x14ac:dyDescent="0.45">
      <c r="A70" s="354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</row>
    <row r="71" spans="1:19" x14ac:dyDescent="0.45">
      <c r="A71" s="354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</row>
    <row r="72" spans="1:19" x14ac:dyDescent="0.45">
      <c r="A72" s="354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</row>
    <row r="73" spans="1:19" x14ac:dyDescent="0.45">
      <c r="A73" s="354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</row>
    <row r="74" spans="1:19" x14ac:dyDescent="0.45">
      <c r="A74" s="354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</row>
    <row r="75" spans="1:19" x14ac:dyDescent="0.45">
      <c r="A75" s="354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</row>
    <row r="76" spans="1:19" x14ac:dyDescent="0.45">
      <c r="A76" s="354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</row>
    <row r="77" spans="1:19" x14ac:dyDescent="0.45">
      <c r="A77" s="354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</row>
    <row r="78" spans="1:19" x14ac:dyDescent="0.45">
      <c r="A78" s="354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</row>
    <row r="79" spans="1:19" x14ac:dyDescent="0.45">
      <c r="A79" s="354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</row>
    <row r="80" spans="1:19" x14ac:dyDescent="0.45">
      <c r="A80" s="354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</row>
    <row r="81" spans="1:19" x14ac:dyDescent="0.45">
      <c r="A81" s="354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</row>
    <row r="82" spans="1:19" x14ac:dyDescent="0.45">
      <c r="A82" s="354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</row>
    <row r="83" spans="1:19" x14ac:dyDescent="0.45">
      <c r="A83" s="354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</row>
    <row r="84" spans="1:19" x14ac:dyDescent="0.45">
      <c r="A84" s="354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</row>
    <row r="85" spans="1:19" x14ac:dyDescent="0.45">
      <c r="A85" s="354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</row>
    <row r="86" spans="1:19" x14ac:dyDescent="0.45">
      <c r="A86" s="354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</row>
    <row r="87" spans="1:19" x14ac:dyDescent="0.45">
      <c r="A87" s="354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</row>
    <row r="88" spans="1:19" x14ac:dyDescent="0.45">
      <c r="A88" s="354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</row>
    <row r="89" spans="1:19" x14ac:dyDescent="0.45">
      <c r="A89" s="354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5"/>
    </row>
    <row r="90" spans="1:19" x14ac:dyDescent="0.45">
      <c r="A90" s="354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</row>
    <row r="91" spans="1:19" x14ac:dyDescent="0.45">
      <c r="A91" s="354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255"/>
    </row>
    <row r="92" spans="1:19" x14ac:dyDescent="0.45">
      <c r="A92" s="354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5"/>
      <c r="S92" s="255"/>
    </row>
    <row r="93" spans="1:19" x14ac:dyDescent="0.45">
      <c r="A93" s="354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5"/>
    </row>
    <row r="94" spans="1:19" x14ac:dyDescent="0.45">
      <c r="A94" s="354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255"/>
    </row>
    <row r="95" spans="1:19" x14ac:dyDescent="0.45">
      <c r="A95" s="354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5"/>
    </row>
    <row r="96" spans="1:19" x14ac:dyDescent="0.45">
      <c r="A96" s="354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5"/>
    </row>
    <row r="97" spans="1:19" x14ac:dyDescent="0.45">
      <c r="A97" s="354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5"/>
    </row>
    <row r="98" spans="1:19" x14ac:dyDescent="0.45">
      <c r="A98" s="354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  <c r="R98" s="255"/>
      <c r="S98" s="255"/>
    </row>
    <row r="99" spans="1:19" x14ac:dyDescent="0.45">
      <c r="A99" s="354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5"/>
    </row>
    <row r="100" spans="1:19" x14ac:dyDescent="0.45">
      <c r="A100" s="354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</row>
    <row r="101" spans="1:19" x14ac:dyDescent="0.45">
      <c r="A101" s="354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</row>
    <row r="102" spans="1:19" x14ac:dyDescent="0.45">
      <c r="A102" s="354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</row>
    <row r="103" spans="1:19" x14ac:dyDescent="0.45">
      <c r="A103" s="354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</row>
    <row r="104" spans="1:19" x14ac:dyDescent="0.45">
      <c r="A104" s="354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</row>
    <row r="105" spans="1:19" x14ac:dyDescent="0.45">
      <c r="A105" s="354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</row>
    <row r="106" spans="1:19" x14ac:dyDescent="0.45">
      <c r="A106" s="354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</row>
    <row r="107" spans="1:19" x14ac:dyDescent="0.45">
      <c r="A107" s="354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</row>
    <row r="108" spans="1:19" x14ac:dyDescent="0.45">
      <c r="A108" s="354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</row>
    <row r="109" spans="1:19" x14ac:dyDescent="0.45">
      <c r="A109" s="354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</row>
    <row r="110" spans="1:19" x14ac:dyDescent="0.45">
      <c r="A110" s="354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</row>
    <row r="111" spans="1:19" x14ac:dyDescent="0.45">
      <c r="A111" s="354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</row>
    <row r="112" spans="1:19" x14ac:dyDescent="0.45">
      <c r="A112" s="354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</row>
    <row r="113" spans="1:19" x14ac:dyDescent="0.45">
      <c r="A113" s="354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</row>
    <row r="114" spans="1:19" x14ac:dyDescent="0.45">
      <c r="A114" s="354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</row>
    <row r="115" spans="1:19" x14ac:dyDescent="0.45">
      <c r="A115" s="354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</row>
    <row r="116" spans="1:19" x14ac:dyDescent="0.45">
      <c r="A116" s="354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</row>
    <row r="117" spans="1:19" x14ac:dyDescent="0.45">
      <c r="A117" s="354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</row>
    <row r="118" spans="1:19" x14ac:dyDescent="0.45">
      <c r="A118" s="354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</row>
    <row r="119" spans="1:19" x14ac:dyDescent="0.45">
      <c r="A119" s="354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</row>
    <row r="120" spans="1:19" x14ac:dyDescent="0.45">
      <c r="A120" s="354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</row>
    <row r="121" spans="1:19" x14ac:dyDescent="0.45">
      <c r="A121" s="354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</row>
    <row r="122" spans="1:19" x14ac:dyDescent="0.45">
      <c r="A122" s="354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</row>
    <row r="123" spans="1:19" x14ac:dyDescent="0.45">
      <c r="A123" s="354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</row>
    <row r="124" spans="1:19" x14ac:dyDescent="0.45">
      <c r="A124" s="354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</row>
    <row r="125" spans="1:19" x14ac:dyDescent="0.45">
      <c r="A125" s="354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</row>
    <row r="126" spans="1:19" x14ac:dyDescent="0.45">
      <c r="A126" s="354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</row>
    <row r="127" spans="1:19" x14ac:dyDescent="0.45">
      <c r="A127" s="354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</row>
    <row r="128" spans="1:19" x14ac:dyDescent="0.45">
      <c r="A128" s="354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</row>
    <row r="129" spans="1:19" x14ac:dyDescent="0.45">
      <c r="A129" s="354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</row>
    <row r="130" spans="1:19" x14ac:dyDescent="0.45">
      <c r="A130" s="354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</row>
    <row r="131" spans="1:19" x14ac:dyDescent="0.45">
      <c r="A131" s="354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</row>
    <row r="132" spans="1:19" x14ac:dyDescent="0.45">
      <c r="A132" s="354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</row>
    <row r="133" spans="1:19" x14ac:dyDescent="0.45">
      <c r="A133" s="354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</row>
    <row r="134" spans="1:19" x14ac:dyDescent="0.45">
      <c r="A134" s="354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</row>
    <row r="135" spans="1:19" x14ac:dyDescent="0.45">
      <c r="A135" s="354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</row>
    <row r="136" spans="1:19" x14ac:dyDescent="0.45">
      <c r="A136" s="354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</row>
    <row r="137" spans="1:19" x14ac:dyDescent="0.45">
      <c r="A137" s="354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</row>
    <row r="138" spans="1:19" x14ac:dyDescent="0.45">
      <c r="A138" s="354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</row>
    <row r="139" spans="1:19" x14ac:dyDescent="0.45">
      <c r="A139" s="354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</row>
    <row r="140" spans="1:19" x14ac:dyDescent="0.45">
      <c r="A140" s="354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</row>
    <row r="141" spans="1:19" x14ac:dyDescent="0.45">
      <c r="A141" s="354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</row>
    <row r="142" spans="1:19" x14ac:dyDescent="0.45">
      <c r="A142" s="354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</row>
    <row r="143" spans="1:19" x14ac:dyDescent="0.45">
      <c r="A143" s="354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</row>
    <row r="144" spans="1:19" x14ac:dyDescent="0.45">
      <c r="A144" s="354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</row>
    <row r="145" spans="1:19" x14ac:dyDescent="0.45">
      <c r="A145" s="354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</row>
    <row r="146" spans="1:19" x14ac:dyDescent="0.45">
      <c r="A146" s="354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</row>
    <row r="147" spans="1:19" x14ac:dyDescent="0.45">
      <c r="A147" s="354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</row>
    <row r="148" spans="1:19" x14ac:dyDescent="0.45">
      <c r="A148" s="354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</row>
    <row r="149" spans="1:19" x14ac:dyDescent="0.45">
      <c r="A149" s="354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</row>
    <row r="150" spans="1:19" x14ac:dyDescent="0.45">
      <c r="A150" s="354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</row>
    <row r="151" spans="1:19" x14ac:dyDescent="0.45">
      <c r="A151" s="354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</row>
    <row r="152" spans="1:19" x14ac:dyDescent="0.45">
      <c r="A152" s="354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</row>
    <row r="153" spans="1:19" x14ac:dyDescent="0.45">
      <c r="A153" s="354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</row>
    <row r="154" spans="1:19" x14ac:dyDescent="0.45">
      <c r="A154" s="354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</row>
    <row r="155" spans="1:19" x14ac:dyDescent="0.45">
      <c r="A155" s="354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</row>
    <row r="156" spans="1:19" x14ac:dyDescent="0.45">
      <c r="A156" s="354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</row>
    <row r="157" spans="1:19" x14ac:dyDescent="0.45">
      <c r="A157" s="354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</row>
    <row r="158" spans="1:19" x14ac:dyDescent="0.45">
      <c r="A158" s="354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</row>
    <row r="159" spans="1:19" x14ac:dyDescent="0.45">
      <c r="A159" s="354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</row>
    <row r="160" spans="1:19" x14ac:dyDescent="0.45">
      <c r="A160" s="354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</row>
    <row r="161" spans="1:19" x14ac:dyDescent="0.45">
      <c r="A161" s="354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</row>
    <row r="162" spans="1:19" x14ac:dyDescent="0.45">
      <c r="A162" s="354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</row>
    <row r="163" spans="1:19" x14ac:dyDescent="0.45">
      <c r="A163" s="354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</row>
    <row r="164" spans="1:19" x14ac:dyDescent="0.45">
      <c r="A164" s="354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</row>
    <row r="165" spans="1:19" x14ac:dyDescent="0.45">
      <c r="A165" s="354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</row>
    <row r="166" spans="1:19" x14ac:dyDescent="0.45">
      <c r="A166" s="354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</row>
    <row r="167" spans="1:19" x14ac:dyDescent="0.45">
      <c r="A167" s="354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</row>
    <row r="168" spans="1:19" x14ac:dyDescent="0.45">
      <c r="A168" s="354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255"/>
    </row>
    <row r="169" spans="1:19" x14ac:dyDescent="0.45">
      <c r="A169" s="354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</row>
    <row r="170" spans="1:19" x14ac:dyDescent="0.45">
      <c r="A170" s="354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255"/>
      <c r="N170" s="255"/>
      <c r="O170" s="255"/>
      <c r="P170" s="255"/>
      <c r="Q170" s="255"/>
      <c r="R170" s="255"/>
      <c r="S170" s="255"/>
    </row>
    <row r="171" spans="1:19" x14ac:dyDescent="0.45">
      <c r="A171" s="354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  <c r="S171" s="255"/>
    </row>
    <row r="172" spans="1:19" x14ac:dyDescent="0.45">
      <c r="A172" s="354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  <c r="S172" s="255"/>
    </row>
    <row r="173" spans="1:19" x14ac:dyDescent="0.45">
      <c r="A173" s="354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  <c r="S173" s="255"/>
    </row>
    <row r="174" spans="1:19" x14ac:dyDescent="0.45">
      <c r="A174" s="354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  <c r="S174" s="255"/>
    </row>
    <row r="175" spans="1:19" x14ac:dyDescent="0.45">
      <c r="A175" s="354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  <c r="S175" s="255"/>
    </row>
    <row r="176" spans="1:19" x14ac:dyDescent="0.45">
      <c r="A176" s="354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</row>
    <row r="177" spans="1:19" x14ac:dyDescent="0.45">
      <c r="A177" s="354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255"/>
    </row>
    <row r="178" spans="1:19" x14ac:dyDescent="0.45">
      <c r="A178" s="354"/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5"/>
      <c r="R178" s="255"/>
      <c r="S178" s="255"/>
    </row>
    <row r="179" spans="1:19" x14ac:dyDescent="0.45">
      <c r="A179" s="354"/>
      <c r="B179" s="255"/>
      <c r="C179" s="255"/>
      <c r="D179" s="255"/>
      <c r="E179" s="255"/>
      <c r="F179" s="255"/>
      <c r="G179" s="255"/>
      <c r="H179" s="255"/>
      <c r="I179" s="255"/>
      <c r="J179" s="255"/>
      <c r="K179" s="255"/>
      <c r="L179" s="255"/>
      <c r="M179" s="255"/>
      <c r="N179" s="255"/>
      <c r="O179" s="255"/>
      <c r="P179" s="255"/>
      <c r="Q179" s="255"/>
      <c r="R179" s="255"/>
      <c r="S179" s="255"/>
    </row>
    <row r="180" spans="1:19" x14ac:dyDescent="0.45">
      <c r="A180" s="354"/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255"/>
    </row>
    <row r="181" spans="1:19" x14ac:dyDescent="0.45">
      <c r="A181" s="354"/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  <c r="S181" s="255"/>
    </row>
    <row r="182" spans="1:19" x14ac:dyDescent="0.45">
      <c r="A182" s="354"/>
      <c r="B182" s="255"/>
      <c r="C182" s="255"/>
      <c r="D182" s="255"/>
      <c r="E182" s="255"/>
      <c r="F182" s="255"/>
      <c r="G182" s="255"/>
      <c r="H182" s="255"/>
      <c r="I182" s="255"/>
      <c r="J182" s="255"/>
      <c r="K182" s="255"/>
      <c r="L182" s="255"/>
      <c r="M182" s="255"/>
      <c r="N182" s="255"/>
      <c r="O182" s="255"/>
      <c r="P182" s="255"/>
      <c r="Q182" s="255"/>
      <c r="R182" s="255"/>
      <c r="S182" s="255"/>
    </row>
    <row r="183" spans="1:19" x14ac:dyDescent="0.45">
      <c r="A183" s="354"/>
      <c r="B183" s="255"/>
      <c r="C183" s="255"/>
      <c r="D183" s="255"/>
      <c r="E183" s="255"/>
      <c r="F183" s="255"/>
      <c r="G183" s="255"/>
      <c r="H183" s="255"/>
      <c r="I183" s="255"/>
      <c r="J183" s="255"/>
      <c r="K183" s="255"/>
      <c r="L183" s="255"/>
      <c r="M183" s="255"/>
      <c r="N183" s="255"/>
      <c r="O183" s="255"/>
      <c r="P183" s="255"/>
      <c r="Q183" s="255"/>
      <c r="R183" s="255"/>
      <c r="S183" s="255"/>
    </row>
    <row r="184" spans="1:19" x14ac:dyDescent="0.45">
      <c r="A184" s="354"/>
      <c r="B184" s="255"/>
      <c r="C184" s="255"/>
      <c r="D184" s="255"/>
      <c r="E184" s="255"/>
      <c r="F184" s="255"/>
      <c r="G184" s="255"/>
      <c r="H184" s="255"/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  <c r="S184" s="255"/>
    </row>
    <row r="185" spans="1:19" x14ac:dyDescent="0.45">
      <c r="A185" s="354"/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  <c r="S185" s="255"/>
    </row>
    <row r="186" spans="1:19" x14ac:dyDescent="0.45">
      <c r="A186" s="354"/>
      <c r="B186" s="255"/>
      <c r="C186" s="255"/>
      <c r="D186" s="255"/>
      <c r="E186" s="255"/>
      <c r="F186" s="255"/>
      <c r="G186" s="255"/>
      <c r="H186" s="255"/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  <c r="S186" s="255"/>
    </row>
    <row r="187" spans="1:19" x14ac:dyDescent="0.45">
      <c r="A187" s="354"/>
      <c r="B187" s="255"/>
      <c r="C187" s="255"/>
      <c r="D187" s="255"/>
      <c r="E187" s="255"/>
      <c r="F187" s="255"/>
      <c r="G187" s="255"/>
      <c r="H187" s="255"/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  <c r="S187" s="255"/>
    </row>
    <row r="188" spans="1:19" x14ac:dyDescent="0.45">
      <c r="A188" s="354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5"/>
      <c r="S188" s="255"/>
    </row>
    <row r="189" spans="1:19" x14ac:dyDescent="0.45">
      <c r="A189" s="354"/>
      <c r="B189" s="255"/>
      <c r="C189" s="255"/>
      <c r="D189" s="255"/>
      <c r="E189" s="255"/>
      <c r="F189" s="255"/>
      <c r="G189" s="255"/>
      <c r="H189" s="255"/>
      <c r="I189" s="255"/>
      <c r="J189" s="255"/>
      <c r="K189" s="255"/>
      <c r="L189" s="255"/>
      <c r="M189" s="255"/>
      <c r="N189" s="255"/>
      <c r="O189" s="255"/>
      <c r="P189" s="255"/>
      <c r="Q189" s="255"/>
      <c r="R189" s="255"/>
      <c r="S189" s="255"/>
    </row>
    <row r="190" spans="1:19" x14ac:dyDescent="0.45">
      <c r="A190" s="354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5"/>
      <c r="R190" s="255"/>
      <c r="S190" s="255"/>
    </row>
    <row r="191" spans="1:19" x14ac:dyDescent="0.45">
      <c r="A191" s="354"/>
      <c r="B191" s="255"/>
      <c r="C191" s="255"/>
      <c r="D191" s="255"/>
      <c r="E191" s="255"/>
      <c r="F191" s="255"/>
      <c r="G191" s="255"/>
      <c r="H191" s="255"/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  <c r="S191" s="255"/>
    </row>
    <row r="192" spans="1:19" x14ac:dyDescent="0.45">
      <c r="A192" s="354"/>
      <c r="B192" s="255"/>
      <c r="C192" s="255"/>
      <c r="D192" s="255"/>
      <c r="E192" s="255"/>
      <c r="F192" s="255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5"/>
      <c r="R192" s="255"/>
      <c r="S192" s="255"/>
    </row>
    <row r="193" spans="1:19" x14ac:dyDescent="0.45">
      <c r="A193" s="354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  <c r="S193" s="255"/>
    </row>
    <row r="194" spans="1:19" x14ac:dyDescent="0.45">
      <c r="A194" s="354"/>
      <c r="B194" s="255"/>
      <c r="C194" s="255"/>
      <c r="D194" s="255"/>
      <c r="E194" s="255"/>
      <c r="F194" s="255"/>
      <c r="G194" s="255"/>
      <c r="H194" s="255"/>
      <c r="I194" s="255"/>
      <c r="J194" s="255"/>
      <c r="K194" s="255"/>
      <c r="L194" s="255"/>
      <c r="M194" s="255"/>
      <c r="N194" s="255"/>
      <c r="O194" s="255"/>
      <c r="P194" s="255"/>
      <c r="Q194" s="255"/>
      <c r="R194" s="255"/>
      <c r="S194" s="255"/>
    </row>
    <row r="195" spans="1:19" x14ac:dyDescent="0.45">
      <c r="A195" s="354"/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  <c r="S195" s="255"/>
    </row>
    <row r="196" spans="1:19" x14ac:dyDescent="0.45">
      <c r="A196" s="354"/>
      <c r="B196" s="255"/>
      <c r="C196" s="255"/>
      <c r="D196" s="255"/>
      <c r="E196" s="255"/>
      <c r="F196" s="255"/>
      <c r="G196" s="255"/>
      <c r="H196" s="255"/>
      <c r="I196" s="255"/>
      <c r="J196" s="255"/>
      <c r="K196" s="255"/>
      <c r="L196" s="255"/>
      <c r="M196" s="255"/>
      <c r="N196" s="255"/>
      <c r="O196" s="255"/>
      <c r="P196" s="255"/>
      <c r="Q196" s="255"/>
      <c r="R196" s="255"/>
      <c r="S196" s="255"/>
    </row>
    <row r="197" spans="1:19" x14ac:dyDescent="0.45">
      <c r="A197" s="354"/>
      <c r="B197" s="255"/>
      <c r="C197" s="255"/>
      <c r="D197" s="255"/>
      <c r="E197" s="255"/>
      <c r="F197" s="255"/>
      <c r="G197" s="255"/>
      <c r="H197" s="255"/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  <c r="S197" s="255"/>
    </row>
    <row r="198" spans="1:19" x14ac:dyDescent="0.45">
      <c r="A198" s="354"/>
      <c r="B198" s="255"/>
      <c r="C198" s="255"/>
      <c r="D198" s="255"/>
      <c r="E198" s="255"/>
      <c r="F198" s="255"/>
      <c r="G198" s="255"/>
      <c r="H198" s="255"/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  <c r="S198" s="255"/>
    </row>
    <row r="199" spans="1:19" x14ac:dyDescent="0.45">
      <c r="A199" s="354"/>
      <c r="B199" s="255"/>
      <c r="C199" s="255"/>
      <c r="D199" s="255"/>
      <c r="E199" s="255"/>
      <c r="F199" s="255"/>
      <c r="G199" s="255"/>
      <c r="H199" s="255"/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  <c r="S199" s="255"/>
    </row>
    <row r="200" spans="1:19" x14ac:dyDescent="0.45">
      <c r="A200" s="354"/>
      <c r="B200" s="255"/>
      <c r="C200" s="255"/>
      <c r="D200" s="255"/>
      <c r="E200" s="255"/>
      <c r="F200" s="255"/>
      <c r="G200" s="255"/>
      <c r="H200" s="255"/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  <c r="S200" s="255"/>
    </row>
    <row r="201" spans="1:19" x14ac:dyDescent="0.45">
      <c r="A201" s="354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255"/>
    </row>
    <row r="202" spans="1:19" x14ac:dyDescent="0.45">
      <c r="A202" s="354"/>
      <c r="B202" s="255"/>
      <c r="C202" s="255"/>
      <c r="D202" s="255"/>
      <c r="E202" s="255"/>
      <c r="F202" s="255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  <c r="S202" s="255"/>
    </row>
    <row r="203" spans="1:19" x14ac:dyDescent="0.45">
      <c r="A203" s="354"/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  <c r="S203" s="255"/>
    </row>
    <row r="204" spans="1:19" x14ac:dyDescent="0.45">
      <c r="A204" s="354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5"/>
      <c r="R204" s="255"/>
      <c r="S204" s="255"/>
    </row>
    <row r="205" spans="1:19" x14ac:dyDescent="0.45">
      <c r="A205" s="354"/>
      <c r="B205" s="255"/>
      <c r="C205" s="255"/>
      <c r="D205" s="255"/>
      <c r="E205" s="255"/>
      <c r="F205" s="255"/>
      <c r="G205" s="255"/>
      <c r="H205" s="255"/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  <c r="S205" s="255"/>
    </row>
    <row r="206" spans="1:19" x14ac:dyDescent="0.45">
      <c r="A206" s="354"/>
      <c r="B206" s="255"/>
      <c r="C206" s="255"/>
      <c r="D206" s="255"/>
      <c r="E206" s="255"/>
      <c r="F206" s="255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  <c r="S206" s="255"/>
    </row>
    <row r="207" spans="1:19" x14ac:dyDescent="0.45">
      <c r="A207" s="354"/>
      <c r="B207" s="255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255"/>
    </row>
    <row r="208" spans="1:19" x14ac:dyDescent="0.45">
      <c r="A208" s="354"/>
      <c r="B208" s="255"/>
      <c r="C208" s="255"/>
      <c r="D208" s="255"/>
      <c r="E208" s="255"/>
      <c r="F208" s="255"/>
      <c r="G208" s="255"/>
      <c r="H208" s="255"/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  <c r="S208" s="255"/>
    </row>
    <row r="209" spans="1:19" x14ac:dyDescent="0.45">
      <c r="A209" s="354"/>
      <c r="B209" s="255"/>
      <c r="C209" s="255"/>
      <c r="D209" s="255"/>
      <c r="E209" s="255"/>
      <c r="F209" s="255"/>
      <c r="G209" s="255"/>
      <c r="H209" s="255"/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  <c r="S209" s="255"/>
    </row>
    <row r="210" spans="1:19" x14ac:dyDescent="0.45">
      <c r="A210" s="354"/>
      <c r="B210" s="255"/>
      <c r="C210" s="255"/>
      <c r="D210" s="255"/>
      <c r="E210" s="255"/>
      <c r="F210" s="255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  <c r="S210" s="255"/>
    </row>
    <row r="211" spans="1:19" x14ac:dyDescent="0.45">
      <c r="A211" s="354"/>
      <c r="B211" s="255"/>
      <c r="C211" s="255"/>
      <c r="D211" s="255"/>
      <c r="E211" s="255"/>
      <c r="F211" s="255"/>
      <c r="G211" s="255"/>
      <c r="H211" s="255"/>
      <c r="I211" s="255"/>
      <c r="J211" s="255"/>
      <c r="K211" s="255"/>
      <c r="L211" s="255"/>
      <c r="M211" s="255"/>
      <c r="N211" s="255"/>
      <c r="O211" s="255"/>
      <c r="P211" s="255"/>
      <c r="Q211" s="255"/>
      <c r="R211" s="255"/>
      <c r="S211" s="255"/>
    </row>
    <row r="212" spans="1:19" x14ac:dyDescent="0.45">
      <c r="A212" s="354"/>
      <c r="B212" s="255"/>
      <c r="C212" s="255"/>
      <c r="D212" s="255"/>
      <c r="E212" s="255"/>
      <c r="F212" s="255"/>
      <c r="G212" s="255"/>
      <c r="H212" s="255"/>
      <c r="I212" s="255"/>
      <c r="J212" s="255"/>
      <c r="K212" s="255"/>
      <c r="L212" s="255"/>
      <c r="M212" s="255"/>
      <c r="N212" s="255"/>
      <c r="O212" s="255"/>
      <c r="P212" s="255"/>
      <c r="Q212" s="255"/>
      <c r="R212" s="255"/>
      <c r="S212" s="255"/>
    </row>
    <row r="213" spans="1:19" x14ac:dyDescent="0.45">
      <c r="A213" s="354"/>
      <c r="B213" s="255"/>
      <c r="C213" s="255"/>
      <c r="D213" s="255"/>
      <c r="E213" s="255"/>
      <c r="F213" s="255"/>
      <c r="G213" s="255"/>
      <c r="H213" s="255"/>
      <c r="I213" s="255"/>
      <c r="J213" s="255"/>
      <c r="K213" s="255"/>
      <c r="L213" s="255"/>
      <c r="M213" s="255"/>
      <c r="N213" s="255"/>
      <c r="O213" s="255"/>
      <c r="P213" s="255"/>
      <c r="Q213" s="255"/>
      <c r="R213" s="255"/>
      <c r="S213" s="255"/>
    </row>
    <row r="214" spans="1:19" x14ac:dyDescent="0.45">
      <c r="A214" s="354"/>
      <c r="B214" s="255"/>
      <c r="C214" s="255"/>
      <c r="D214" s="255"/>
      <c r="E214" s="255"/>
      <c r="F214" s="255"/>
      <c r="G214" s="255"/>
      <c r="H214" s="255"/>
      <c r="I214" s="255"/>
      <c r="J214" s="255"/>
      <c r="K214" s="255"/>
      <c r="L214" s="255"/>
      <c r="M214" s="255"/>
      <c r="N214" s="255"/>
      <c r="O214" s="255"/>
      <c r="P214" s="255"/>
      <c r="Q214" s="255"/>
      <c r="R214" s="255"/>
      <c r="S214" s="255"/>
    </row>
    <row r="215" spans="1:19" x14ac:dyDescent="0.45">
      <c r="A215" s="354"/>
      <c r="B215" s="255"/>
      <c r="C215" s="255"/>
      <c r="D215" s="255"/>
      <c r="E215" s="255"/>
      <c r="F215" s="255"/>
      <c r="G215" s="255"/>
      <c r="H215" s="255"/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  <c r="S215" s="255"/>
    </row>
    <row r="216" spans="1:19" x14ac:dyDescent="0.45">
      <c r="A216" s="354"/>
      <c r="B216" s="255"/>
      <c r="C216" s="255"/>
      <c r="D216" s="255"/>
      <c r="E216" s="255"/>
      <c r="F216" s="255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  <c r="S216" s="255"/>
    </row>
    <row r="217" spans="1:19" x14ac:dyDescent="0.45">
      <c r="A217" s="354"/>
      <c r="B217" s="255"/>
      <c r="C217" s="255"/>
      <c r="D217" s="255"/>
      <c r="E217" s="255"/>
      <c r="F217" s="255"/>
      <c r="G217" s="255"/>
      <c r="H217" s="255"/>
      <c r="I217" s="255"/>
      <c r="J217" s="255"/>
      <c r="K217" s="255"/>
      <c r="L217" s="255"/>
      <c r="M217" s="255"/>
      <c r="N217" s="255"/>
      <c r="O217" s="255"/>
      <c r="P217" s="255"/>
      <c r="Q217" s="255"/>
      <c r="R217" s="255"/>
      <c r="S217" s="255"/>
    </row>
    <row r="218" spans="1:19" x14ac:dyDescent="0.45">
      <c r="A218" s="354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  <c r="S218" s="255"/>
    </row>
    <row r="219" spans="1:19" x14ac:dyDescent="0.45">
      <c r="A219" s="354"/>
      <c r="B219" s="255"/>
      <c r="C219" s="255"/>
      <c r="D219" s="255"/>
      <c r="E219" s="255"/>
      <c r="F219" s="255"/>
      <c r="G219" s="255"/>
      <c r="H219" s="255"/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  <c r="S219" s="255"/>
    </row>
    <row r="220" spans="1:19" x14ac:dyDescent="0.45">
      <c r="A220" s="354"/>
      <c r="B220" s="255"/>
      <c r="C220" s="255"/>
      <c r="D220" s="255"/>
      <c r="E220" s="255"/>
      <c r="F220" s="255"/>
      <c r="G220" s="255"/>
      <c r="H220" s="255"/>
      <c r="I220" s="255"/>
      <c r="J220" s="255"/>
      <c r="K220" s="255"/>
      <c r="L220" s="255"/>
      <c r="M220" s="255"/>
      <c r="N220" s="255"/>
      <c r="O220" s="255"/>
      <c r="P220" s="255"/>
      <c r="Q220" s="255"/>
      <c r="R220" s="255"/>
      <c r="S220" s="255"/>
    </row>
    <row r="221" spans="1:19" x14ac:dyDescent="0.45">
      <c r="A221" s="354"/>
      <c r="B221" s="255"/>
      <c r="C221" s="255"/>
      <c r="D221" s="255"/>
      <c r="E221" s="255"/>
      <c r="F221" s="255"/>
      <c r="G221" s="255"/>
      <c r="H221" s="255"/>
      <c r="I221" s="255"/>
      <c r="J221" s="255"/>
      <c r="K221" s="255"/>
      <c r="L221" s="255"/>
      <c r="M221" s="255"/>
      <c r="N221" s="255"/>
      <c r="O221" s="255"/>
      <c r="P221" s="255"/>
      <c r="Q221" s="255"/>
      <c r="R221" s="255"/>
      <c r="S221" s="255"/>
    </row>
    <row r="222" spans="1:19" x14ac:dyDescent="0.45">
      <c r="A222" s="354"/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5"/>
      <c r="R222" s="255"/>
      <c r="S222" s="255"/>
    </row>
    <row r="223" spans="1:19" x14ac:dyDescent="0.45">
      <c r="A223" s="354"/>
      <c r="B223" s="255"/>
      <c r="C223" s="255"/>
      <c r="D223" s="255"/>
      <c r="E223" s="255"/>
      <c r="F223" s="255"/>
      <c r="G223" s="255"/>
      <c r="H223" s="255"/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  <c r="S223" s="255"/>
    </row>
    <row r="224" spans="1:19" x14ac:dyDescent="0.45">
      <c r="A224" s="354"/>
      <c r="B224" s="255"/>
      <c r="C224" s="255"/>
      <c r="D224" s="255"/>
      <c r="E224" s="255"/>
      <c r="F224" s="255"/>
      <c r="G224" s="255"/>
      <c r="H224" s="255"/>
      <c r="I224" s="255"/>
      <c r="J224" s="255"/>
      <c r="K224" s="255"/>
      <c r="L224" s="255"/>
      <c r="M224" s="255"/>
      <c r="N224" s="255"/>
      <c r="O224" s="255"/>
      <c r="P224" s="255"/>
      <c r="Q224" s="255"/>
      <c r="R224" s="255"/>
      <c r="S224" s="255"/>
    </row>
    <row r="225" spans="1:19" x14ac:dyDescent="0.45">
      <c r="A225" s="354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255"/>
    </row>
    <row r="226" spans="1:19" x14ac:dyDescent="0.45">
      <c r="A226" s="354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  <c r="S226" s="255"/>
    </row>
    <row r="227" spans="1:19" x14ac:dyDescent="0.45">
      <c r="A227" s="354"/>
      <c r="B227" s="255"/>
      <c r="C227" s="255"/>
      <c r="D227" s="255"/>
      <c r="E227" s="255"/>
      <c r="F227" s="255"/>
      <c r="G227" s="255"/>
      <c r="H227" s="255"/>
      <c r="I227" s="255"/>
      <c r="J227" s="255"/>
      <c r="K227" s="255"/>
      <c r="L227" s="255"/>
      <c r="M227" s="255"/>
      <c r="N227" s="255"/>
      <c r="O227" s="255"/>
      <c r="P227" s="255"/>
      <c r="Q227" s="255"/>
      <c r="R227" s="255"/>
      <c r="S227" s="255"/>
    </row>
    <row r="228" spans="1:19" x14ac:dyDescent="0.45">
      <c r="A228" s="354"/>
      <c r="B228" s="255"/>
      <c r="C228" s="255"/>
      <c r="D228" s="255"/>
      <c r="E228" s="255"/>
      <c r="F228" s="255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5"/>
      <c r="R228" s="255"/>
      <c r="S228" s="255"/>
    </row>
    <row r="229" spans="1:19" x14ac:dyDescent="0.45">
      <c r="A229" s="354"/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  <c r="S229" s="255"/>
    </row>
    <row r="230" spans="1:19" x14ac:dyDescent="0.45">
      <c r="A230" s="354"/>
      <c r="B230" s="255"/>
      <c r="C230" s="255"/>
      <c r="D230" s="255"/>
      <c r="E230" s="255"/>
      <c r="F230" s="255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  <c r="S230" s="255"/>
    </row>
    <row r="231" spans="1:19" x14ac:dyDescent="0.45">
      <c r="A231" s="354"/>
      <c r="B231" s="255"/>
      <c r="C231" s="255"/>
      <c r="D231" s="255"/>
      <c r="E231" s="255"/>
      <c r="F231" s="255"/>
      <c r="G231" s="255"/>
      <c r="H231" s="255"/>
      <c r="I231" s="255"/>
      <c r="J231" s="255"/>
      <c r="K231" s="255"/>
      <c r="L231" s="255"/>
      <c r="M231" s="255"/>
      <c r="N231" s="255"/>
      <c r="O231" s="255"/>
      <c r="P231" s="255"/>
      <c r="Q231" s="255"/>
      <c r="R231" s="255"/>
      <c r="S231" s="255"/>
    </row>
    <row r="232" spans="1:19" x14ac:dyDescent="0.45">
      <c r="A232" s="354"/>
      <c r="B232" s="255"/>
      <c r="C232" s="255"/>
      <c r="D232" s="255"/>
      <c r="E232" s="255"/>
      <c r="F232" s="255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  <c r="S232" s="255"/>
    </row>
    <row r="233" spans="1:19" x14ac:dyDescent="0.45">
      <c r="A233" s="354"/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  <c r="S233" s="255"/>
    </row>
    <row r="234" spans="1:19" x14ac:dyDescent="0.45">
      <c r="A234" s="354"/>
      <c r="B234" s="255"/>
      <c r="C234" s="255"/>
      <c r="D234" s="255"/>
      <c r="E234" s="255"/>
      <c r="F234" s="255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5"/>
      <c r="R234" s="255"/>
      <c r="S234" s="255"/>
    </row>
    <row r="235" spans="1:19" x14ac:dyDescent="0.45">
      <c r="A235" s="354"/>
      <c r="B235" s="255"/>
      <c r="C235" s="255"/>
      <c r="D235" s="255"/>
      <c r="E235" s="255"/>
      <c r="F235" s="255"/>
      <c r="G235" s="255"/>
      <c r="H235" s="255"/>
      <c r="I235" s="255"/>
      <c r="J235" s="255"/>
      <c r="K235" s="255"/>
      <c r="L235" s="255"/>
      <c r="M235" s="255"/>
      <c r="N235" s="255"/>
      <c r="O235" s="255"/>
      <c r="P235" s="255"/>
      <c r="Q235" s="255"/>
      <c r="R235" s="255"/>
      <c r="S235" s="255"/>
    </row>
    <row r="236" spans="1:19" x14ac:dyDescent="0.45">
      <c r="A236" s="354"/>
      <c r="B236" s="255"/>
      <c r="C236" s="255"/>
      <c r="D236" s="255"/>
      <c r="E236" s="255"/>
      <c r="F236" s="255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  <c r="S236" s="255"/>
    </row>
    <row r="237" spans="1:19" x14ac:dyDescent="0.45">
      <c r="A237" s="354"/>
      <c r="B237" s="255"/>
      <c r="C237" s="255"/>
      <c r="D237" s="255"/>
      <c r="E237" s="255"/>
      <c r="F237" s="255"/>
      <c r="G237" s="255"/>
      <c r="H237" s="255"/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  <c r="S237" s="255"/>
    </row>
    <row r="238" spans="1:19" x14ac:dyDescent="0.45">
      <c r="A238" s="354"/>
      <c r="B238" s="255"/>
      <c r="C238" s="255"/>
      <c r="D238" s="255"/>
      <c r="E238" s="255"/>
      <c r="F238" s="255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  <c r="S238" s="255"/>
    </row>
    <row r="239" spans="1:19" x14ac:dyDescent="0.45">
      <c r="A239" s="354"/>
      <c r="B239" s="255"/>
      <c r="C239" s="255"/>
      <c r="D239" s="255"/>
      <c r="E239" s="255"/>
      <c r="F239" s="255"/>
      <c r="G239" s="255"/>
      <c r="H239" s="255"/>
      <c r="I239" s="255"/>
      <c r="J239" s="255"/>
      <c r="K239" s="255"/>
      <c r="L239" s="255"/>
      <c r="M239" s="255"/>
      <c r="N239" s="255"/>
      <c r="O239" s="255"/>
      <c r="P239" s="255"/>
      <c r="Q239" s="255"/>
      <c r="R239" s="255"/>
      <c r="S239" s="255"/>
    </row>
    <row r="240" spans="1:19" x14ac:dyDescent="0.45">
      <c r="A240" s="354"/>
      <c r="B240" s="255"/>
      <c r="C240" s="255"/>
      <c r="D240" s="255"/>
      <c r="E240" s="255"/>
      <c r="F240" s="255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  <c r="S240" s="255"/>
    </row>
    <row r="241" spans="1:19" x14ac:dyDescent="0.45">
      <c r="A241" s="354"/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</row>
    <row r="242" spans="1:19" x14ac:dyDescent="0.45">
      <c r="A242" s="354"/>
      <c r="B242" s="255"/>
      <c r="C242" s="255"/>
      <c r="D242" s="255"/>
      <c r="E242" s="255"/>
      <c r="F242" s="255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5"/>
      <c r="R242" s="255"/>
      <c r="S242" s="255"/>
    </row>
    <row r="243" spans="1:19" x14ac:dyDescent="0.45">
      <c r="A243" s="354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  <c r="S243" s="255"/>
    </row>
    <row r="244" spans="1:19" x14ac:dyDescent="0.45">
      <c r="A244" s="354"/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5"/>
      <c r="S244" s="255"/>
    </row>
    <row r="245" spans="1:19" x14ac:dyDescent="0.45">
      <c r="A245" s="354"/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  <c r="S245" s="255"/>
    </row>
    <row r="246" spans="1:19" x14ac:dyDescent="0.45">
      <c r="A246" s="354"/>
      <c r="B246" s="255"/>
      <c r="C246" s="255"/>
      <c r="D246" s="255"/>
      <c r="E246" s="255"/>
      <c r="F246" s="255"/>
      <c r="G246" s="255"/>
      <c r="H246" s="255"/>
      <c r="I246" s="255"/>
      <c r="J246" s="255"/>
      <c r="K246" s="255"/>
      <c r="L246" s="255"/>
      <c r="M246" s="255"/>
      <c r="N246" s="255"/>
      <c r="O246" s="255"/>
      <c r="P246" s="255"/>
      <c r="Q246" s="255"/>
      <c r="R246" s="255"/>
      <c r="S246" s="255"/>
    </row>
    <row r="247" spans="1:19" x14ac:dyDescent="0.45">
      <c r="A247" s="354"/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5"/>
      <c r="R247" s="255"/>
      <c r="S247" s="255"/>
    </row>
    <row r="248" spans="1:19" x14ac:dyDescent="0.45">
      <c r="A248" s="354"/>
      <c r="B248" s="255"/>
      <c r="C248" s="255"/>
      <c r="D248" s="255"/>
      <c r="E248" s="255"/>
      <c r="F248" s="255"/>
      <c r="G248" s="255"/>
      <c r="H248" s="255"/>
      <c r="I248" s="255"/>
      <c r="J248" s="255"/>
      <c r="K248" s="255"/>
      <c r="L248" s="255"/>
      <c r="M248" s="255"/>
      <c r="N248" s="255"/>
      <c r="O248" s="255"/>
      <c r="P248" s="255"/>
      <c r="Q248" s="255"/>
      <c r="R248" s="255"/>
      <c r="S248" s="255"/>
    </row>
    <row r="249" spans="1:19" x14ac:dyDescent="0.45">
      <c r="A249" s="354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5"/>
      <c r="R249" s="255"/>
      <c r="S249" s="255"/>
    </row>
    <row r="250" spans="1:19" x14ac:dyDescent="0.45">
      <c r="A250" s="354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  <c r="S250" s="255"/>
    </row>
    <row r="251" spans="1:19" x14ac:dyDescent="0.45">
      <c r="A251" s="354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  <c r="S251" s="255"/>
    </row>
    <row r="252" spans="1:19" x14ac:dyDescent="0.45">
      <c r="A252" s="354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</row>
    <row r="253" spans="1:19" x14ac:dyDescent="0.45">
      <c r="A253" s="354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255"/>
    </row>
    <row r="254" spans="1:19" x14ac:dyDescent="0.45">
      <c r="A254" s="354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255"/>
    </row>
    <row r="255" spans="1:19" x14ac:dyDescent="0.45">
      <c r="A255" s="354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</row>
    <row r="256" spans="1:19" x14ac:dyDescent="0.45">
      <c r="A256" s="354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255"/>
    </row>
    <row r="257" spans="1:19" x14ac:dyDescent="0.45">
      <c r="A257" s="354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255"/>
    </row>
    <row r="258" spans="1:19" x14ac:dyDescent="0.45">
      <c r="A258" s="354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255"/>
    </row>
    <row r="259" spans="1:19" x14ac:dyDescent="0.45">
      <c r="A259" s="354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255"/>
    </row>
    <row r="260" spans="1:19" x14ac:dyDescent="0.45">
      <c r="A260" s="354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255"/>
    </row>
    <row r="261" spans="1:19" x14ac:dyDescent="0.45">
      <c r="A261" s="354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255"/>
    </row>
    <row r="262" spans="1:19" x14ac:dyDescent="0.45">
      <c r="A262" s="354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255"/>
    </row>
    <row r="263" spans="1:19" x14ac:dyDescent="0.45">
      <c r="A263" s="354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255"/>
    </row>
    <row r="264" spans="1:19" x14ac:dyDescent="0.45">
      <c r="A264" s="354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255"/>
    </row>
    <row r="265" spans="1:19" x14ac:dyDescent="0.45">
      <c r="A265" s="354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255"/>
    </row>
    <row r="266" spans="1:19" x14ac:dyDescent="0.45">
      <c r="A266" s="354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255"/>
    </row>
    <row r="267" spans="1:19" x14ac:dyDescent="0.45">
      <c r="A267" s="354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255"/>
    </row>
    <row r="268" spans="1:19" x14ac:dyDescent="0.45">
      <c r="A268" s="354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255"/>
    </row>
    <row r="269" spans="1:19" x14ac:dyDescent="0.45">
      <c r="A269" s="354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255"/>
    </row>
    <row r="270" spans="1:19" x14ac:dyDescent="0.45">
      <c r="A270" s="354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255"/>
    </row>
    <row r="271" spans="1:19" x14ac:dyDescent="0.45">
      <c r="A271" s="354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255"/>
    </row>
    <row r="272" spans="1:19" x14ac:dyDescent="0.45">
      <c r="A272" s="354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255"/>
    </row>
    <row r="273" spans="1:19" x14ac:dyDescent="0.45">
      <c r="A273" s="354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255"/>
    </row>
    <row r="274" spans="1:19" x14ac:dyDescent="0.45">
      <c r="A274" s="354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255"/>
    </row>
    <row r="275" spans="1:19" x14ac:dyDescent="0.45">
      <c r="A275" s="354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255"/>
    </row>
    <row r="276" spans="1:19" x14ac:dyDescent="0.45">
      <c r="A276" s="354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</row>
    <row r="277" spans="1:19" x14ac:dyDescent="0.45">
      <c r="A277" s="354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</row>
    <row r="278" spans="1:19" x14ac:dyDescent="0.45">
      <c r="A278" s="354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</row>
    <row r="279" spans="1:19" x14ac:dyDescent="0.45">
      <c r="A279" s="354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255"/>
    </row>
    <row r="280" spans="1:19" x14ac:dyDescent="0.45">
      <c r="A280" s="354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  <c r="S280" s="255"/>
    </row>
    <row r="281" spans="1:19" x14ac:dyDescent="0.45">
      <c r="A281" s="354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5"/>
      <c r="R281" s="255"/>
      <c r="S281" s="255"/>
    </row>
    <row r="282" spans="1:19" x14ac:dyDescent="0.45">
      <c r="A282" s="354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  <c r="S282" s="255"/>
    </row>
    <row r="283" spans="1:19" x14ac:dyDescent="0.45">
      <c r="A283" s="354"/>
      <c r="B283" s="255"/>
      <c r="C283" s="255"/>
      <c r="D283" s="255"/>
      <c r="E283" s="255"/>
      <c r="F283" s="255"/>
      <c r="G283" s="255"/>
      <c r="H283" s="255"/>
      <c r="I283" s="255"/>
      <c r="J283" s="255"/>
      <c r="K283" s="255"/>
      <c r="L283" s="255"/>
      <c r="M283" s="255"/>
      <c r="N283" s="255"/>
      <c r="O283" s="255"/>
      <c r="P283" s="255"/>
      <c r="Q283" s="255"/>
      <c r="R283" s="255"/>
      <c r="S283" s="255"/>
    </row>
    <row r="284" spans="1:19" x14ac:dyDescent="0.45">
      <c r="A284" s="354"/>
      <c r="B284" s="255"/>
      <c r="C284" s="255"/>
      <c r="D284" s="255"/>
      <c r="E284" s="255"/>
      <c r="F284" s="255"/>
      <c r="G284" s="255"/>
      <c r="H284" s="255"/>
      <c r="I284" s="255"/>
      <c r="J284" s="255"/>
      <c r="K284" s="255"/>
      <c r="L284" s="255"/>
      <c r="M284" s="255"/>
      <c r="N284" s="255"/>
      <c r="O284" s="255"/>
      <c r="P284" s="255"/>
      <c r="Q284" s="255"/>
      <c r="R284" s="255"/>
      <c r="S284" s="255"/>
    </row>
    <row r="285" spans="1:19" x14ac:dyDescent="0.45">
      <c r="A285" s="354"/>
      <c r="B285" s="255"/>
      <c r="C285" s="255"/>
      <c r="D285" s="255"/>
      <c r="E285" s="255"/>
      <c r="F285" s="255"/>
      <c r="G285" s="255"/>
      <c r="H285" s="255"/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  <c r="S285" s="255"/>
    </row>
    <row r="286" spans="1:19" x14ac:dyDescent="0.45">
      <c r="A286" s="354"/>
      <c r="B286" s="255"/>
      <c r="C286" s="255"/>
      <c r="D286" s="255"/>
      <c r="E286" s="255"/>
      <c r="F286" s="255"/>
      <c r="G286" s="255"/>
      <c r="H286" s="255"/>
      <c r="I286" s="255"/>
      <c r="J286" s="255"/>
      <c r="K286" s="255"/>
      <c r="L286" s="255"/>
      <c r="M286" s="255"/>
      <c r="N286" s="255"/>
      <c r="O286" s="255"/>
      <c r="P286" s="255"/>
      <c r="Q286" s="255"/>
      <c r="R286" s="255"/>
      <c r="S286" s="255"/>
    </row>
    <row r="287" spans="1:19" x14ac:dyDescent="0.45">
      <c r="A287" s="354"/>
      <c r="B287" s="255"/>
      <c r="C287" s="255"/>
      <c r="D287" s="255"/>
      <c r="E287" s="255"/>
      <c r="F287" s="255"/>
      <c r="G287" s="255"/>
      <c r="H287" s="255"/>
      <c r="I287" s="255"/>
      <c r="J287" s="255"/>
      <c r="K287" s="255"/>
      <c r="L287" s="255"/>
      <c r="M287" s="255"/>
      <c r="N287" s="255"/>
      <c r="O287" s="255"/>
      <c r="P287" s="255"/>
      <c r="Q287" s="255"/>
      <c r="R287" s="255"/>
      <c r="S287" s="255"/>
    </row>
    <row r="288" spans="1:19" x14ac:dyDescent="0.45">
      <c r="A288" s="354"/>
    </row>
    <row r="289" spans="1:1" x14ac:dyDescent="0.45">
      <c r="A289" s="354"/>
    </row>
    <row r="290" spans="1:1" x14ac:dyDescent="0.45">
      <c r="A290" s="354"/>
    </row>
    <row r="291" spans="1:1" x14ac:dyDescent="0.45">
      <c r="A291" s="354"/>
    </row>
    <row r="292" spans="1:1" x14ac:dyDescent="0.45">
      <c r="A292" s="354"/>
    </row>
    <row r="293" spans="1:1" x14ac:dyDescent="0.45">
      <c r="A293" s="354"/>
    </row>
    <row r="294" spans="1:1" x14ac:dyDescent="0.45">
      <c r="A294" s="354"/>
    </row>
    <row r="295" spans="1:1" x14ac:dyDescent="0.45">
      <c r="A295" s="354"/>
    </row>
    <row r="296" spans="1:1" x14ac:dyDescent="0.45">
      <c r="A296" s="354"/>
    </row>
  </sheetData>
  <mergeCells count="21">
    <mergeCell ref="B1:E1"/>
    <mergeCell ref="H1:M1"/>
    <mergeCell ref="N1:Q1"/>
    <mergeCell ref="H30:H31"/>
    <mergeCell ref="J30:J31"/>
    <mergeCell ref="N9:Q9"/>
    <mergeCell ref="N14:Q14"/>
    <mergeCell ref="N17:Q17"/>
    <mergeCell ref="A3:A4"/>
    <mergeCell ref="A5:A6"/>
    <mergeCell ref="A7:A8"/>
    <mergeCell ref="B9:E9"/>
    <mergeCell ref="C53:G53"/>
    <mergeCell ref="B14:E14"/>
    <mergeCell ref="A16:A17"/>
    <mergeCell ref="B17:E17"/>
    <mergeCell ref="A34:A35"/>
    <mergeCell ref="A36:A37"/>
    <mergeCell ref="A39:A40"/>
    <mergeCell ref="A12:A13"/>
    <mergeCell ref="A9:A10"/>
  </mergeCells>
  <pageMargins left="0.7" right="0.7" top="0.75" bottom="0.75" header="0.3" footer="0.3"/>
  <pageSetup paperSize="9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80"/>
  <sheetViews>
    <sheetView zoomScale="85" zoomScaleNormal="85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J46" sqref="J46"/>
    </sheetView>
  </sheetViews>
  <sheetFormatPr defaultColWidth="8.84375" defaultRowHeight="14.15" x14ac:dyDescent="0.35"/>
  <cols>
    <col min="1" max="1" width="10.15234375" style="423" bestFit="1" customWidth="1"/>
    <col min="2" max="2" width="10.53515625" style="65" customWidth="1"/>
    <col min="3" max="6" width="8.84375" style="423"/>
    <col min="7" max="7" width="12.84375" style="423" customWidth="1"/>
    <col min="8" max="8" width="8.84375" style="423"/>
    <col min="9" max="9" width="9.69140625" style="423" customWidth="1"/>
    <col min="10" max="10" width="17.3046875" style="423" bestFit="1" customWidth="1"/>
    <col min="11" max="17" width="8.84375" style="423"/>
    <col min="18" max="18" width="12.3828125" style="423" customWidth="1"/>
    <col min="19" max="19" width="15.3046875" style="423" bestFit="1" customWidth="1"/>
    <col min="20" max="24" width="8.84375" style="423"/>
    <col min="25" max="25" width="14.3046875" style="423" customWidth="1"/>
    <col min="26" max="27" width="8.84375" style="423"/>
    <col min="28" max="28" width="15.3046875" style="423" customWidth="1"/>
    <col min="29" max="36" width="8.84375" style="423"/>
    <col min="37" max="37" width="15.3046875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202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203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14.6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24" t="s">
        <v>199</v>
      </c>
      <c r="H2" s="424" t="s">
        <v>200</v>
      </c>
      <c r="I2" s="424" t="s">
        <v>201</v>
      </c>
      <c r="J2" s="424" t="s">
        <v>204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425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14.6" thickTop="1" x14ac:dyDescent="0.35">
      <c r="A3" s="1478">
        <v>44440</v>
      </c>
      <c r="B3" s="428">
        <v>1</v>
      </c>
      <c r="C3" s="11"/>
      <c r="D3" s="12"/>
      <c r="E3" s="12"/>
      <c r="F3" s="431">
        <v>10</v>
      </c>
      <c r="G3" s="438"/>
      <c r="H3" s="12"/>
      <c r="I3" s="12"/>
      <c r="J3" s="431" t="s">
        <v>205</v>
      </c>
      <c r="L3" s="441"/>
      <c r="M3" s="442"/>
      <c r="N3" s="442"/>
      <c r="O3" s="431">
        <v>10</v>
      </c>
      <c r="P3" s="443"/>
      <c r="Q3" s="12"/>
      <c r="R3" s="12"/>
      <c r="S3" s="431" t="s">
        <v>205</v>
      </c>
      <c r="U3" s="441"/>
      <c r="V3" s="442"/>
      <c r="W3" s="442"/>
      <c r="X3" s="431">
        <v>10</v>
      </c>
      <c r="Y3" s="443"/>
      <c r="Z3" s="12"/>
      <c r="AA3" s="12"/>
      <c r="AB3" s="431" t="s">
        <v>208</v>
      </c>
      <c r="AD3" s="441"/>
      <c r="AE3" s="442"/>
      <c r="AF3" s="442"/>
      <c r="AG3" s="431">
        <v>10</v>
      </c>
      <c r="AH3" s="443"/>
      <c r="AI3" s="12"/>
      <c r="AJ3" s="12"/>
      <c r="AK3" s="431" t="s">
        <v>205</v>
      </c>
    </row>
    <row r="4" spans="1:37" x14ac:dyDescent="0.35">
      <c r="A4" s="1477"/>
      <c r="B4" s="426">
        <v>2</v>
      </c>
      <c r="C4" s="432"/>
      <c r="D4" s="433"/>
      <c r="E4" s="433"/>
      <c r="F4" s="434"/>
      <c r="G4" s="439"/>
      <c r="H4" s="433"/>
      <c r="I4" s="433"/>
      <c r="J4" s="434"/>
      <c r="L4" s="439"/>
      <c r="M4" s="433"/>
      <c r="N4" s="433"/>
      <c r="O4" s="434"/>
      <c r="P4" s="444"/>
      <c r="Q4" s="433"/>
      <c r="R4" s="433"/>
      <c r="S4" s="434"/>
      <c r="U4" s="439">
        <v>13</v>
      </c>
      <c r="V4" s="433"/>
      <c r="W4" s="433">
        <v>120</v>
      </c>
      <c r="X4" s="434"/>
      <c r="Y4" s="444" t="s">
        <v>207</v>
      </c>
      <c r="Z4" s="433"/>
      <c r="AA4" s="433" t="s">
        <v>152</v>
      </c>
      <c r="AB4" s="434"/>
      <c r="AD4" s="439"/>
      <c r="AE4" s="433"/>
      <c r="AF4" s="433"/>
      <c r="AG4" s="434"/>
      <c r="AH4" s="444"/>
      <c r="AI4" s="433"/>
      <c r="AJ4" s="433"/>
      <c r="AK4" s="434"/>
    </row>
    <row r="5" spans="1:37" x14ac:dyDescent="0.35">
      <c r="A5" s="1476">
        <v>44441</v>
      </c>
      <c r="B5" s="426">
        <v>1</v>
      </c>
      <c r="C5" s="432"/>
      <c r="D5" s="433"/>
      <c r="E5" s="433"/>
      <c r="F5" s="434"/>
      <c r="G5" s="439"/>
      <c r="H5" s="433"/>
      <c r="I5" s="433"/>
      <c r="J5" s="434"/>
      <c r="L5" s="439"/>
      <c r="M5" s="433"/>
      <c r="N5" s="433"/>
      <c r="O5" s="434"/>
      <c r="P5" s="444"/>
      <c r="Q5" s="433"/>
      <c r="R5" s="433"/>
      <c r="S5" s="434"/>
      <c r="U5" s="439"/>
      <c r="V5" s="433"/>
      <c r="W5" s="433"/>
      <c r="X5" s="434"/>
      <c r="Y5" s="444"/>
      <c r="Z5" s="433"/>
      <c r="AA5" s="433"/>
      <c r="AB5" s="434"/>
      <c r="AD5" s="439"/>
      <c r="AE5" s="433"/>
      <c r="AF5" s="433"/>
      <c r="AG5" s="434"/>
      <c r="AH5" s="444"/>
      <c r="AI5" s="433"/>
      <c r="AJ5" s="433"/>
      <c r="AK5" s="434"/>
    </row>
    <row r="6" spans="1:37" x14ac:dyDescent="0.35">
      <c r="A6" s="1477"/>
      <c r="B6" s="426">
        <v>2</v>
      </c>
      <c r="C6" s="432"/>
      <c r="D6" s="433"/>
      <c r="E6" s="433"/>
      <c r="F6" s="434"/>
      <c r="G6" s="439"/>
      <c r="H6" s="433"/>
      <c r="I6" s="433"/>
      <c r="J6" s="434"/>
      <c r="L6" s="439"/>
      <c r="M6" s="433">
        <v>87</v>
      </c>
      <c r="N6" s="433"/>
      <c r="O6" s="434"/>
      <c r="P6" s="444"/>
      <c r="Q6" s="433" t="s">
        <v>209</v>
      </c>
      <c r="R6" s="433"/>
      <c r="S6" s="434"/>
      <c r="U6" s="439"/>
      <c r="V6" s="433"/>
      <c r="W6" s="433"/>
      <c r="X6" s="434"/>
      <c r="Y6" s="444"/>
      <c r="Z6" s="433"/>
      <c r="AA6" s="433"/>
      <c r="AB6" s="434"/>
      <c r="AD6" s="439"/>
      <c r="AE6" s="433"/>
      <c r="AF6" s="433"/>
      <c r="AG6" s="434"/>
      <c r="AH6" s="444"/>
      <c r="AI6" s="433"/>
      <c r="AJ6" s="433"/>
      <c r="AK6" s="434"/>
    </row>
    <row r="7" spans="1:37" x14ac:dyDescent="0.35">
      <c r="A7" s="1476">
        <v>44442</v>
      </c>
      <c r="B7" s="426">
        <v>1</v>
      </c>
      <c r="C7" s="432"/>
      <c r="D7" s="433"/>
      <c r="E7" s="433"/>
      <c r="F7" s="434"/>
      <c r="G7" s="439"/>
      <c r="H7" s="433"/>
      <c r="I7" s="433"/>
      <c r="J7" s="434"/>
      <c r="L7" s="439"/>
      <c r="M7" s="433"/>
      <c r="N7" s="433"/>
      <c r="O7" s="434"/>
      <c r="P7" s="444"/>
      <c r="Q7" s="433"/>
      <c r="R7" s="433"/>
      <c r="S7" s="434"/>
      <c r="U7" s="439"/>
      <c r="V7" s="433"/>
      <c r="W7" s="433"/>
      <c r="X7" s="434"/>
      <c r="Y7" s="444"/>
      <c r="Z7" s="433"/>
      <c r="AA7" s="433"/>
      <c r="AB7" s="434"/>
      <c r="AD7" s="439"/>
      <c r="AE7" s="433"/>
      <c r="AF7" s="433"/>
      <c r="AG7" s="434"/>
      <c r="AH7" s="444"/>
      <c r="AI7" s="433"/>
      <c r="AJ7" s="433"/>
      <c r="AK7" s="434"/>
    </row>
    <row r="8" spans="1:37" x14ac:dyDescent="0.35">
      <c r="A8" s="1477"/>
      <c r="B8" s="426">
        <v>2</v>
      </c>
      <c r="C8" s="432"/>
      <c r="D8" s="433"/>
      <c r="E8" s="433"/>
      <c r="F8" s="434"/>
      <c r="G8" s="439"/>
      <c r="H8" s="433"/>
      <c r="I8" s="433"/>
      <c r="J8" s="434"/>
      <c r="L8" s="439"/>
      <c r="M8" s="433"/>
      <c r="N8" s="433"/>
      <c r="O8" s="434"/>
      <c r="P8" s="444"/>
      <c r="Q8" s="433"/>
      <c r="R8" s="433"/>
      <c r="S8" s="434"/>
      <c r="U8" s="439"/>
      <c r="V8" s="433"/>
      <c r="W8" s="433"/>
      <c r="X8" s="434"/>
      <c r="Y8" s="444"/>
      <c r="Z8" s="433"/>
      <c r="AA8" s="433"/>
      <c r="AB8" s="434"/>
      <c r="AD8" s="439"/>
      <c r="AE8" s="433"/>
      <c r="AF8" s="433"/>
      <c r="AG8" s="434"/>
      <c r="AH8" s="444"/>
      <c r="AI8" s="433"/>
      <c r="AJ8" s="433"/>
      <c r="AK8" s="434"/>
    </row>
    <row r="9" spans="1:37" x14ac:dyDescent="0.35">
      <c r="A9" s="1476">
        <v>44443</v>
      </c>
      <c r="B9" s="426">
        <v>1</v>
      </c>
      <c r="C9" s="432"/>
      <c r="D9" s="433"/>
      <c r="E9" s="433"/>
      <c r="F9" s="434"/>
      <c r="G9" s="439"/>
      <c r="H9" s="433"/>
      <c r="I9" s="433"/>
      <c r="J9" s="434"/>
      <c r="L9" s="439"/>
      <c r="M9" s="433"/>
      <c r="N9" s="433"/>
      <c r="O9" s="434"/>
      <c r="P9" s="444"/>
      <c r="Q9" s="433"/>
      <c r="R9" s="433"/>
      <c r="S9" s="434"/>
      <c r="U9" s="439"/>
      <c r="V9" s="433"/>
      <c r="W9" s="433">
        <v>20</v>
      </c>
      <c r="X9" s="434"/>
      <c r="Y9" s="444"/>
      <c r="Z9" s="433"/>
      <c r="AA9" s="433" t="s">
        <v>152</v>
      </c>
      <c r="AB9" s="434"/>
      <c r="AD9" s="439"/>
      <c r="AE9" s="433"/>
      <c r="AF9" s="433"/>
      <c r="AG9" s="434"/>
      <c r="AH9" s="444"/>
      <c r="AI9" s="433"/>
      <c r="AJ9" s="433"/>
      <c r="AK9" s="434"/>
    </row>
    <row r="10" spans="1:37" x14ac:dyDescent="0.35">
      <c r="A10" s="1477"/>
      <c r="B10" s="426">
        <v>2</v>
      </c>
      <c r="C10" s="432"/>
      <c r="D10" s="433"/>
      <c r="E10" s="433">
        <v>10</v>
      </c>
      <c r="F10" s="434"/>
      <c r="G10" s="439"/>
      <c r="H10" s="433"/>
      <c r="I10" s="433" t="s">
        <v>152</v>
      </c>
      <c r="J10" s="434"/>
      <c r="L10" s="439"/>
      <c r="M10" s="433"/>
      <c r="N10" s="433"/>
      <c r="O10" s="434"/>
      <c r="P10" s="444"/>
      <c r="Q10" s="433"/>
      <c r="R10" s="433"/>
      <c r="S10" s="434"/>
      <c r="U10" s="439"/>
      <c r="V10" s="433"/>
      <c r="W10" s="433">
        <v>10</v>
      </c>
      <c r="X10" s="434"/>
      <c r="Y10" s="444"/>
      <c r="Z10" s="433"/>
      <c r="AA10" s="433" t="s">
        <v>152</v>
      </c>
      <c r="AB10" s="434"/>
      <c r="AD10" s="439"/>
      <c r="AE10" s="433"/>
      <c r="AF10" s="433"/>
      <c r="AG10" s="434"/>
      <c r="AH10" s="444"/>
      <c r="AI10" s="433"/>
      <c r="AJ10" s="433"/>
      <c r="AK10" s="434"/>
    </row>
    <row r="11" spans="1:37" x14ac:dyDescent="0.35">
      <c r="A11" s="1476">
        <v>44444</v>
      </c>
      <c r="B11" s="426">
        <v>1</v>
      </c>
      <c r="C11" s="432"/>
      <c r="D11" s="433"/>
      <c r="E11" s="433"/>
      <c r="F11" s="434"/>
      <c r="G11" s="439"/>
      <c r="H11" s="433"/>
      <c r="I11" s="433"/>
      <c r="J11" s="434"/>
      <c r="L11" s="439"/>
      <c r="M11" s="433"/>
      <c r="N11" s="433"/>
      <c r="O11" s="434"/>
      <c r="P11" s="444"/>
      <c r="Q11" s="433"/>
      <c r="R11" s="433"/>
      <c r="S11" s="434"/>
      <c r="U11" s="439"/>
      <c r="V11" s="433"/>
      <c r="W11" s="433"/>
      <c r="X11" s="434"/>
      <c r="Y11" s="444"/>
      <c r="Z11" s="433"/>
      <c r="AA11" s="433"/>
      <c r="AB11" s="434"/>
      <c r="AD11" s="439"/>
      <c r="AE11" s="433"/>
      <c r="AF11" s="433"/>
      <c r="AG11" s="434"/>
      <c r="AH11" s="444"/>
      <c r="AI11" s="433"/>
      <c r="AJ11" s="433"/>
      <c r="AK11" s="434"/>
    </row>
    <row r="12" spans="1:37" x14ac:dyDescent="0.35">
      <c r="A12" s="1477"/>
      <c r="B12" s="426">
        <v>2</v>
      </c>
      <c r="C12" s="432"/>
      <c r="D12" s="433"/>
      <c r="E12" s="433"/>
      <c r="F12" s="434"/>
      <c r="G12" s="439"/>
      <c r="H12" s="433"/>
      <c r="I12" s="433"/>
      <c r="J12" s="434"/>
      <c r="L12" s="439"/>
      <c r="M12" s="433"/>
      <c r="N12" s="433"/>
      <c r="O12" s="434"/>
      <c r="P12" s="444"/>
      <c r="Q12" s="433"/>
      <c r="R12" s="433"/>
      <c r="S12" s="434"/>
      <c r="U12" s="439"/>
      <c r="V12" s="433"/>
      <c r="W12" s="433"/>
      <c r="X12" s="434"/>
      <c r="Y12" s="444"/>
      <c r="Z12" s="433"/>
      <c r="AA12" s="433"/>
      <c r="AB12" s="434"/>
      <c r="AD12" s="439"/>
      <c r="AE12" s="433"/>
      <c r="AF12" s="433"/>
      <c r="AG12" s="434"/>
      <c r="AH12" s="444"/>
      <c r="AI12" s="433"/>
      <c r="AJ12" s="433"/>
      <c r="AK12" s="434"/>
    </row>
    <row r="13" spans="1:37" x14ac:dyDescent="0.35">
      <c r="A13" s="1476">
        <v>44445</v>
      </c>
      <c r="B13" s="426">
        <v>1</v>
      </c>
      <c r="C13" s="432"/>
      <c r="D13" s="433"/>
      <c r="E13" s="433"/>
      <c r="F13" s="434"/>
      <c r="G13" s="439"/>
      <c r="H13" s="433"/>
      <c r="I13" s="433"/>
      <c r="J13" s="434"/>
      <c r="L13" s="439"/>
      <c r="M13" s="433"/>
      <c r="N13" s="433"/>
      <c r="O13" s="434"/>
      <c r="P13" s="444"/>
      <c r="Q13" s="433"/>
      <c r="R13" s="433"/>
      <c r="S13" s="434"/>
      <c r="U13" s="439"/>
      <c r="V13" s="433"/>
      <c r="W13" s="433"/>
      <c r="X13" s="434"/>
      <c r="Y13" s="444"/>
      <c r="Z13" s="433"/>
      <c r="AA13" s="433"/>
      <c r="AB13" s="434"/>
      <c r="AD13" s="439"/>
      <c r="AE13" s="433"/>
      <c r="AF13" s="433"/>
      <c r="AG13" s="434"/>
      <c r="AH13" s="444"/>
      <c r="AI13" s="433"/>
      <c r="AJ13" s="433"/>
      <c r="AK13" s="434"/>
    </row>
    <row r="14" spans="1:37" x14ac:dyDescent="0.35">
      <c r="A14" s="1477"/>
      <c r="B14" s="426">
        <v>2</v>
      </c>
      <c r="C14" s="432"/>
      <c r="D14" s="433"/>
      <c r="E14" s="433"/>
      <c r="F14" s="434">
        <v>720</v>
      </c>
      <c r="G14" s="439"/>
      <c r="H14" s="433"/>
      <c r="I14" s="433"/>
      <c r="J14" s="434" t="s">
        <v>210</v>
      </c>
      <c r="L14" s="439"/>
      <c r="M14" s="433"/>
      <c r="N14" s="433"/>
      <c r="O14" s="434">
        <v>720</v>
      </c>
      <c r="P14" s="444"/>
      <c r="Q14" s="433"/>
      <c r="R14" s="433"/>
      <c r="S14" s="434" t="s">
        <v>210</v>
      </c>
      <c r="U14" s="439"/>
      <c r="V14" s="433"/>
      <c r="W14" s="433"/>
      <c r="X14" s="434">
        <v>720</v>
      </c>
      <c r="Y14" s="444"/>
      <c r="Z14" s="433"/>
      <c r="AA14" s="433"/>
      <c r="AB14" s="434" t="s">
        <v>210</v>
      </c>
      <c r="AD14" s="439"/>
      <c r="AE14" s="433"/>
      <c r="AF14" s="433"/>
      <c r="AG14" s="434">
        <v>720</v>
      </c>
      <c r="AH14" s="444"/>
      <c r="AI14" s="433"/>
      <c r="AJ14" s="433"/>
      <c r="AK14" s="434" t="s">
        <v>210</v>
      </c>
    </row>
    <row r="15" spans="1:37" x14ac:dyDescent="0.35">
      <c r="A15" s="1476">
        <v>44446</v>
      </c>
      <c r="B15" s="426">
        <v>1</v>
      </c>
      <c r="C15" s="432"/>
      <c r="D15" s="433"/>
      <c r="E15" s="433"/>
      <c r="F15" s="434">
        <v>720</v>
      </c>
      <c r="G15" s="439"/>
      <c r="H15" s="433"/>
      <c r="I15" s="433"/>
      <c r="J15" s="434" t="s">
        <v>210</v>
      </c>
      <c r="L15" s="439"/>
      <c r="M15" s="433"/>
      <c r="N15" s="433"/>
      <c r="O15" s="434">
        <v>720</v>
      </c>
      <c r="P15" s="439"/>
      <c r="Q15" s="433"/>
      <c r="R15" s="433"/>
      <c r="S15" s="434" t="s">
        <v>210</v>
      </c>
      <c r="U15" s="439"/>
      <c r="V15" s="433"/>
      <c r="W15" s="433"/>
      <c r="X15" s="434">
        <v>720</v>
      </c>
      <c r="Y15" s="439"/>
      <c r="Z15" s="433"/>
      <c r="AA15" s="433"/>
      <c r="AB15" s="434" t="s">
        <v>210</v>
      </c>
      <c r="AD15" s="439"/>
      <c r="AE15" s="433"/>
      <c r="AF15" s="433"/>
      <c r="AG15" s="434">
        <v>720</v>
      </c>
      <c r="AH15" s="439"/>
      <c r="AI15" s="433"/>
      <c r="AJ15" s="433"/>
      <c r="AK15" s="434" t="s">
        <v>210</v>
      </c>
    </row>
    <row r="16" spans="1:37" x14ac:dyDescent="0.35">
      <c r="A16" s="1477"/>
      <c r="B16" s="426">
        <v>2</v>
      </c>
      <c r="C16" s="432"/>
      <c r="D16" s="433"/>
      <c r="E16" s="433"/>
      <c r="F16" s="434">
        <v>720</v>
      </c>
      <c r="G16" s="439"/>
      <c r="H16" s="433"/>
      <c r="I16" s="433"/>
      <c r="J16" s="434" t="s">
        <v>210</v>
      </c>
      <c r="L16" s="439"/>
      <c r="M16" s="433"/>
      <c r="N16" s="433"/>
      <c r="O16" s="434">
        <v>720</v>
      </c>
      <c r="P16" s="439"/>
      <c r="Q16" s="433"/>
      <c r="R16" s="433"/>
      <c r="S16" s="434" t="s">
        <v>210</v>
      </c>
      <c r="U16" s="439"/>
      <c r="V16" s="433"/>
      <c r="W16" s="433"/>
      <c r="X16" s="434">
        <v>720</v>
      </c>
      <c r="Y16" s="439"/>
      <c r="Z16" s="433"/>
      <c r="AA16" s="433"/>
      <c r="AB16" s="434" t="s">
        <v>210</v>
      </c>
      <c r="AD16" s="439"/>
      <c r="AE16" s="433"/>
      <c r="AF16" s="433"/>
      <c r="AG16" s="434">
        <v>720</v>
      </c>
      <c r="AH16" s="439"/>
      <c r="AI16" s="433"/>
      <c r="AJ16" s="433"/>
      <c r="AK16" s="434" t="s">
        <v>210</v>
      </c>
    </row>
    <row r="17" spans="1:37" x14ac:dyDescent="0.35">
      <c r="A17" s="1476">
        <v>44447</v>
      </c>
      <c r="B17" s="426">
        <v>1</v>
      </c>
      <c r="C17" s="432"/>
      <c r="D17" s="433"/>
      <c r="E17" s="433"/>
      <c r="F17" s="434"/>
      <c r="G17" s="439"/>
      <c r="H17" s="433"/>
      <c r="I17" s="433"/>
      <c r="J17" s="434"/>
      <c r="L17" s="439"/>
      <c r="M17" s="433"/>
      <c r="N17" s="433"/>
      <c r="O17" s="434">
        <v>720</v>
      </c>
      <c r="P17" s="439"/>
      <c r="Q17" s="433"/>
      <c r="R17" s="433"/>
      <c r="S17" s="434" t="s">
        <v>210</v>
      </c>
      <c r="U17" s="439"/>
      <c r="V17" s="433"/>
      <c r="W17" s="433"/>
      <c r="X17" s="434">
        <v>720</v>
      </c>
      <c r="Y17" s="439"/>
      <c r="Z17" s="433"/>
      <c r="AA17" s="433"/>
      <c r="AB17" s="434" t="s">
        <v>210</v>
      </c>
      <c r="AD17" s="439"/>
      <c r="AE17" s="433"/>
      <c r="AF17" s="433"/>
      <c r="AG17" s="434">
        <v>720</v>
      </c>
      <c r="AH17" s="439"/>
      <c r="AI17" s="433"/>
      <c r="AJ17" s="433"/>
      <c r="AK17" s="434" t="s">
        <v>210</v>
      </c>
    </row>
    <row r="18" spans="1:37" x14ac:dyDescent="0.35">
      <c r="A18" s="1477"/>
      <c r="B18" s="426">
        <v>2</v>
      </c>
      <c r="C18" s="432"/>
      <c r="D18" s="433">
        <v>35</v>
      </c>
      <c r="E18" s="433"/>
      <c r="F18" s="434"/>
      <c r="G18" s="439"/>
      <c r="H18" s="433" t="s">
        <v>211</v>
      </c>
      <c r="I18" s="433"/>
      <c r="J18" s="434"/>
      <c r="L18" s="439"/>
      <c r="M18" s="433"/>
      <c r="N18" s="433"/>
      <c r="O18" s="434">
        <v>720</v>
      </c>
      <c r="P18" s="439"/>
      <c r="Q18" s="433"/>
      <c r="R18" s="433"/>
      <c r="S18" s="434" t="s">
        <v>210</v>
      </c>
      <c r="U18" s="439"/>
      <c r="V18" s="433"/>
      <c r="W18" s="433"/>
      <c r="X18" s="434">
        <v>720</v>
      </c>
      <c r="Y18" s="439"/>
      <c r="Z18" s="433"/>
      <c r="AA18" s="433"/>
      <c r="AB18" s="434" t="s">
        <v>210</v>
      </c>
      <c r="AD18" s="439"/>
      <c r="AE18" s="433"/>
      <c r="AF18" s="433"/>
      <c r="AG18" s="434">
        <v>720</v>
      </c>
      <c r="AH18" s="439"/>
      <c r="AI18" s="433"/>
      <c r="AJ18" s="433"/>
      <c r="AK18" s="434" t="s">
        <v>210</v>
      </c>
    </row>
    <row r="19" spans="1:37" x14ac:dyDescent="0.35">
      <c r="A19" s="1476">
        <v>44448</v>
      </c>
      <c r="B19" s="426">
        <v>1</v>
      </c>
      <c r="C19" s="432"/>
      <c r="D19" s="433"/>
      <c r="E19" s="433">
        <v>25</v>
      </c>
      <c r="F19" s="434"/>
      <c r="G19" s="439"/>
      <c r="H19" s="433"/>
      <c r="I19" s="433" t="s">
        <v>152</v>
      </c>
      <c r="J19" s="434"/>
      <c r="L19" s="439"/>
      <c r="M19" s="433"/>
      <c r="N19" s="433"/>
      <c r="O19" s="434">
        <v>720</v>
      </c>
      <c r="P19" s="439"/>
      <c r="Q19" s="433"/>
      <c r="R19" s="433"/>
      <c r="S19" s="434" t="s">
        <v>210</v>
      </c>
      <c r="U19" s="439"/>
      <c r="V19" s="433"/>
      <c r="W19" s="433"/>
      <c r="X19" s="434">
        <v>720</v>
      </c>
      <c r="Y19" s="439"/>
      <c r="Z19" s="433"/>
      <c r="AA19" s="433"/>
      <c r="AB19" s="434" t="s">
        <v>210</v>
      </c>
      <c r="AD19" s="439"/>
      <c r="AE19" s="433"/>
      <c r="AF19" s="433"/>
      <c r="AG19" s="434">
        <v>720</v>
      </c>
      <c r="AH19" s="439"/>
      <c r="AI19" s="433"/>
      <c r="AJ19" s="433"/>
      <c r="AK19" s="434" t="s">
        <v>210</v>
      </c>
    </row>
    <row r="20" spans="1:37" x14ac:dyDescent="0.35">
      <c r="A20" s="1477"/>
      <c r="B20" s="426">
        <v>2</v>
      </c>
      <c r="C20" s="432">
        <v>15</v>
      </c>
      <c r="D20" s="433"/>
      <c r="E20" s="433">
        <v>15</v>
      </c>
      <c r="F20" s="434"/>
      <c r="G20" s="446" t="s">
        <v>212</v>
      </c>
      <c r="H20" s="433"/>
      <c r="I20" s="433" t="s">
        <v>152</v>
      </c>
      <c r="J20" s="434"/>
      <c r="L20" s="439"/>
      <c r="M20" s="433"/>
      <c r="N20" s="433"/>
      <c r="O20" s="434">
        <v>720</v>
      </c>
      <c r="P20" s="439"/>
      <c r="Q20" s="433"/>
      <c r="R20" s="433"/>
      <c r="S20" s="434" t="s">
        <v>210</v>
      </c>
      <c r="U20" s="439"/>
      <c r="V20" s="433"/>
      <c r="W20" s="433"/>
      <c r="X20" s="434">
        <v>720</v>
      </c>
      <c r="Y20" s="439"/>
      <c r="Z20" s="433"/>
      <c r="AA20" s="433"/>
      <c r="AB20" s="434" t="s">
        <v>210</v>
      </c>
      <c r="AD20" s="439"/>
      <c r="AE20" s="433"/>
      <c r="AF20" s="433"/>
      <c r="AG20" s="434">
        <v>720</v>
      </c>
      <c r="AH20" s="439"/>
      <c r="AI20" s="433"/>
      <c r="AJ20" s="433"/>
      <c r="AK20" s="434" t="s">
        <v>210</v>
      </c>
    </row>
    <row r="21" spans="1:37" x14ac:dyDescent="0.35">
      <c r="A21" s="1476">
        <v>44449</v>
      </c>
      <c r="B21" s="426">
        <v>1</v>
      </c>
      <c r="C21" s="432"/>
      <c r="D21" s="433"/>
      <c r="E21" s="433"/>
      <c r="F21" s="434"/>
      <c r="G21" s="439"/>
      <c r="H21" s="433"/>
      <c r="I21" s="433"/>
      <c r="J21" s="434"/>
      <c r="L21" s="439"/>
      <c r="M21" s="433"/>
      <c r="N21" s="433"/>
      <c r="O21" s="434">
        <v>720</v>
      </c>
      <c r="P21" s="439"/>
      <c r="Q21" s="433"/>
      <c r="R21" s="433"/>
      <c r="S21" s="434" t="s">
        <v>210</v>
      </c>
      <c r="U21" s="439"/>
      <c r="V21" s="433"/>
      <c r="W21" s="433"/>
      <c r="X21" s="434">
        <v>720</v>
      </c>
      <c r="Y21" s="439"/>
      <c r="Z21" s="433"/>
      <c r="AA21" s="433"/>
      <c r="AB21" s="434" t="s">
        <v>210</v>
      </c>
      <c r="AD21" s="439"/>
      <c r="AE21" s="433"/>
      <c r="AF21" s="433"/>
      <c r="AG21" s="434">
        <v>720</v>
      </c>
      <c r="AH21" s="439"/>
      <c r="AI21" s="433"/>
      <c r="AJ21" s="433"/>
      <c r="AK21" s="434" t="s">
        <v>210</v>
      </c>
    </row>
    <row r="22" spans="1:37" x14ac:dyDescent="0.35">
      <c r="A22" s="1477"/>
      <c r="B22" s="426">
        <v>2</v>
      </c>
      <c r="C22" s="432"/>
      <c r="D22" s="433"/>
      <c r="E22" s="433">
        <v>15</v>
      </c>
      <c r="F22" s="434"/>
      <c r="G22" s="439"/>
      <c r="H22" s="433"/>
      <c r="I22" s="433" t="s">
        <v>152</v>
      </c>
      <c r="J22" s="434"/>
      <c r="L22" s="439"/>
      <c r="M22" s="433"/>
      <c r="N22" s="433"/>
      <c r="O22" s="434">
        <v>720</v>
      </c>
      <c r="P22" s="439"/>
      <c r="Q22" s="433"/>
      <c r="R22" s="433"/>
      <c r="S22" s="434" t="s">
        <v>210</v>
      </c>
      <c r="U22" s="439"/>
      <c r="V22" s="433"/>
      <c r="W22" s="433"/>
      <c r="X22" s="434">
        <v>720</v>
      </c>
      <c r="Y22" s="439"/>
      <c r="Z22" s="433"/>
      <c r="AA22" s="433"/>
      <c r="AB22" s="434" t="s">
        <v>210</v>
      </c>
      <c r="AD22" s="439"/>
      <c r="AE22" s="433"/>
      <c r="AF22" s="433"/>
      <c r="AG22" s="434">
        <v>720</v>
      </c>
      <c r="AH22" s="439"/>
      <c r="AI22" s="433"/>
      <c r="AJ22" s="433"/>
      <c r="AK22" s="434" t="s">
        <v>210</v>
      </c>
    </row>
    <row r="23" spans="1:37" x14ac:dyDescent="0.35">
      <c r="A23" s="1476">
        <v>44450</v>
      </c>
      <c r="B23" s="426">
        <v>1</v>
      </c>
      <c r="C23" s="432"/>
      <c r="D23" s="433">
        <v>7</v>
      </c>
      <c r="E23" s="433"/>
      <c r="F23" s="434"/>
      <c r="G23" s="439"/>
      <c r="H23" s="433" t="s">
        <v>213</v>
      </c>
      <c r="I23" s="433"/>
      <c r="J23" s="434"/>
      <c r="L23" s="439"/>
      <c r="M23" s="433"/>
      <c r="N23" s="433"/>
      <c r="O23" s="434">
        <v>720</v>
      </c>
      <c r="P23" s="439"/>
      <c r="Q23" s="433"/>
      <c r="R23" s="433"/>
      <c r="S23" s="434" t="s">
        <v>210</v>
      </c>
      <c r="U23" s="439"/>
      <c r="V23" s="433"/>
      <c r="W23" s="433"/>
      <c r="X23" s="434">
        <v>720</v>
      </c>
      <c r="Y23" s="439"/>
      <c r="Z23" s="433"/>
      <c r="AA23" s="433"/>
      <c r="AB23" s="434" t="s">
        <v>210</v>
      </c>
      <c r="AD23" s="439"/>
      <c r="AE23" s="433"/>
      <c r="AF23" s="433"/>
      <c r="AG23" s="434">
        <v>720</v>
      </c>
      <c r="AH23" s="439"/>
      <c r="AI23" s="433"/>
      <c r="AJ23" s="433"/>
      <c r="AK23" s="434" t="s">
        <v>210</v>
      </c>
    </row>
    <row r="24" spans="1:37" x14ac:dyDescent="0.35">
      <c r="A24" s="1477"/>
      <c r="B24" s="426">
        <v>2</v>
      </c>
      <c r="C24" s="432"/>
      <c r="D24" s="433"/>
      <c r="E24" s="433"/>
      <c r="F24" s="434"/>
      <c r="G24" s="439"/>
      <c r="H24" s="433"/>
      <c r="I24" s="433"/>
      <c r="J24" s="434"/>
      <c r="L24" s="439"/>
      <c r="M24" s="433"/>
      <c r="N24" s="433"/>
      <c r="O24" s="434">
        <v>720</v>
      </c>
      <c r="P24" s="439"/>
      <c r="Q24" s="433"/>
      <c r="R24" s="433"/>
      <c r="S24" s="434" t="s">
        <v>210</v>
      </c>
      <c r="U24" s="439"/>
      <c r="V24" s="433"/>
      <c r="W24" s="433"/>
      <c r="X24" s="434">
        <v>720</v>
      </c>
      <c r="Y24" s="439"/>
      <c r="Z24" s="433"/>
      <c r="AA24" s="433"/>
      <c r="AB24" s="434" t="s">
        <v>210</v>
      </c>
      <c r="AD24" s="439"/>
      <c r="AE24" s="433"/>
      <c r="AF24" s="433"/>
      <c r="AG24" s="434">
        <v>720</v>
      </c>
      <c r="AH24" s="439"/>
      <c r="AI24" s="433"/>
      <c r="AJ24" s="433"/>
      <c r="AK24" s="434" t="s">
        <v>210</v>
      </c>
    </row>
    <row r="25" spans="1:37" x14ac:dyDescent="0.35">
      <c r="A25" s="1476">
        <v>44451</v>
      </c>
      <c r="B25" s="426">
        <v>1</v>
      </c>
      <c r="C25" s="432"/>
      <c r="D25" s="433"/>
      <c r="E25" s="433"/>
      <c r="F25" s="434"/>
      <c r="G25" s="439"/>
      <c r="H25" s="433"/>
      <c r="I25" s="433"/>
      <c r="J25" s="434"/>
      <c r="L25" s="439"/>
      <c r="M25" s="433"/>
      <c r="N25" s="433"/>
      <c r="O25" s="434">
        <v>720</v>
      </c>
      <c r="P25" s="439"/>
      <c r="Q25" s="433"/>
      <c r="R25" s="433"/>
      <c r="S25" s="434" t="s">
        <v>210</v>
      </c>
      <c r="U25" s="439"/>
      <c r="V25" s="433"/>
      <c r="W25" s="433"/>
      <c r="X25" s="434">
        <v>720</v>
      </c>
      <c r="Y25" s="439"/>
      <c r="Z25" s="433"/>
      <c r="AA25" s="433"/>
      <c r="AB25" s="434" t="s">
        <v>210</v>
      </c>
      <c r="AD25" s="439"/>
      <c r="AE25" s="433"/>
      <c r="AF25" s="433"/>
      <c r="AG25" s="434">
        <v>720</v>
      </c>
      <c r="AH25" s="439"/>
      <c r="AI25" s="433"/>
      <c r="AJ25" s="433"/>
      <c r="AK25" s="434" t="s">
        <v>210</v>
      </c>
    </row>
    <row r="26" spans="1:37" x14ac:dyDescent="0.35">
      <c r="A26" s="1477"/>
      <c r="B26" s="426">
        <v>2</v>
      </c>
      <c r="C26" s="432"/>
      <c r="D26" s="433"/>
      <c r="E26" s="433"/>
      <c r="F26" s="434">
        <v>540</v>
      </c>
      <c r="G26" s="439"/>
      <c r="H26" s="433"/>
      <c r="I26" s="433"/>
      <c r="J26" s="434" t="s">
        <v>210</v>
      </c>
      <c r="L26" s="439"/>
      <c r="M26" s="433"/>
      <c r="N26" s="433"/>
      <c r="O26" s="434">
        <v>720</v>
      </c>
      <c r="P26" s="439"/>
      <c r="Q26" s="433"/>
      <c r="R26" s="433"/>
      <c r="S26" s="434" t="s">
        <v>210</v>
      </c>
      <c r="U26" s="439"/>
      <c r="V26" s="433"/>
      <c r="W26" s="433"/>
      <c r="X26" s="434">
        <v>420</v>
      </c>
      <c r="Y26" s="439"/>
      <c r="Z26" s="433"/>
      <c r="AA26" s="433"/>
      <c r="AB26" s="434" t="s">
        <v>210</v>
      </c>
      <c r="AD26" s="439"/>
      <c r="AE26" s="433"/>
      <c r="AF26" s="433"/>
      <c r="AG26" s="434">
        <v>720</v>
      </c>
      <c r="AH26" s="439"/>
      <c r="AI26" s="433"/>
      <c r="AJ26" s="433"/>
      <c r="AK26" s="434" t="s">
        <v>210</v>
      </c>
    </row>
    <row r="27" spans="1:37" x14ac:dyDescent="0.35">
      <c r="A27" s="1476">
        <v>44452</v>
      </c>
      <c r="B27" s="426">
        <v>1</v>
      </c>
      <c r="C27" s="432"/>
      <c r="D27" s="433"/>
      <c r="E27" s="433"/>
      <c r="F27" s="434">
        <v>720</v>
      </c>
      <c r="G27" s="439"/>
      <c r="H27" s="433"/>
      <c r="I27" s="433"/>
      <c r="J27" s="434" t="s">
        <v>210</v>
      </c>
      <c r="L27" s="439"/>
      <c r="M27" s="433"/>
      <c r="N27" s="433"/>
      <c r="O27" s="434">
        <v>720</v>
      </c>
      <c r="P27" s="439"/>
      <c r="Q27" s="433"/>
      <c r="R27" s="433"/>
      <c r="S27" s="434" t="s">
        <v>210</v>
      </c>
      <c r="U27" s="439"/>
      <c r="V27" s="433"/>
      <c r="W27" s="433"/>
      <c r="X27" s="434">
        <v>240</v>
      </c>
      <c r="Y27" s="444"/>
      <c r="Z27" s="433"/>
      <c r="AA27" s="433"/>
      <c r="AB27" s="434" t="s">
        <v>210</v>
      </c>
      <c r="AD27" s="439"/>
      <c r="AE27" s="433"/>
      <c r="AF27" s="433"/>
      <c r="AG27" s="434">
        <v>720</v>
      </c>
      <c r="AH27" s="439"/>
      <c r="AI27" s="433"/>
      <c r="AJ27" s="433"/>
      <c r="AK27" s="434" t="s">
        <v>210</v>
      </c>
    </row>
    <row r="28" spans="1:37" x14ac:dyDescent="0.35">
      <c r="A28" s="1477"/>
      <c r="B28" s="426">
        <v>2</v>
      </c>
      <c r="C28" s="432"/>
      <c r="D28" s="433"/>
      <c r="E28" s="433"/>
      <c r="F28" s="434">
        <v>360</v>
      </c>
      <c r="G28" s="439"/>
      <c r="H28" s="433"/>
      <c r="I28" s="433"/>
      <c r="J28" s="434" t="s">
        <v>210</v>
      </c>
      <c r="L28" s="439"/>
      <c r="M28" s="433">
        <v>60</v>
      </c>
      <c r="N28" s="433"/>
      <c r="O28" s="434">
        <v>360</v>
      </c>
      <c r="P28" s="444"/>
      <c r="Q28" s="433" t="s">
        <v>214</v>
      </c>
      <c r="R28" s="433"/>
      <c r="S28" s="434" t="s">
        <v>210</v>
      </c>
      <c r="U28" s="439"/>
      <c r="V28" s="433"/>
      <c r="W28" s="433"/>
      <c r="X28" s="434">
        <v>120</v>
      </c>
      <c r="Y28" s="444"/>
      <c r="Z28" s="433"/>
      <c r="AA28" s="433"/>
      <c r="AB28" s="434" t="s">
        <v>210</v>
      </c>
      <c r="AD28" s="439"/>
      <c r="AE28" s="433"/>
      <c r="AF28" s="433"/>
      <c r="AG28" s="434">
        <v>360</v>
      </c>
      <c r="AH28" s="444"/>
      <c r="AI28" s="433"/>
      <c r="AJ28" s="433"/>
      <c r="AK28" s="434" t="s">
        <v>210</v>
      </c>
    </row>
    <row r="29" spans="1:37" x14ac:dyDescent="0.35">
      <c r="A29" s="1476">
        <v>44453</v>
      </c>
      <c r="B29" s="426">
        <v>1</v>
      </c>
      <c r="C29" s="432"/>
      <c r="D29" s="433">
        <v>10</v>
      </c>
      <c r="E29" s="433">
        <v>35</v>
      </c>
      <c r="F29" s="434"/>
      <c r="G29" s="439"/>
      <c r="H29" s="433" t="s">
        <v>213</v>
      </c>
      <c r="I29" s="433" t="s">
        <v>152</v>
      </c>
      <c r="J29" s="434"/>
      <c r="L29" s="439"/>
      <c r="M29" s="433">
        <v>10</v>
      </c>
      <c r="N29" s="433"/>
      <c r="O29" s="434"/>
      <c r="P29" s="444"/>
      <c r="Q29" s="433" t="s">
        <v>213</v>
      </c>
      <c r="R29" s="433"/>
      <c r="S29" s="434"/>
      <c r="U29" s="439"/>
      <c r="V29" s="433"/>
      <c r="W29" s="433"/>
      <c r="X29" s="434"/>
      <c r="Y29" s="444"/>
      <c r="Z29" s="433"/>
      <c r="AA29" s="433"/>
      <c r="AB29" s="434"/>
      <c r="AD29" s="439"/>
      <c r="AE29" s="433"/>
      <c r="AF29" s="433"/>
      <c r="AG29" s="434"/>
      <c r="AH29" s="444"/>
      <c r="AI29" s="433"/>
      <c r="AJ29" s="433"/>
      <c r="AK29" s="434"/>
    </row>
    <row r="30" spans="1:37" x14ac:dyDescent="0.35">
      <c r="A30" s="1477"/>
      <c r="B30" s="426">
        <v>2</v>
      </c>
      <c r="C30" s="432"/>
      <c r="D30" s="433"/>
      <c r="E30" s="433"/>
      <c r="F30" s="434"/>
      <c r="G30" s="439"/>
      <c r="H30" s="433"/>
      <c r="I30" s="433"/>
      <c r="J30" s="434"/>
      <c r="L30" s="439"/>
      <c r="M30" s="433"/>
      <c r="N30" s="433"/>
      <c r="O30" s="434"/>
      <c r="P30" s="444"/>
      <c r="Q30" s="433"/>
      <c r="R30" s="433"/>
      <c r="S30" s="434"/>
      <c r="U30" s="439"/>
      <c r="V30" s="433"/>
      <c r="W30" s="433">
        <v>10</v>
      </c>
      <c r="X30" s="434"/>
      <c r="Y30" s="444"/>
      <c r="Z30" s="433"/>
      <c r="AA30" s="433" t="s">
        <v>152</v>
      </c>
      <c r="AB30" s="434"/>
      <c r="AD30" s="439"/>
      <c r="AE30" s="433">
        <v>15</v>
      </c>
      <c r="AF30" s="433"/>
      <c r="AG30" s="434"/>
      <c r="AH30" s="444"/>
      <c r="AJ30" s="433"/>
      <c r="AK30" s="434"/>
    </row>
    <row r="31" spans="1:37" x14ac:dyDescent="0.35">
      <c r="A31" s="1476">
        <v>44454</v>
      </c>
      <c r="B31" s="426">
        <v>1</v>
      </c>
      <c r="C31" s="432">
        <v>30</v>
      </c>
      <c r="D31" s="433"/>
      <c r="E31" s="433"/>
      <c r="F31" s="434"/>
      <c r="G31" s="439" t="s">
        <v>215</v>
      </c>
      <c r="H31" s="433"/>
      <c r="I31" s="433"/>
      <c r="J31" s="434"/>
      <c r="L31" s="439"/>
      <c r="M31" s="433"/>
      <c r="N31" s="433"/>
      <c r="O31" s="434"/>
      <c r="P31" s="444"/>
      <c r="Q31" s="433"/>
      <c r="R31" s="433"/>
      <c r="S31" s="434"/>
      <c r="U31" s="439"/>
      <c r="V31" s="433"/>
      <c r="W31" s="433"/>
      <c r="X31" s="434"/>
      <c r="Y31" s="444"/>
      <c r="Z31" s="433"/>
      <c r="AA31" s="433"/>
      <c r="AB31" s="434"/>
      <c r="AD31" s="439"/>
      <c r="AE31" s="433"/>
      <c r="AF31" s="433"/>
      <c r="AG31" s="434"/>
      <c r="AH31" s="444"/>
      <c r="AI31" s="433" t="s">
        <v>224</v>
      </c>
      <c r="AJ31" s="433"/>
      <c r="AK31" s="434"/>
    </row>
    <row r="32" spans="1:37" x14ac:dyDescent="0.35">
      <c r="A32" s="1477"/>
      <c r="B32" s="426">
        <v>2</v>
      </c>
      <c r="C32" s="432"/>
      <c r="D32" s="433"/>
      <c r="E32" s="433">
        <v>30</v>
      </c>
      <c r="F32" s="434"/>
      <c r="G32" s="439"/>
      <c r="H32" s="433"/>
      <c r="I32" s="433" t="s">
        <v>152</v>
      </c>
      <c r="J32" s="434"/>
      <c r="L32" s="439"/>
      <c r="M32" s="433"/>
      <c r="N32" s="433"/>
      <c r="O32" s="434"/>
      <c r="P32" s="444"/>
      <c r="Q32" s="433"/>
      <c r="R32" s="433"/>
      <c r="S32" s="434"/>
      <c r="U32" s="439"/>
      <c r="V32" s="433"/>
      <c r="W32" s="433">
        <v>15</v>
      </c>
      <c r="X32" s="434"/>
      <c r="Y32" s="444"/>
      <c r="Z32" s="433"/>
      <c r="AA32" s="433" t="s">
        <v>152</v>
      </c>
      <c r="AB32" s="434"/>
      <c r="AD32" s="439">
        <v>30</v>
      </c>
      <c r="AE32" s="433"/>
      <c r="AF32" s="433"/>
      <c r="AG32" s="434"/>
      <c r="AH32" s="444" t="s">
        <v>216</v>
      </c>
      <c r="AI32" s="433"/>
      <c r="AJ32" s="433"/>
      <c r="AK32" s="434"/>
    </row>
    <row r="33" spans="1:37" x14ac:dyDescent="0.35">
      <c r="A33" s="1476">
        <v>44455</v>
      </c>
      <c r="B33" s="426">
        <v>1</v>
      </c>
      <c r="C33" s="432"/>
      <c r="D33" s="433"/>
      <c r="E33" s="433">
        <v>15</v>
      </c>
      <c r="F33" s="434"/>
      <c r="G33" s="439"/>
      <c r="H33" s="433"/>
      <c r="I33" s="433" t="s">
        <v>152</v>
      </c>
      <c r="J33" s="434"/>
      <c r="L33" s="439"/>
      <c r="M33" s="433"/>
      <c r="N33" s="433"/>
      <c r="O33" s="434"/>
      <c r="P33" s="444"/>
      <c r="Q33" s="433"/>
      <c r="R33" s="433"/>
      <c r="S33" s="434"/>
      <c r="U33" s="439"/>
      <c r="V33" s="433"/>
      <c r="W33" s="433"/>
      <c r="X33" s="434"/>
      <c r="Y33" s="444"/>
      <c r="Z33" s="433"/>
      <c r="AA33" s="433"/>
      <c r="AB33" s="434"/>
      <c r="AD33" s="439"/>
      <c r="AE33" s="433"/>
      <c r="AF33" s="433"/>
      <c r="AG33" s="434"/>
      <c r="AH33" s="444"/>
      <c r="AI33" s="433"/>
      <c r="AJ33" s="433"/>
      <c r="AK33" s="434"/>
    </row>
    <row r="34" spans="1:37" x14ac:dyDescent="0.35">
      <c r="A34" s="1477"/>
      <c r="B34" s="426">
        <v>2</v>
      </c>
      <c r="C34" s="432"/>
      <c r="D34" s="433"/>
      <c r="E34" s="433"/>
      <c r="F34" s="434"/>
      <c r="G34" s="439"/>
      <c r="H34" s="433"/>
      <c r="I34" s="433"/>
      <c r="J34" s="434"/>
      <c r="L34" s="439"/>
      <c r="M34" s="433"/>
      <c r="N34" s="433"/>
      <c r="O34" s="434"/>
      <c r="P34" s="444"/>
      <c r="Q34" s="433"/>
      <c r="R34" s="433"/>
      <c r="S34" s="434"/>
      <c r="U34" s="439"/>
      <c r="V34" s="433"/>
      <c r="W34" s="433"/>
      <c r="X34" s="434"/>
      <c r="Y34" s="444"/>
      <c r="Z34" s="433"/>
      <c r="AA34" s="433"/>
      <c r="AB34" s="434"/>
      <c r="AD34" s="439"/>
      <c r="AE34" s="433"/>
      <c r="AF34" s="433"/>
      <c r="AG34" s="434"/>
      <c r="AH34" s="444"/>
      <c r="AI34" s="433"/>
      <c r="AJ34" s="433"/>
      <c r="AK34" s="434"/>
    </row>
    <row r="35" spans="1:37" x14ac:dyDescent="0.35">
      <c r="A35" s="1476">
        <v>44456</v>
      </c>
      <c r="B35" s="426">
        <v>1</v>
      </c>
      <c r="C35" s="432"/>
      <c r="D35" s="433"/>
      <c r="E35" s="433"/>
      <c r="F35" s="434"/>
      <c r="G35" s="439"/>
      <c r="H35" s="433"/>
      <c r="I35" s="433"/>
      <c r="J35" s="434"/>
      <c r="L35" s="439"/>
      <c r="M35" s="433"/>
      <c r="N35" s="433"/>
      <c r="O35" s="434"/>
      <c r="P35" s="444"/>
      <c r="Q35" s="433"/>
      <c r="R35" s="433"/>
      <c r="S35" s="434"/>
      <c r="U35" s="439"/>
      <c r="V35" s="433"/>
      <c r="W35" s="433"/>
      <c r="X35" s="434"/>
      <c r="Y35" s="444"/>
      <c r="Z35" s="433"/>
      <c r="AA35" s="433"/>
      <c r="AB35" s="434"/>
      <c r="AD35" s="439"/>
      <c r="AE35" s="433"/>
      <c r="AF35" s="433"/>
      <c r="AG35" s="434"/>
      <c r="AH35" s="444"/>
      <c r="AI35" s="433"/>
      <c r="AJ35" s="433"/>
      <c r="AK35" s="434"/>
    </row>
    <row r="36" spans="1:37" x14ac:dyDescent="0.35">
      <c r="A36" s="1477"/>
      <c r="B36" s="426">
        <v>2</v>
      </c>
      <c r="C36" s="432"/>
      <c r="D36" s="433"/>
      <c r="E36" s="433"/>
      <c r="F36" s="434"/>
      <c r="G36" s="439"/>
      <c r="H36" s="433"/>
      <c r="I36" s="433"/>
      <c r="J36" s="434"/>
      <c r="L36" s="439"/>
      <c r="M36" s="433"/>
      <c r="N36" s="433"/>
      <c r="O36" s="434"/>
      <c r="P36" s="444"/>
      <c r="Q36" s="433"/>
      <c r="R36" s="433"/>
      <c r="S36" s="434"/>
      <c r="U36" s="439"/>
      <c r="V36" s="433"/>
      <c r="W36" s="433"/>
      <c r="X36" s="434"/>
      <c r="Y36" s="444"/>
      <c r="Z36" s="433"/>
      <c r="AA36" s="433"/>
      <c r="AB36" s="434"/>
      <c r="AD36" s="439"/>
      <c r="AE36" s="433"/>
      <c r="AF36" s="433"/>
      <c r="AG36" s="434"/>
      <c r="AH36" s="444"/>
      <c r="AI36" s="433"/>
      <c r="AJ36" s="433"/>
      <c r="AK36" s="434"/>
    </row>
    <row r="37" spans="1:37" x14ac:dyDescent="0.35">
      <c r="A37" s="1476">
        <v>44457</v>
      </c>
      <c r="B37" s="426">
        <v>1</v>
      </c>
      <c r="C37" s="432"/>
      <c r="D37" s="433"/>
      <c r="E37" s="433"/>
      <c r="F37" s="434"/>
      <c r="G37" s="439"/>
      <c r="H37" s="433"/>
      <c r="I37" s="433"/>
      <c r="J37" s="434"/>
      <c r="L37" s="439"/>
      <c r="M37" s="433"/>
      <c r="N37" s="433"/>
      <c r="O37" s="434"/>
      <c r="P37" s="444"/>
      <c r="Q37" s="433"/>
      <c r="R37" s="433"/>
      <c r="S37" s="434"/>
      <c r="U37" s="439"/>
      <c r="V37" s="433"/>
      <c r="W37" s="433">
        <v>20</v>
      </c>
      <c r="X37" s="434"/>
      <c r="Y37" s="444"/>
      <c r="Z37" s="433"/>
      <c r="AA37" s="433" t="s">
        <v>152</v>
      </c>
      <c r="AB37" s="434"/>
      <c r="AD37" s="439"/>
      <c r="AE37" s="433"/>
      <c r="AF37" s="433"/>
      <c r="AG37" s="434"/>
      <c r="AH37" s="444"/>
      <c r="AI37" s="433"/>
      <c r="AJ37" s="433"/>
      <c r="AK37" s="434"/>
    </row>
    <row r="38" spans="1:37" x14ac:dyDescent="0.35">
      <c r="A38" s="1477"/>
      <c r="B38" s="426">
        <v>2</v>
      </c>
      <c r="C38" s="432"/>
      <c r="D38" s="433"/>
      <c r="E38" s="433"/>
      <c r="F38" s="434"/>
      <c r="G38" s="439"/>
      <c r="H38" s="433"/>
      <c r="I38" s="433"/>
      <c r="J38" s="434"/>
      <c r="L38" s="439"/>
      <c r="M38" s="433"/>
      <c r="N38" s="433"/>
      <c r="O38" s="434"/>
      <c r="P38" s="444"/>
      <c r="Q38" s="433"/>
      <c r="R38" s="433"/>
      <c r="S38" s="434"/>
      <c r="U38" s="439"/>
      <c r="V38" s="433"/>
      <c r="W38" s="433"/>
      <c r="X38" s="434"/>
      <c r="Y38" s="444"/>
      <c r="Z38" s="433"/>
      <c r="AA38" s="433"/>
      <c r="AB38" s="434"/>
      <c r="AD38" s="439"/>
      <c r="AE38" s="433"/>
      <c r="AF38" s="433"/>
      <c r="AG38" s="434"/>
      <c r="AH38" s="444"/>
      <c r="AI38" s="433"/>
      <c r="AJ38" s="433"/>
      <c r="AK38" s="434"/>
    </row>
    <row r="39" spans="1:37" x14ac:dyDescent="0.35">
      <c r="A39" s="1476">
        <v>44458</v>
      </c>
      <c r="B39" s="426">
        <v>1</v>
      </c>
      <c r="C39" s="432"/>
      <c r="D39" s="433"/>
      <c r="E39" s="433"/>
      <c r="F39" s="434"/>
      <c r="G39" s="439"/>
      <c r="H39" s="433"/>
      <c r="I39" s="433"/>
      <c r="J39" s="434"/>
      <c r="L39" s="439"/>
      <c r="M39" s="433"/>
      <c r="N39" s="433"/>
      <c r="O39" s="434"/>
      <c r="P39" s="444"/>
      <c r="Q39" s="433"/>
      <c r="R39" s="433"/>
      <c r="S39" s="434"/>
      <c r="U39" s="439"/>
      <c r="V39" s="433"/>
      <c r="W39" s="433"/>
      <c r="X39" s="434"/>
      <c r="Y39" s="444"/>
      <c r="Z39" s="433"/>
      <c r="AA39" s="433"/>
      <c r="AB39" s="434"/>
      <c r="AD39" s="439"/>
      <c r="AE39" s="433"/>
      <c r="AF39" s="433"/>
      <c r="AG39" s="434"/>
      <c r="AH39" s="444"/>
      <c r="AI39" s="433"/>
      <c r="AJ39" s="433"/>
      <c r="AK39" s="434"/>
    </row>
    <row r="40" spans="1:37" x14ac:dyDescent="0.35">
      <c r="A40" s="1477"/>
      <c r="B40" s="426">
        <v>2</v>
      </c>
      <c r="C40" s="432"/>
      <c r="D40" s="433"/>
      <c r="E40" s="433"/>
      <c r="F40" s="434"/>
      <c r="G40" s="439"/>
      <c r="H40" s="433"/>
      <c r="I40" s="433"/>
      <c r="J40" s="434"/>
      <c r="L40" s="439"/>
      <c r="M40" s="433"/>
      <c r="N40" s="433"/>
      <c r="O40" s="434"/>
      <c r="P40" s="444"/>
      <c r="Q40" s="433"/>
      <c r="R40" s="433"/>
      <c r="S40" s="434"/>
      <c r="U40" s="439"/>
      <c r="V40" s="433"/>
      <c r="W40" s="433"/>
      <c r="X40" s="434"/>
      <c r="Y40" s="444"/>
      <c r="Z40" s="433"/>
      <c r="AA40" s="433"/>
      <c r="AB40" s="434"/>
      <c r="AD40" s="439"/>
      <c r="AE40" s="433"/>
      <c r="AF40" s="433"/>
      <c r="AG40" s="434"/>
      <c r="AH40" s="444"/>
      <c r="AI40" s="433"/>
      <c r="AJ40" s="433"/>
      <c r="AK40" s="434"/>
    </row>
    <row r="41" spans="1:37" x14ac:dyDescent="0.35">
      <c r="A41" s="1476">
        <v>44459</v>
      </c>
      <c r="B41" s="426">
        <v>1</v>
      </c>
      <c r="C41" s="432"/>
      <c r="D41" s="433">
        <v>15</v>
      </c>
      <c r="E41" s="433"/>
      <c r="F41" s="434">
        <v>83</v>
      </c>
      <c r="G41" s="439"/>
      <c r="H41" s="433" t="s">
        <v>213</v>
      </c>
      <c r="I41" s="433"/>
      <c r="J41" s="434" t="s">
        <v>210</v>
      </c>
      <c r="L41" s="439"/>
      <c r="M41" s="433">
        <v>20</v>
      </c>
      <c r="N41" s="433"/>
      <c r="O41" s="434">
        <v>85</v>
      </c>
      <c r="P41" s="444"/>
      <c r="Q41" s="433" t="s">
        <v>213</v>
      </c>
      <c r="R41" s="433"/>
      <c r="S41" s="434" t="s">
        <v>210</v>
      </c>
      <c r="U41" s="439"/>
      <c r="V41" s="433"/>
      <c r="W41" s="433"/>
      <c r="X41" s="434">
        <v>90</v>
      </c>
      <c r="Y41" s="444"/>
      <c r="Z41" s="433"/>
      <c r="AA41" s="433"/>
      <c r="AB41" s="434" t="s">
        <v>210</v>
      </c>
      <c r="AD41" s="439">
        <v>25</v>
      </c>
      <c r="AE41" s="433"/>
      <c r="AF41" s="433"/>
      <c r="AG41" s="434">
        <v>90</v>
      </c>
      <c r="AH41" s="444" t="s">
        <v>226</v>
      </c>
      <c r="AI41" s="433"/>
      <c r="AJ41" s="433"/>
      <c r="AK41" s="434" t="s">
        <v>210</v>
      </c>
    </row>
    <row r="42" spans="1:37" x14ac:dyDescent="0.35">
      <c r="A42" s="1477"/>
      <c r="B42" s="426">
        <v>2</v>
      </c>
      <c r="C42" s="432"/>
      <c r="D42" s="433"/>
      <c r="E42" s="433"/>
      <c r="F42" s="434"/>
      <c r="G42" s="439"/>
      <c r="H42" s="433"/>
      <c r="I42" s="433"/>
      <c r="J42" s="434"/>
      <c r="L42" s="439"/>
      <c r="M42" s="433"/>
      <c r="N42" s="433"/>
      <c r="O42" s="434"/>
      <c r="P42" s="444"/>
      <c r="Q42" s="433"/>
      <c r="R42" s="433"/>
      <c r="S42" s="434"/>
      <c r="U42" s="439"/>
      <c r="V42" s="433"/>
      <c r="W42" s="433"/>
      <c r="X42" s="434"/>
      <c r="Y42" s="444"/>
      <c r="Z42" s="433"/>
      <c r="AA42" s="433"/>
      <c r="AB42" s="434"/>
      <c r="AD42" s="439"/>
      <c r="AE42" s="433"/>
      <c r="AF42" s="433"/>
      <c r="AG42" s="434"/>
      <c r="AH42" s="444"/>
      <c r="AI42" s="433"/>
      <c r="AJ42" s="433"/>
      <c r="AK42" s="434"/>
    </row>
    <row r="43" spans="1:37" x14ac:dyDescent="0.35">
      <c r="A43" s="1476">
        <v>44460</v>
      </c>
      <c r="B43" s="426">
        <v>1</v>
      </c>
      <c r="C43" s="432"/>
      <c r="D43" s="433"/>
      <c r="E43" s="433"/>
      <c r="F43" s="434"/>
      <c r="G43" s="439"/>
      <c r="H43" s="433"/>
      <c r="I43" s="433"/>
      <c r="J43" s="434"/>
      <c r="L43" s="439"/>
      <c r="M43" s="433"/>
      <c r="N43" s="433"/>
      <c r="O43" s="434"/>
      <c r="P43" s="444"/>
      <c r="Q43" s="433"/>
      <c r="R43" s="433"/>
      <c r="S43" s="434"/>
      <c r="U43" s="439"/>
      <c r="V43" s="433"/>
      <c r="W43" s="433"/>
      <c r="X43" s="434"/>
      <c r="Y43" s="444"/>
      <c r="Z43" s="433"/>
      <c r="AA43" s="433"/>
      <c r="AB43" s="434"/>
      <c r="AD43" s="439"/>
      <c r="AE43" s="433"/>
      <c r="AF43" s="433"/>
      <c r="AG43" s="434"/>
      <c r="AH43" s="444"/>
      <c r="AI43" s="433"/>
      <c r="AJ43" s="433"/>
      <c r="AK43" s="434"/>
    </row>
    <row r="44" spans="1:37" ht="28.3" x14ac:dyDescent="0.35">
      <c r="A44" s="1477"/>
      <c r="B44" s="426">
        <v>2</v>
      </c>
      <c r="C44" s="432">
        <v>50</v>
      </c>
      <c r="D44" s="433"/>
      <c r="E44" s="433"/>
      <c r="F44" s="434"/>
      <c r="G44" s="465" t="s">
        <v>227</v>
      </c>
      <c r="H44" s="433"/>
      <c r="I44" s="433"/>
      <c r="J44" s="434"/>
      <c r="L44" s="439"/>
      <c r="M44" s="433"/>
      <c r="N44" s="433"/>
      <c r="O44" s="434"/>
      <c r="P44" s="444"/>
      <c r="Q44" s="433"/>
      <c r="R44" s="433"/>
      <c r="S44" s="434"/>
      <c r="U44" s="439"/>
      <c r="V44" s="433"/>
      <c r="W44" s="433"/>
      <c r="X44" s="434"/>
      <c r="Y44" s="444"/>
      <c r="Z44" s="433"/>
      <c r="AA44" s="433"/>
      <c r="AB44" s="434"/>
      <c r="AD44" s="439"/>
      <c r="AE44" s="433"/>
      <c r="AF44" s="433"/>
      <c r="AG44" s="434"/>
      <c r="AH44" s="444"/>
      <c r="AI44" s="433"/>
      <c r="AJ44" s="433"/>
      <c r="AK44" s="434"/>
    </row>
    <row r="45" spans="1:37" x14ac:dyDescent="0.35">
      <c r="A45" s="1476">
        <v>44461</v>
      </c>
      <c r="B45" s="426">
        <v>1</v>
      </c>
      <c r="C45" s="432"/>
      <c r="D45" s="433">
        <v>10</v>
      </c>
      <c r="E45" s="433"/>
      <c r="F45" s="434"/>
      <c r="G45" s="439"/>
      <c r="H45" s="433" t="s">
        <v>163</v>
      </c>
      <c r="I45" s="433"/>
      <c r="J45" s="434"/>
      <c r="L45" s="439"/>
      <c r="M45" s="433"/>
      <c r="N45" s="433"/>
      <c r="O45" s="434"/>
      <c r="P45" s="444"/>
      <c r="Q45" s="433"/>
      <c r="R45" s="433"/>
      <c r="S45" s="434"/>
      <c r="U45" s="439"/>
      <c r="V45" s="433"/>
      <c r="W45" s="433">
        <v>10</v>
      </c>
      <c r="X45" s="434"/>
      <c r="Y45" s="444"/>
      <c r="Z45" s="433"/>
      <c r="AA45" s="433" t="s">
        <v>152</v>
      </c>
      <c r="AB45" s="434"/>
      <c r="AD45" s="439"/>
      <c r="AE45" s="433"/>
      <c r="AF45" s="433"/>
      <c r="AG45" s="434"/>
      <c r="AH45" s="444"/>
      <c r="AI45" s="433"/>
      <c r="AJ45" s="433"/>
      <c r="AK45" s="434"/>
    </row>
    <row r="46" spans="1:37" x14ac:dyDescent="0.35">
      <c r="A46" s="1477"/>
      <c r="B46" s="426">
        <v>2</v>
      </c>
      <c r="C46" s="432"/>
      <c r="D46" s="433"/>
      <c r="E46" s="433">
        <v>37</v>
      </c>
      <c r="F46" s="434"/>
      <c r="G46" s="439"/>
      <c r="H46" s="433"/>
      <c r="I46" s="433" t="s">
        <v>152</v>
      </c>
      <c r="J46" s="434"/>
      <c r="L46" s="439"/>
      <c r="M46" s="433"/>
      <c r="N46" s="433"/>
      <c r="O46" s="434"/>
      <c r="P46" s="444"/>
      <c r="Q46" s="433"/>
      <c r="R46" s="433"/>
      <c r="S46" s="434"/>
      <c r="U46" s="439"/>
      <c r="V46" s="433"/>
      <c r="W46" s="433">
        <v>65</v>
      </c>
      <c r="X46" s="434"/>
      <c r="Y46" s="444"/>
      <c r="Z46" s="433"/>
      <c r="AA46" s="433" t="s">
        <v>152</v>
      </c>
      <c r="AB46" s="434"/>
      <c r="AD46" s="439"/>
      <c r="AE46" s="433"/>
      <c r="AF46" s="433"/>
      <c r="AG46" s="434"/>
      <c r="AH46" s="444"/>
      <c r="AI46" s="433"/>
      <c r="AJ46" s="433"/>
      <c r="AK46" s="434"/>
    </row>
    <row r="47" spans="1:37" x14ac:dyDescent="0.35">
      <c r="A47" s="1476">
        <v>44462</v>
      </c>
      <c r="B47" s="426">
        <v>1</v>
      </c>
      <c r="C47" s="432"/>
      <c r="D47" s="433"/>
      <c r="E47" s="433"/>
      <c r="F47" s="434"/>
      <c r="G47" s="439"/>
      <c r="H47" s="433"/>
      <c r="I47" s="433"/>
      <c r="J47" s="434"/>
      <c r="L47" s="439"/>
      <c r="M47" s="433"/>
      <c r="N47" s="433"/>
      <c r="O47" s="434"/>
      <c r="P47" s="444"/>
      <c r="Q47" s="433"/>
      <c r="R47" s="433"/>
      <c r="S47" s="434"/>
      <c r="U47" s="439"/>
      <c r="V47" s="433"/>
      <c r="W47" s="433"/>
      <c r="X47" s="434"/>
      <c r="Y47" s="444"/>
      <c r="Z47" s="433"/>
      <c r="AA47" s="433"/>
      <c r="AB47" s="434"/>
      <c r="AD47" s="439"/>
      <c r="AE47" s="433"/>
      <c r="AF47" s="433"/>
      <c r="AG47" s="434"/>
      <c r="AH47" s="444"/>
      <c r="AI47" s="433"/>
      <c r="AJ47" s="433"/>
      <c r="AK47" s="434"/>
    </row>
    <row r="48" spans="1:37" x14ac:dyDescent="0.35">
      <c r="A48" s="1477"/>
      <c r="B48" s="426">
        <v>2</v>
      </c>
      <c r="C48" s="432"/>
      <c r="D48" s="433"/>
      <c r="E48" s="433"/>
      <c r="F48" s="434"/>
      <c r="G48" s="439"/>
      <c r="H48" s="433"/>
      <c r="I48" s="433"/>
      <c r="J48" s="434"/>
      <c r="L48" s="439"/>
      <c r="M48" s="433"/>
      <c r="N48" s="433"/>
      <c r="O48" s="434"/>
      <c r="P48" s="444"/>
      <c r="Q48" s="433"/>
      <c r="R48" s="433"/>
      <c r="S48" s="434"/>
      <c r="U48" s="439"/>
      <c r="V48" s="433"/>
      <c r="W48" s="433">
        <v>10</v>
      </c>
      <c r="X48" s="434"/>
      <c r="Y48" s="444"/>
      <c r="Z48" s="433"/>
      <c r="AA48" s="433" t="s">
        <v>152</v>
      </c>
      <c r="AB48" s="434"/>
      <c r="AD48" s="439"/>
      <c r="AE48" s="433"/>
      <c r="AF48" s="433"/>
      <c r="AG48" s="434"/>
      <c r="AH48" s="444"/>
      <c r="AI48" s="433"/>
      <c r="AJ48" s="433"/>
      <c r="AK48" s="434"/>
    </row>
    <row r="49" spans="1:37" ht="28.3" x14ac:dyDescent="0.35">
      <c r="A49" s="1476">
        <v>44463</v>
      </c>
      <c r="B49" s="426">
        <v>1</v>
      </c>
      <c r="C49" s="432"/>
      <c r="D49" s="433"/>
      <c r="E49" s="433"/>
      <c r="F49" s="434">
        <v>139</v>
      </c>
      <c r="G49" s="439"/>
      <c r="H49" s="433"/>
      <c r="I49" s="433"/>
      <c r="J49" s="466" t="s">
        <v>228</v>
      </c>
      <c r="L49" s="439"/>
      <c r="M49" s="433"/>
      <c r="N49" s="433"/>
      <c r="O49" s="434">
        <v>97</v>
      </c>
      <c r="P49" s="444"/>
      <c r="Q49" s="433"/>
      <c r="R49" s="433"/>
      <c r="S49" s="466" t="s">
        <v>228</v>
      </c>
      <c r="U49" s="439"/>
      <c r="V49" s="433"/>
      <c r="W49" s="433">
        <v>144</v>
      </c>
      <c r="X49" s="434"/>
      <c r="Y49" s="444"/>
      <c r="Z49" s="433"/>
      <c r="AA49" s="433"/>
      <c r="AB49" s="466" t="s">
        <v>228</v>
      </c>
      <c r="AD49" s="439"/>
      <c r="AE49" s="433"/>
      <c r="AF49" s="433"/>
      <c r="AG49" s="434">
        <v>98</v>
      </c>
      <c r="AH49" s="444"/>
      <c r="AI49" s="433"/>
      <c r="AJ49" s="433"/>
      <c r="AK49" s="466" t="s">
        <v>228</v>
      </c>
    </row>
    <row r="50" spans="1:37" x14ac:dyDescent="0.35">
      <c r="A50" s="1477"/>
      <c r="B50" s="426">
        <v>2</v>
      </c>
      <c r="C50" s="432"/>
      <c r="D50" s="433"/>
      <c r="E50" s="433"/>
      <c r="F50" s="434"/>
      <c r="G50" s="439"/>
      <c r="H50" s="433"/>
      <c r="I50" s="433"/>
      <c r="J50" s="434"/>
      <c r="L50" s="439"/>
      <c r="M50" s="433"/>
      <c r="N50" s="433"/>
      <c r="O50" s="434"/>
      <c r="P50" s="444"/>
      <c r="Q50" s="433"/>
      <c r="R50" s="433"/>
      <c r="S50" s="434"/>
      <c r="U50" s="439"/>
      <c r="V50" s="433"/>
      <c r="W50" s="433">
        <v>30</v>
      </c>
      <c r="X50" s="434"/>
      <c r="Y50" s="444"/>
      <c r="Z50" s="433"/>
      <c r="AA50" s="433" t="s">
        <v>152</v>
      </c>
      <c r="AB50" s="434"/>
      <c r="AD50" s="439"/>
      <c r="AE50" s="433"/>
      <c r="AF50" s="433"/>
      <c r="AG50" s="434"/>
      <c r="AH50" s="444"/>
      <c r="AI50" s="433"/>
      <c r="AJ50" s="433"/>
      <c r="AK50" s="434"/>
    </row>
    <row r="51" spans="1:37" x14ac:dyDescent="0.35">
      <c r="A51" s="1476">
        <v>44464</v>
      </c>
      <c r="B51" s="426">
        <v>1</v>
      </c>
      <c r="C51" s="432"/>
      <c r="D51" s="433"/>
      <c r="E51" s="433">
        <v>26</v>
      </c>
      <c r="F51" s="434"/>
      <c r="G51" s="439"/>
      <c r="H51" s="433"/>
      <c r="I51" s="433" t="s">
        <v>152</v>
      </c>
      <c r="J51" s="434"/>
      <c r="L51" s="439"/>
      <c r="M51" s="433"/>
      <c r="N51" s="433"/>
      <c r="O51" s="434"/>
      <c r="P51" s="444"/>
      <c r="Q51" s="433"/>
      <c r="R51" s="433"/>
      <c r="S51" s="434"/>
      <c r="U51" s="439"/>
      <c r="V51" s="433"/>
      <c r="W51" s="433">
        <v>34</v>
      </c>
      <c r="X51" s="434"/>
      <c r="Y51" s="444"/>
      <c r="Z51" s="433"/>
      <c r="AA51" s="433" t="s">
        <v>152</v>
      </c>
      <c r="AB51" s="434"/>
      <c r="AD51" s="439"/>
      <c r="AE51" s="433"/>
      <c r="AF51" s="433"/>
      <c r="AG51" s="434"/>
      <c r="AH51" s="444"/>
      <c r="AI51" s="433"/>
      <c r="AJ51" s="433"/>
      <c r="AK51" s="434"/>
    </row>
    <row r="52" spans="1:37" x14ac:dyDescent="0.35">
      <c r="A52" s="1477"/>
      <c r="B52" s="426">
        <v>2</v>
      </c>
      <c r="C52" s="432"/>
      <c r="D52" s="433"/>
      <c r="E52" s="433">
        <v>20</v>
      </c>
      <c r="F52" s="434"/>
      <c r="G52" s="439"/>
      <c r="H52" s="433"/>
      <c r="I52" s="433" t="s">
        <v>152</v>
      </c>
      <c r="J52" s="434"/>
      <c r="L52" s="439"/>
      <c r="M52" s="433"/>
      <c r="N52" s="433"/>
      <c r="O52" s="434"/>
      <c r="P52" s="444"/>
      <c r="Q52" s="433"/>
      <c r="R52" s="433"/>
      <c r="S52" s="434"/>
      <c r="U52" s="439"/>
      <c r="V52" s="433"/>
      <c r="W52" s="433">
        <v>15</v>
      </c>
      <c r="X52" s="434"/>
      <c r="Y52" s="444"/>
      <c r="Z52" s="433"/>
      <c r="AA52" s="433" t="s">
        <v>152</v>
      </c>
      <c r="AB52" s="434"/>
      <c r="AD52" s="439"/>
      <c r="AE52" s="433"/>
      <c r="AF52" s="433">
        <v>10</v>
      </c>
      <c r="AG52" s="434"/>
      <c r="AH52" s="444"/>
      <c r="AI52" s="433"/>
      <c r="AJ52" s="433" t="s">
        <v>152</v>
      </c>
      <c r="AK52" s="434"/>
    </row>
    <row r="53" spans="1:37" x14ac:dyDescent="0.35">
      <c r="A53" s="1476">
        <v>44465</v>
      </c>
      <c r="B53" s="426">
        <v>1</v>
      </c>
      <c r="C53" s="432"/>
      <c r="D53" s="433"/>
      <c r="E53" s="433"/>
      <c r="F53" s="434"/>
      <c r="G53" s="439"/>
      <c r="H53" s="433"/>
      <c r="I53" s="433"/>
      <c r="J53" s="434"/>
      <c r="L53" s="439"/>
      <c r="M53" s="433"/>
      <c r="N53" s="433"/>
      <c r="O53" s="434"/>
      <c r="P53" s="444"/>
      <c r="Q53" s="433"/>
      <c r="R53" s="433"/>
      <c r="S53" s="434"/>
      <c r="U53" s="439"/>
      <c r="V53" s="433"/>
      <c r="W53" s="433"/>
      <c r="X53" s="434"/>
      <c r="Y53" s="444"/>
      <c r="Z53" s="433"/>
      <c r="AA53" s="433"/>
      <c r="AB53" s="434"/>
      <c r="AD53" s="439"/>
      <c r="AE53" s="433"/>
      <c r="AF53" s="433"/>
      <c r="AG53" s="434"/>
      <c r="AH53" s="444"/>
      <c r="AI53" s="433"/>
      <c r="AJ53" s="433"/>
      <c r="AK53" s="434"/>
    </row>
    <row r="54" spans="1:37" ht="14.5" customHeight="1" x14ac:dyDescent="0.35">
      <c r="A54" s="1476"/>
      <c r="B54" s="1479">
        <v>2</v>
      </c>
      <c r="C54" s="432"/>
      <c r="D54" s="433"/>
      <c r="E54" s="433">
        <v>50</v>
      </c>
      <c r="F54" s="434"/>
      <c r="G54" s="439"/>
      <c r="H54" s="433"/>
      <c r="I54" s="433" t="s">
        <v>152</v>
      </c>
      <c r="J54" s="434"/>
      <c r="L54" s="439"/>
      <c r="M54" s="433"/>
      <c r="N54" s="433"/>
      <c r="O54" s="434"/>
      <c r="P54" s="444"/>
      <c r="Q54" s="433"/>
      <c r="R54" s="433"/>
      <c r="S54" s="434"/>
      <c r="U54" s="439"/>
      <c r="V54" s="433"/>
      <c r="W54" s="433"/>
      <c r="X54" s="434"/>
      <c r="Y54" s="444"/>
      <c r="Z54" s="433"/>
      <c r="AA54" s="433"/>
      <c r="AB54" s="434"/>
      <c r="AD54" s="439"/>
      <c r="AE54" s="433"/>
      <c r="AF54" s="433"/>
      <c r="AG54" s="434"/>
      <c r="AH54" s="444"/>
      <c r="AI54" s="433"/>
      <c r="AJ54" s="433"/>
      <c r="AK54" s="434"/>
    </row>
    <row r="55" spans="1:37" ht="28.3" x14ac:dyDescent="0.35">
      <c r="A55" s="1477"/>
      <c r="B55" s="1480"/>
      <c r="C55" s="432"/>
      <c r="D55" s="433">
        <v>7</v>
      </c>
      <c r="E55" s="433">
        <v>20</v>
      </c>
      <c r="F55" s="434"/>
      <c r="G55" s="439"/>
      <c r="H55" s="6" t="s">
        <v>213</v>
      </c>
      <c r="I55" s="467" t="s">
        <v>97</v>
      </c>
      <c r="J55" s="434"/>
      <c r="L55" s="439"/>
      <c r="M55" s="433">
        <v>10</v>
      </c>
      <c r="N55" s="433"/>
      <c r="O55" s="434"/>
      <c r="P55" s="444"/>
      <c r="Q55" s="6" t="s">
        <v>213</v>
      </c>
      <c r="R55" s="433"/>
      <c r="S55" s="434"/>
      <c r="U55" s="439"/>
      <c r="V55" s="433"/>
      <c r="W55" s="433"/>
      <c r="X55" s="434"/>
      <c r="Y55" s="444"/>
      <c r="Z55" s="433"/>
      <c r="AA55" s="433"/>
      <c r="AB55" s="434"/>
      <c r="AD55" s="439"/>
      <c r="AE55" s="433"/>
      <c r="AF55" s="433">
        <v>20</v>
      </c>
      <c r="AG55" s="434"/>
      <c r="AH55" s="444"/>
      <c r="AI55" s="433"/>
      <c r="AJ55" s="433" t="s">
        <v>152</v>
      </c>
      <c r="AK55" s="434"/>
    </row>
    <row r="56" spans="1:37" x14ac:dyDescent="0.35">
      <c r="A56" s="1476">
        <v>44466</v>
      </c>
      <c r="B56" s="426">
        <v>1</v>
      </c>
      <c r="C56" s="432"/>
      <c r="D56" s="433"/>
      <c r="E56" s="433"/>
      <c r="F56" s="434"/>
      <c r="G56" s="439"/>
      <c r="H56" s="433"/>
      <c r="I56" s="433"/>
      <c r="J56" s="434"/>
      <c r="L56" s="439"/>
      <c r="M56" s="433"/>
      <c r="N56" s="433"/>
      <c r="O56" s="434"/>
      <c r="P56" s="444"/>
      <c r="Q56" s="433"/>
      <c r="R56" s="433"/>
      <c r="S56" s="434"/>
      <c r="U56" s="439"/>
      <c r="V56" s="433"/>
      <c r="W56" s="433"/>
      <c r="X56" s="434"/>
      <c r="Y56" s="444"/>
      <c r="Z56" s="433"/>
      <c r="AA56" s="433"/>
      <c r="AB56" s="434"/>
      <c r="AD56" s="439"/>
      <c r="AE56" s="433"/>
      <c r="AF56" s="433"/>
      <c r="AG56" s="434"/>
      <c r="AH56" s="444"/>
      <c r="AI56" s="433"/>
      <c r="AJ56" s="433"/>
      <c r="AK56" s="434"/>
    </row>
    <row r="57" spans="1:37" ht="99" x14ac:dyDescent="0.35">
      <c r="A57" s="1477"/>
      <c r="B57" s="426">
        <v>2</v>
      </c>
      <c r="C57" s="432"/>
      <c r="D57" s="433"/>
      <c r="E57" s="468">
        <v>43</v>
      </c>
      <c r="F57" s="434"/>
      <c r="G57" s="439"/>
      <c r="H57" s="433"/>
      <c r="I57" s="467" t="s">
        <v>230</v>
      </c>
      <c r="J57" s="434"/>
      <c r="L57" s="439"/>
      <c r="M57" s="433"/>
      <c r="N57" s="433">
        <v>150</v>
      </c>
      <c r="O57" s="434"/>
      <c r="P57" s="444"/>
      <c r="Q57" s="433"/>
      <c r="R57" s="471" t="s">
        <v>231</v>
      </c>
      <c r="S57" s="434"/>
      <c r="U57" s="470">
        <v>145</v>
      </c>
      <c r="V57" s="433"/>
      <c r="W57" s="433"/>
      <c r="X57" s="434"/>
      <c r="Y57" s="469" t="s">
        <v>229</v>
      </c>
      <c r="Z57" s="433"/>
      <c r="AA57" s="433"/>
      <c r="AB57" s="434"/>
      <c r="AD57" s="439"/>
      <c r="AE57" s="433"/>
      <c r="AF57" s="433"/>
      <c r="AG57" s="434"/>
      <c r="AH57" s="444"/>
      <c r="AI57" s="433"/>
      <c r="AJ57" s="433"/>
      <c r="AK57" s="434"/>
    </row>
    <row r="58" spans="1:37" x14ac:dyDescent="0.35">
      <c r="A58" s="1476">
        <v>44467</v>
      </c>
      <c r="B58" s="426">
        <v>1</v>
      </c>
      <c r="C58" s="432"/>
      <c r="D58" s="433"/>
      <c r="E58" s="433">
        <v>14</v>
      </c>
      <c r="F58" s="434"/>
      <c r="G58" s="439"/>
      <c r="H58" s="433"/>
      <c r="I58" s="433" t="s">
        <v>152</v>
      </c>
      <c r="J58" s="434"/>
      <c r="L58" s="439"/>
      <c r="M58" s="433"/>
      <c r="N58" s="433"/>
      <c r="O58" s="434"/>
      <c r="P58" s="444"/>
      <c r="Q58" s="433"/>
      <c r="R58" s="433"/>
      <c r="S58" s="434"/>
      <c r="U58" s="439"/>
      <c r="V58" s="433"/>
      <c r="W58" s="433"/>
      <c r="X58" s="434"/>
      <c r="Y58" s="444"/>
      <c r="Z58" s="433"/>
      <c r="AA58" s="433"/>
      <c r="AB58" s="434"/>
      <c r="AD58" s="439"/>
      <c r="AE58" s="433"/>
      <c r="AF58" s="433"/>
      <c r="AG58" s="434"/>
      <c r="AH58" s="444"/>
      <c r="AI58" s="433"/>
      <c r="AJ58" s="433"/>
      <c r="AK58" s="434"/>
    </row>
    <row r="59" spans="1:37" x14ac:dyDescent="0.35">
      <c r="A59" s="1477"/>
      <c r="B59" s="426">
        <v>2</v>
      </c>
      <c r="C59" s="432"/>
      <c r="D59" s="433"/>
      <c r="E59" s="433">
        <v>30</v>
      </c>
      <c r="F59" s="434"/>
      <c r="G59" s="439"/>
      <c r="H59" s="433"/>
      <c r="I59" s="433" t="s">
        <v>152</v>
      </c>
      <c r="J59" s="434"/>
      <c r="L59" s="439"/>
      <c r="M59" s="433"/>
      <c r="N59" s="433"/>
      <c r="O59" s="434"/>
      <c r="P59" s="444"/>
      <c r="Q59" s="433"/>
      <c r="R59" s="433"/>
      <c r="S59" s="434"/>
      <c r="U59" s="439"/>
      <c r="V59" s="433"/>
      <c r="W59" s="433">
        <v>10</v>
      </c>
      <c r="X59" s="434"/>
      <c r="Y59" s="444"/>
      <c r="Z59" s="433"/>
      <c r="AA59" s="433" t="s">
        <v>152</v>
      </c>
      <c r="AB59" s="434"/>
      <c r="AD59" s="439"/>
      <c r="AE59" s="433"/>
      <c r="AF59" s="433"/>
      <c r="AG59" s="434"/>
      <c r="AH59" s="444"/>
      <c r="AI59" s="433"/>
      <c r="AJ59" s="433"/>
      <c r="AK59" s="434"/>
    </row>
    <row r="60" spans="1:37" x14ac:dyDescent="0.35">
      <c r="A60" s="1476">
        <v>44468</v>
      </c>
      <c r="B60" s="426">
        <v>1</v>
      </c>
      <c r="C60" s="432"/>
      <c r="D60" s="433"/>
      <c r="E60" s="433">
        <v>47</v>
      </c>
      <c r="F60" s="434"/>
      <c r="G60" s="439"/>
      <c r="H60" s="433"/>
      <c r="I60" s="433" t="s">
        <v>152</v>
      </c>
      <c r="J60" s="434"/>
      <c r="L60" s="439"/>
      <c r="M60" s="433"/>
      <c r="N60" s="433"/>
      <c r="O60" s="434"/>
      <c r="P60" s="444"/>
      <c r="Q60" s="433"/>
      <c r="R60" s="433"/>
      <c r="S60" s="434"/>
      <c r="U60" s="439"/>
      <c r="V60" s="433"/>
      <c r="W60" s="433">
        <v>65</v>
      </c>
      <c r="X60" s="434"/>
      <c r="Y60" s="444"/>
      <c r="Z60" s="433"/>
      <c r="AA60" s="433" t="s">
        <v>152</v>
      </c>
      <c r="AB60" s="434"/>
      <c r="AD60" s="439"/>
      <c r="AE60" s="433"/>
      <c r="AF60" s="433">
        <v>20</v>
      </c>
      <c r="AG60" s="434"/>
      <c r="AH60" s="444"/>
      <c r="AI60" s="433"/>
      <c r="AJ60" s="433" t="s">
        <v>152</v>
      </c>
      <c r="AK60" s="434"/>
    </row>
    <row r="61" spans="1:37" x14ac:dyDescent="0.35">
      <c r="A61" s="1477"/>
      <c r="B61" s="426">
        <v>2</v>
      </c>
      <c r="C61" s="432"/>
      <c r="D61" s="433"/>
      <c r="E61" s="433">
        <v>40</v>
      </c>
      <c r="F61" s="434"/>
      <c r="G61" s="439"/>
      <c r="H61" s="433"/>
      <c r="I61" s="433" t="s">
        <v>152</v>
      </c>
      <c r="J61" s="434"/>
      <c r="L61" s="439"/>
      <c r="M61" s="433"/>
      <c r="N61" s="433"/>
      <c r="O61" s="434"/>
      <c r="P61" s="444"/>
      <c r="Q61" s="433"/>
      <c r="R61" s="433"/>
      <c r="S61" s="434"/>
      <c r="U61" s="439"/>
      <c r="V61" s="433"/>
      <c r="W61" s="433"/>
      <c r="X61" s="434"/>
      <c r="Y61" s="444"/>
      <c r="Z61" s="433"/>
      <c r="AA61" s="433"/>
      <c r="AB61" s="434"/>
      <c r="AD61" s="439"/>
      <c r="AE61" s="433"/>
      <c r="AF61" s="433"/>
      <c r="AG61" s="434"/>
      <c r="AH61" s="444"/>
      <c r="AI61" s="433"/>
      <c r="AJ61" s="433"/>
      <c r="AK61" s="434"/>
    </row>
    <row r="62" spans="1:37" x14ac:dyDescent="0.35">
      <c r="A62" s="1476">
        <v>44469</v>
      </c>
      <c r="B62" s="426">
        <v>1</v>
      </c>
      <c r="C62" s="432"/>
      <c r="D62" s="433"/>
      <c r="E62" s="433"/>
      <c r="F62" s="434"/>
      <c r="G62" s="439"/>
      <c r="H62" s="433"/>
      <c r="I62" s="433"/>
      <c r="J62" s="434"/>
      <c r="L62" s="439"/>
      <c r="M62" s="433"/>
      <c r="N62" s="433"/>
      <c r="O62" s="434"/>
      <c r="P62" s="444"/>
      <c r="Q62" s="433"/>
      <c r="R62" s="433"/>
      <c r="S62" s="434"/>
      <c r="U62" s="439"/>
      <c r="V62" s="433"/>
      <c r="W62" s="433"/>
      <c r="X62" s="434"/>
      <c r="Y62" s="444"/>
      <c r="Z62" s="433"/>
      <c r="AA62" s="433"/>
      <c r="AB62" s="434"/>
      <c r="AD62" s="439"/>
      <c r="AE62" s="433"/>
      <c r="AF62" s="433"/>
      <c r="AG62" s="434"/>
      <c r="AH62" s="444"/>
      <c r="AI62" s="433"/>
      <c r="AJ62" s="433"/>
      <c r="AK62" s="434"/>
    </row>
    <row r="63" spans="1:37" x14ac:dyDescent="0.35">
      <c r="A63" s="1477"/>
      <c r="B63" s="426">
        <v>2</v>
      </c>
      <c r="C63" s="435"/>
      <c r="D63" s="436"/>
      <c r="E63" s="436">
        <v>50</v>
      </c>
      <c r="F63" s="437"/>
      <c r="G63" s="440"/>
      <c r="H63" s="436"/>
      <c r="I63" s="433" t="s">
        <v>152</v>
      </c>
      <c r="J63" s="437"/>
      <c r="L63" s="440"/>
      <c r="M63" s="436"/>
      <c r="N63" s="436"/>
      <c r="O63" s="437"/>
      <c r="P63" s="445"/>
      <c r="Q63" s="436"/>
      <c r="R63" s="436"/>
      <c r="S63" s="437"/>
      <c r="U63" s="440"/>
      <c r="V63" s="436"/>
      <c r="W63" s="436"/>
      <c r="X63" s="437"/>
      <c r="Y63" s="445"/>
      <c r="Z63" s="436"/>
      <c r="AA63" s="436"/>
      <c r="AB63" s="437"/>
      <c r="AD63" s="440"/>
      <c r="AE63" s="436"/>
      <c r="AF63" s="436"/>
      <c r="AG63" s="437"/>
      <c r="AH63" s="445"/>
      <c r="AI63" s="436"/>
      <c r="AJ63" s="436"/>
      <c r="AK63" s="437"/>
    </row>
    <row r="64" spans="1:37" x14ac:dyDescent="0.35">
      <c r="A64" s="423" t="s">
        <v>225</v>
      </c>
      <c r="C64" s="423">
        <f>SUM(C3:C63)</f>
        <v>95</v>
      </c>
      <c r="D64" s="423">
        <f>SUM(D3:D63)</f>
        <v>84</v>
      </c>
      <c r="E64" s="423">
        <f>SUM(E3:E63)</f>
        <v>522</v>
      </c>
      <c r="F64" s="423">
        <f>SUM(F3:F63)</f>
        <v>4012</v>
      </c>
      <c r="L64" s="423">
        <f>SUM(L3:L63)</f>
        <v>0</v>
      </c>
      <c r="M64" s="423">
        <f>SUM(M3:M63)</f>
        <v>187</v>
      </c>
      <c r="N64" s="423">
        <f>SUM(N3:N63)</f>
        <v>150</v>
      </c>
      <c r="O64" s="423">
        <f>SUM(O3:O63)</f>
        <v>10632</v>
      </c>
      <c r="U64" s="423">
        <f>SUM(U3:U63)</f>
        <v>158</v>
      </c>
      <c r="V64" s="423">
        <f>SUM(V3:V63)</f>
        <v>0</v>
      </c>
      <c r="W64" s="423">
        <f>SUM(W3:W63)</f>
        <v>578</v>
      </c>
      <c r="X64" s="423">
        <f>SUM(X3:X63)</f>
        <v>9520</v>
      </c>
      <c r="AD64" s="423">
        <f>SUM(AD3:AD63)</f>
        <v>55</v>
      </c>
      <c r="AE64" s="423">
        <f>SUM(AE3:AE63)</f>
        <v>15</v>
      </c>
      <c r="AF64" s="423">
        <f>SUM(AF3:AF63)</f>
        <v>50</v>
      </c>
      <c r="AG64" s="423">
        <f>SUM(AG3:AG63)</f>
        <v>10638</v>
      </c>
    </row>
    <row r="72" spans="2:10" ht="14.6" thickBot="1" x14ac:dyDescent="0.4"/>
    <row r="73" spans="2:10" ht="14.6" thickBot="1" x14ac:dyDescent="0.4">
      <c r="C73" s="1467" t="s">
        <v>199</v>
      </c>
      <c r="D73" s="1468"/>
      <c r="E73" s="1469" t="s">
        <v>200</v>
      </c>
      <c r="F73" s="1470"/>
      <c r="G73" s="1467" t="s">
        <v>201</v>
      </c>
      <c r="H73" s="1468"/>
      <c r="I73" s="1467" t="s">
        <v>204</v>
      </c>
      <c r="J73" s="1468"/>
    </row>
    <row r="74" spans="2:10" ht="14.6" thickBot="1" x14ac:dyDescent="0.4">
      <c r="C74" s="455" t="s">
        <v>222</v>
      </c>
      <c r="D74" s="447" t="s">
        <v>223</v>
      </c>
      <c r="E74" s="459" t="s">
        <v>222</v>
      </c>
      <c r="F74" s="451" t="s">
        <v>223</v>
      </c>
      <c r="G74" s="455" t="s">
        <v>222</v>
      </c>
      <c r="H74" s="447" t="s">
        <v>223</v>
      </c>
      <c r="I74" s="455" t="s">
        <v>222</v>
      </c>
      <c r="J74" s="447" t="s">
        <v>223</v>
      </c>
    </row>
    <row r="75" spans="2:10" x14ac:dyDescent="0.35">
      <c r="B75" s="460" t="s">
        <v>218</v>
      </c>
      <c r="C75" s="456">
        <f>C64</f>
        <v>95</v>
      </c>
      <c r="D75" s="448">
        <f>C75/60</f>
        <v>1.5833333333333333</v>
      </c>
      <c r="E75" s="456">
        <f>D64</f>
        <v>84</v>
      </c>
      <c r="F75" s="452">
        <f>E75/60</f>
        <v>1.4</v>
      </c>
      <c r="G75" s="456">
        <f>E64</f>
        <v>522</v>
      </c>
      <c r="H75" s="448">
        <f>G75/60</f>
        <v>8.6999999999999993</v>
      </c>
      <c r="I75" s="456">
        <f>F64</f>
        <v>4012</v>
      </c>
      <c r="J75" s="448">
        <f>I75/60</f>
        <v>66.86666666666666</v>
      </c>
    </row>
    <row r="76" spans="2:10" x14ac:dyDescent="0.35">
      <c r="B76" s="460" t="s">
        <v>219</v>
      </c>
      <c r="C76" s="457">
        <f>L64</f>
        <v>0</v>
      </c>
      <c r="D76" s="449">
        <f t="shared" ref="D76:F78" si="0">C76/60</f>
        <v>0</v>
      </c>
      <c r="E76" s="457">
        <f>M64</f>
        <v>187</v>
      </c>
      <c r="F76" s="453">
        <f t="shared" si="0"/>
        <v>3.1166666666666667</v>
      </c>
      <c r="G76" s="457">
        <f>N64</f>
        <v>150</v>
      </c>
      <c r="H76" s="449">
        <f>G76/60</f>
        <v>2.5</v>
      </c>
      <c r="I76" s="457">
        <f>O64</f>
        <v>10632</v>
      </c>
      <c r="J76" s="449">
        <f>I76/60</f>
        <v>177.2</v>
      </c>
    </row>
    <row r="77" spans="2:10" x14ac:dyDescent="0.35">
      <c r="B77" s="460" t="s">
        <v>220</v>
      </c>
      <c r="C77" s="457">
        <f>U64</f>
        <v>158</v>
      </c>
      <c r="D77" s="449">
        <f t="shared" si="0"/>
        <v>2.6333333333333333</v>
      </c>
      <c r="E77" s="457">
        <f>V64</f>
        <v>0</v>
      </c>
      <c r="F77" s="453">
        <f t="shared" si="0"/>
        <v>0</v>
      </c>
      <c r="G77" s="457">
        <f>W64</f>
        <v>578</v>
      </c>
      <c r="H77" s="449">
        <f>G77/60</f>
        <v>9.6333333333333329</v>
      </c>
      <c r="I77" s="457">
        <f>X64</f>
        <v>9520</v>
      </c>
      <c r="J77" s="449">
        <f>I77/60</f>
        <v>158.66666666666666</v>
      </c>
    </row>
    <row r="78" spans="2:10" ht="14.6" thickBot="1" x14ac:dyDescent="0.4">
      <c r="B78" s="460" t="s">
        <v>221</v>
      </c>
      <c r="C78" s="458">
        <f>AD64</f>
        <v>55</v>
      </c>
      <c r="D78" s="450">
        <f t="shared" si="0"/>
        <v>0.91666666666666663</v>
      </c>
      <c r="E78" s="458">
        <f>AE64</f>
        <v>15</v>
      </c>
      <c r="F78" s="454">
        <f t="shared" si="0"/>
        <v>0.25</v>
      </c>
      <c r="G78" s="458">
        <f>AF64</f>
        <v>50</v>
      </c>
      <c r="H78" s="450">
        <f>G78/60</f>
        <v>0.83333333333333337</v>
      </c>
      <c r="I78" s="458">
        <f>AG64</f>
        <v>10638</v>
      </c>
      <c r="J78" s="450">
        <f>I78/60</f>
        <v>177.3</v>
      </c>
    </row>
    <row r="79" spans="2:10" ht="14.6" thickBot="1" x14ac:dyDescent="0.4"/>
    <row r="80" spans="2:10" ht="14.6" thickBot="1" x14ac:dyDescent="0.4">
      <c r="B80" s="461" t="s">
        <v>217</v>
      </c>
      <c r="C80" s="462"/>
      <c r="D80" s="463">
        <f>SUM(D75:D79)</f>
        <v>5.1333333333333337</v>
      </c>
      <c r="E80" s="462"/>
      <c r="F80" s="463">
        <f>SUM(F75:F79)</f>
        <v>4.7666666666666666</v>
      </c>
      <c r="G80" s="462"/>
      <c r="H80" s="463">
        <f>SUM(H75:H79)</f>
        <v>21.666666666666664</v>
      </c>
      <c r="I80" s="462"/>
      <c r="J80" s="464">
        <f>SUM(J75:J79)</f>
        <v>580.0333333333333</v>
      </c>
    </row>
  </sheetData>
  <mergeCells count="43">
    <mergeCell ref="A9:A10"/>
    <mergeCell ref="A3:A4"/>
    <mergeCell ref="A5:A6"/>
    <mergeCell ref="A7:A8"/>
    <mergeCell ref="B54:B55"/>
    <mergeCell ref="A47:A48"/>
    <mergeCell ref="A39:A4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41:A42"/>
    <mergeCell ref="A43:A44"/>
    <mergeCell ref="A45:A46"/>
    <mergeCell ref="A62:A63"/>
    <mergeCell ref="A49:A50"/>
    <mergeCell ref="A51:A52"/>
    <mergeCell ref="A53:A55"/>
    <mergeCell ref="A56:A57"/>
    <mergeCell ref="A58:A59"/>
    <mergeCell ref="A60:A61"/>
    <mergeCell ref="AH1:AK1"/>
    <mergeCell ref="G1:J1"/>
    <mergeCell ref="L1:O1"/>
    <mergeCell ref="P1:S1"/>
    <mergeCell ref="U1:X1"/>
    <mergeCell ref="Y1:AB1"/>
    <mergeCell ref="C73:D73"/>
    <mergeCell ref="E73:F73"/>
    <mergeCell ref="G73:H73"/>
    <mergeCell ref="I73:J73"/>
    <mergeCell ref="AD1:AG1"/>
    <mergeCell ref="C1:F1"/>
  </mergeCells>
  <pageMargins left="0.7" right="0.7" top="0.75" bottom="0.75" header="0.3" footer="0.3"/>
  <pageSetup paperSize="9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81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B76" sqref="AB76"/>
    </sheetView>
  </sheetViews>
  <sheetFormatPr defaultColWidth="8.84375" defaultRowHeight="14.15" x14ac:dyDescent="0.35"/>
  <cols>
    <col min="1" max="1" width="10.3046875" style="423" bestFit="1" customWidth="1"/>
    <col min="2" max="2" width="10.53515625" style="65" customWidth="1"/>
    <col min="3" max="6" width="8.84375" style="423"/>
    <col min="7" max="7" width="12.84375" style="423" customWidth="1"/>
    <col min="8" max="8" width="8.84375" style="423"/>
    <col min="9" max="9" width="9.69140625" style="423" customWidth="1"/>
    <col min="10" max="10" width="17.3046875" style="423" bestFit="1" customWidth="1"/>
    <col min="11" max="17" width="8.84375" style="423"/>
    <col min="18" max="18" width="12.3828125" style="423" customWidth="1"/>
    <col min="19" max="19" width="15.3046875" style="423" bestFit="1" customWidth="1"/>
    <col min="20" max="23" width="8.84375" style="423"/>
    <col min="24" max="24" width="9.3828125" style="423" bestFit="1" customWidth="1"/>
    <col min="25" max="25" width="14.3046875" style="423" customWidth="1"/>
    <col min="26" max="26" width="12.84375" style="423" customWidth="1"/>
    <col min="27" max="27" width="12.3828125" style="423" customWidth="1"/>
    <col min="28" max="28" width="15.3046875" style="423" customWidth="1"/>
    <col min="29" max="33" width="8.84375" style="423"/>
    <col min="34" max="34" width="11.69140625" style="423" customWidth="1"/>
    <col min="35" max="35" width="8.84375" style="423"/>
    <col min="36" max="36" width="10.53515625" style="423" customWidth="1"/>
    <col min="37" max="37" width="15.3046875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202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203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14.6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425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14.6" thickTop="1" x14ac:dyDescent="0.35">
      <c r="A3" s="1478">
        <v>44470</v>
      </c>
      <c r="B3" s="501">
        <v>1</v>
      </c>
      <c r="C3" s="490"/>
      <c r="D3" s="491"/>
      <c r="E3" s="491">
        <v>20</v>
      </c>
      <c r="F3" s="492"/>
      <c r="G3" s="475"/>
      <c r="H3" s="476"/>
      <c r="I3" s="487" t="s">
        <v>152</v>
      </c>
      <c r="J3" s="477"/>
      <c r="L3" s="441"/>
      <c r="M3" s="442"/>
      <c r="N3" s="442"/>
      <c r="O3" s="431"/>
      <c r="P3" s="443"/>
      <c r="Q3" s="12"/>
      <c r="R3" s="12"/>
      <c r="S3" s="431"/>
      <c r="U3" s="441"/>
      <c r="V3" s="442"/>
      <c r="W3" s="442"/>
      <c r="X3" s="431"/>
      <c r="Y3" s="443"/>
      <c r="Z3" s="12"/>
      <c r="AA3" s="12"/>
      <c r="AB3" s="431"/>
      <c r="AD3" s="441"/>
      <c r="AE3" s="442"/>
      <c r="AF3" s="442"/>
      <c r="AG3" s="431"/>
      <c r="AH3" s="443"/>
      <c r="AI3" s="12"/>
      <c r="AJ3" s="12"/>
      <c r="AK3" s="431"/>
    </row>
    <row r="4" spans="1:37" ht="42.45" x14ac:dyDescent="0.35">
      <c r="A4" s="1477"/>
      <c r="B4" s="472">
        <v>2</v>
      </c>
      <c r="C4" s="493"/>
      <c r="D4" s="494"/>
      <c r="E4" s="494">
        <v>25</v>
      </c>
      <c r="F4" s="495"/>
      <c r="G4" s="478"/>
      <c r="H4" s="479"/>
      <c r="I4" s="474" t="s">
        <v>232</v>
      </c>
      <c r="J4" s="480"/>
      <c r="L4" s="439"/>
      <c r="M4" s="433"/>
      <c r="N4" s="433"/>
      <c r="O4" s="434"/>
      <c r="P4" s="444"/>
      <c r="Q4" s="433"/>
      <c r="R4" s="433"/>
      <c r="S4" s="434"/>
      <c r="U4" s="439"/>
      <c r="V4" s="433"/>
      <c r="W4" s="6">
        <v>35</v>
      </c>
      <c r="X4" s="434"/>
      <c r="Y4" s="444"/>
      <c r="Z4" s="433"/>
      <c r="AA4" s="488" t="s">
        <v>152</v>
      </c>
      <c r="AB4" s="489"/>
      <c r="AD4" s="439"/>
      <c r="AE4" s="433"/>
      <c r="AF4" s="433"/>
      <c r="AG4" s="434"/>
      <c r="AH4" s="444"/>
      <c r="AI4" s="433"/>
      <c r="AJ4" s="433"/>
      <c r="AK4" s="434"/>
    </row>
    <row r="5" spans="1:37" x14ac:dyDescent="0.35">
      <c r="A5" s="1478">
        <v>44471</v>
      </c>
      <c r="B5" s="472">
        <v>1</v>
      </c>
      <c r="C5" s="493"/>
      <c r="D5" s="494"/>
      <c r="E5" s="494">
        <v>10</v>
      </c>
      <c r="F5" s="495"/>
      <c r="G5" s="478"/>
      <c r="H5" s="479"/>
      <c r="I5" s="479" t="s">
        <v>152</v>
      </c>
      <c r="J5" s="480"/>
      <c r="L5" s="439"/>
      <c r="M5" s="433"/>
      <c r="N5" s="433"/>
      <c r="O5" s="434"/>
      <c r="P5" s="444"/>
      <c r="Q5" s="433"/>
      <c r="R5" s="433"/>
      <c r="S5" s="434"/>
      <c r="U5" s="439"/>
      <c r="V5" s="433"/>
      <c r="W5" s="15"/>
      <c r="X5" s="434"/>
      <c r="Y5" s="444"/>
      <c r="Z5" s="433"/>
      <c r="AA5" s="488"/>
      <c r="AB5" s="489"/>
      <c r="AD5" s="439"/>
      <c r="AE5" s="433"/>
      <c r="AF5" s="433"/>
      <c r="AG5" s="434"/>
      <c r="AH5" s="444"/>
      <c r="AI5" s="433"/>
      <c r="AJ5" s="433"/>
      <c r="AK5" s="434"/>
    </row>
    <row r="6" spans="1:37" ht="42.45" x14ac:dyDescent="0.35">
      <c r="A6" s="1477"/>
      <c r="B6" s="472">
        <v>2</v>
      </c>
      <c r="C6" s="493"/>
      <c r="D6" s="494"/>
      <c r="E6" s="494"/>
      <c r="F6" s="495"/>
      <c r="G6" s="478"/>
      <c r="H6" s="479"/>
      <c r="I6" s="479"/>
      <c r="J6" s="480"/>
      <c r="L6" s="439"/>
      <c r="M6" s="433"/>
      <c r="N6" s="433"/>
      <c r="O6" s="434"/>
      <c r="P6" s="444"/>
      <c r="Q6" s="433"/>
      <c r="R6" s="433"/>
      <c r="S6" s="434"/>
      <c r="U6" s="439"/>
      <c r="V6" s="433"/>
      <c r="W6" s="15">
        <v>10</v>
      </c>
      <c r="X6" s="434"/>
      <c r="Y6" s="444"/>
      <c r="Z6" s="433"/>
      <c r="AA6" s="488" t="s">
        <v>152</v>
      </c>
      <c r="AB6" s="489"/>
      <c r="AD6" s="439"/>
      <c r="AE6" s="433"/>
      <c r="AF6" s="6">
        <v>10</v>
      </c>
      <c r="AG6" s="434"/>
      <c r="AH6" s="444"/>
      <c r="AI6" s="433"/>
      <c r="AJ6" s="467" t="s">
        <v>233</v>
      </c>
      <c r="AK6" s="434"/>
    </row>
    <row r="7" spans="1:37" x14ac:dyDescent="0.35">
      <c r="A7" s="1478">
        <v>44472</v>
      </c>
      <c r="B7" s="472">
        <v>1</v>
      </c>
      <c r="C7" s="493"/>
      <c r="D7" s="494"/>
      <c r="E7" s="494"/>
      <c r="F7" s="495"/>
      <c r="G7" s="478"/>
      <c r="H7" s="479"/>
      <c r="I7" s="479"/>
      <c r="J7" s="480"/>
      <c r="L7" s="439"/>
      <c r="M7" s="433"/>
      <c r="N7" s="433"/>
      <c r="O7" s="434"/>
      <c r="P7" s="444"/>
      <c r="Q7" s="433"/>
      <c r="R7" s="433"/>
      <c r="S7" s="434"/>
      <c r="U7" s="439"/>
      <c r="V7" s="433"/>
      <c r="W7" s="15"/>
      <c r="X7" s="434"/>
      <c r="Y7" s="444"/>
      <c r="Z7" s="433"/>
      <c r="AA7" s="433"/>
      <c r="AB7" s="434"/>
      <c r="AD7" s="439"/>
      <c r="AE7" s="433"/>
      <c r="AF7" s="433"/>
      <c r="AG7" s="434"/>
      <c r="AH7" s="444"/>
      <c r="AI7" s="433"/>
      <c r="AJ7" s="433"/>
      <c r="AK7" s="434"/>
    </row>
    <row r="8" spans="1:37" ht="42.45" x14ac:dyDescent="0.35">
      <c r="A8" s="1477"/>
      <c r="B8" s="472">
        <v>2</v>
      </c>
      <c r="C8" s="493"/>
      <c r="D8" s="494"/>
      <c r="E8" s="494">
        <v>15</v>
      </c>
      <c r="F8" s="495"/>
      <c r="G8" s="478"/>
      <c r="H8" s="479"/>
      <c r="I8" s="483" t="s">
        <v>232</v>
      </c>
      <c r="J8" s="480"/>
      <c r="L8" s="439"/>
      <c r="M8" s="433"/>
      <c r="N8" s="433"/>
      <c r="O8" s="434"/>
      <c r="P8" s="444"/>
      <c r="Q8" s="433"/>
      <c r="R8" s="433"/>
      <c r="S8" s="434"/>
      <c r="U8" s="439"/>
      <c r="V8" s="433"/>
      <c r="W8" s="15"/>
      <c r="X8" s="434"/>
      <c r="Y8" s="444"/>
      <c r="Z8" s="433"/>
      <c r="AA8" s="433"/>
      <c r="AB8" s="434"/>
      <c r="AD8" s="439"/>
      <c r="AE8" s="433"/>
      <c r="AF8" s="433"/>
      <c r="AG8" s="434"/>
      <c r="AH8" s="444"/>
      <c r="AI8" s="433"/>
      <c r="AJ8" s="433"/>
      <c r="AK8" s="434"/>
    </row>
    <row r="9" spans="1:37" x14ac:dyDescent="0.35">
      <c r="A9" s="1478">
        <v>44473</v>
      </c>
      <c r="B9" s="472">
        <v>1</v>
      </c>
      <c r="C9" s="493"/>
      <c r="D9" s="494"/>
      <c r="E9" s="494">
        <v>15</v>
      </c>
      <c r="F9" s="495"/>
      <c r="G9" s="478"/>
      <c r="H9" s="479"/>
      <c r="I9" s="479" t="s">
        <v>152</v>
      </c>
      <c r="J9" s="480"/>
      <c r="L9" s="439"/>
      <c r="M9" s="15">
        <v>120</v>
      </c>
      <c r="N9" s="433"/>
      <c r="O9" s="434"/>
      <c r="P9" s="444"/>
      <c r="Q9" s="433" t="s">
        <v>96</v>
      </c>
      <c r="R9" s="433"/>
      <c r="S9" s="434"/>
      <c r="U9" s="439"/>
      <c r="V9" s="433"/>
      <c r="W9" s="15"/>
      <c r="X9" s="434"/>
      <c r="Y9" s="444"/>
      <c r="Z9" s="433"/>
      <c r="AA9" s="433"/>
      <c r="AB9" s="434"/>
      <c r="AD9" s="439"/>
      <c r="AE9" s="433"/>
      <c r="AF9" s="433"/>
      <c r="AG9" s="434"/>
      <c r="AH9" s="444"/>
      <c r="AI9" s="433"/>
      <c r="AJ9" s="433"/>
      <c r="AK9" s="434"/>
    </row>
    <row r="10" spans="1:37" x14ac:dyDescent="0.35">
      <c r="A10" s="1477"/>
      <c r="B10" s="472">
        <v>2</v>
      </c>
      <c r="C10" s="493"/>
      <c r="D10" s="494"/>
      <c r="E10" s="494">
        <v>20</v>
      </c>
      <c r="F10" s="495"/>
      <c r="G10" s="478"/>
      <c r="H10" s="479"/>
      <c r="I10" s="479" t="s">
        <v>152</v>
      </c>
      <c r="J10" s="480"/>
      <c r="L10" s="439"/>
      <c r="M10" s="433"/>
      <c r="N10" s="433"/>
      <c r="O10" s="434"/>
      <c r="P10" s="444"/>
      <c r="Q10" s="433"/>
      <c r="R10" s="433"/>
      <c r="S10" s="434"/>
      <c r="U10" s="439"/>
      <c r="V10" s="433"/>
      <c r="W10" s="15"/>
      <c r="X10" s="434"/>
      <c r="Y10" s="444"/>
      <c r="Z10" s="433"/>
      <c r="AA10" s="433"/>
      <c r="AB10" s="434"/>
      <c r="AD10" s="439"/>
      <c r="AE10" s="433"/>
      <c r="AF10" s="433"/>
      <c r="AG10" s="434"/>
      <c r="AH10" s="444"/>
      <c r="AI10" s="433"/>
      <c r="AJ10" s="433"/>
      <c r="AK10" s="434"/>
    </row>
    <row r="11" spans="1:37" x14ac:dyDescent="0.35">
      <c r="A11" s="1478">
        <v>44474</v>
      </c>
      <c r="B11" s="472">
        <v>1</v>
      </c>
      <c r="C11" s="493"/>
      <c r="D11" s="494"/>
      <c r="E11" s="494"/>
      <c r="F11" s="495"/>
      <c r="G11" s="478"/>
      <c r="H11" s="479"/>
      <c r="I11" s="479"/>
      <c r="J11" s="480"/>
      <c r="L11" s="439"/>
      <c r="M11" s="433"/>
      <c r="N11" s="433"/>
      <c r="O11" s="434"/>
      <c r="P11" s="444"/>
      <c r="Q11" s="433"/>
      <c r="R11" s="433"/>
      <c r="S11" s="434"/>
      <c r="U11" s="439"/>
      <c r="V11" s="433"/>
      <c r="W11" s="15"/>
      <c r="X11" s="434"/>
      <c r="Y11" s="444"/>
      <c r="Z11" s="433"/>
      <c r="AA11" s="433"/>
      <c r="AB11" s="434"/>
      <c r="AD11" s="439"/>
      <c r="AE11" s="433"/>
      <c r="AF11" s="433"/>
      <c r="AG11" s="434"/>
      <c r="AH11" s="444"/>
      <c r="AI11" s="433"/>
      <c r="AJ11" s="433"/>
      <c r="AK11" s="434"/>
    </row>
    <row r="12" spans="1:37" x14ac:dyDescent="0.35">
      <c r="A12" s="1477"/>
      <c r="B12" s="472">
        <v>2</v>
      </c>
      <c r="C12" s="493"/>
      <c r="D12" s="494"/>
      <c r="E12" s="494"/>
      <c r="F12" s="495"/>
      <c r="G12" s="478"/>
      <c r="H12" s="479"/>
      <c r="I12" s="479"/>
      <c r="J12" s="480"/>
      <c r="L12" s="439"/>
      <c r="M12" s="433"/>
      <c r="N12" s="433"/>
      <c r="O12" s="434"/>
      <c r="P12" s="444"/>
      <c r="Q12" s="433"/>
      <c r="R12" s="433"/>
      <c r="S12" s="434"/>
      <c r="U12" s="439"/>
      <c r="V12" s="433"/>
      <c r="W12" s="15"/>
      <c r="X12" s="434"/>
      <c r="Y12" s="444"/>
      <c r="Z12" s="433"/>
      <c r="AA12" s="433"/>
      <c r="AB12" s="434"/>
      <c r="AD12" s="439"/>
      <c r="AE12" s="433"/>
      <c r="AF12" s="433"/>
      <c r="AG12" s="434"/>
      <c r="AH12" s="444"/>
      <c r="AI12" s="433"/>
      <c r="AJ12" s="433"/>
      <c r="AK12" s="434"/>
    </row>
    <row r="13" spans="1:37" ht="42.45" x14ac:dyDescent="0.35">
      <c r="A13" s="1478">
        <v>44475</v>
      </c>
      <c r="B13" s="472">
        <v>1</v>
      </c>
      <c r="C13" s="493"/>
      <c r="D13" s="494"/>
      <c r="E13" s="494">
        <v>20</v>
      </c>
      <c r="F13" s="495"/>
      <c r="G13" s="478"/>
      <c r="H13" s="479"/>
      <c r="I13" s="483" t="s">
        <v>232</v>
      </c>
      <c r="J13" s="480"/>
      <c r="L13" s="439"/>
      <c r="M13" s="433"/>
      <c r="N13" s="433"/>
      <c r="O13" s="434"/>
      <c r="P13" s="444"/>
      <c r="Q13" s="433"/>
      <c r="R13" s="433"/>
      <c r="S13" s="434"/>
      <c r="U13" s="439"/>
      <c r="V13" s="433"/>
      <c r="W13" s="15">
        <v>15</v>
      </c>
      <c r="X13" s="434" t="s">
        <v>234</v>
      </c>
      <c r="Y13" s="444"/>
      <c r="Z13" s="433"/>
      <c r="AA13" s="499" t="s">
        <v>97</v>
      </c>
      <c r="AB13" s="466" t="s">
        <v>235</v>
      </c>
      <c r="AD13" s="439"/>
      <c r="AE13" s="433"/>
      <c r="AF13" s="433"/>
      <c r="AG13" s="434"/>
      <c r="AH13" s="444"/>
      <c r="AI13" s="433"/>
      <c r="AJ13" s="433"/>
      <c r="AK13" s="434"/>
    </row>
    <row r="14" spans="1:37" x14ac:dyDescent="0.35">
      <c r="A14" s="1477"/>
      <c r="B14" s="472">
        <v>2</v>
      </c>
      <c r="C14" s="493"/>
      <c r="D14" s="494"/>
      <c r="E14" s="494">
        <v>12</v>
      </c>
      <c r="F14" s="495"/>
      <c r="G14" s="478"/>
      <c r="H14" s="479"/>
      <c r="I14" s="479" t="s">
        <v>160</v>
      </c>
      <c r="J14" s="480"/>
      <c r="L14" s="439"/>
      <c r="M14" s="433"/>
      <c r="N14" s="433"/>
      <c r="O14" s="434"/>
      <c r="P14" s="444"/>
      <c r="Q14" s="433"/>
      <c r="R14" s="433"/>
      <c r="S14" s="434"/>
      <c r="U14" s="439"/>
      <c r="V14" s="433"/>
      <c r="W14" s="433"/>
      <c r="X14" s="434" t="s">
        <v>236</v>
      </c>
      <c r="Y14" s="444"/>
      <c r="Z14" s="433"/>
      <c r="AA14" s="433"/>
      <c r="AB14" s="434" t="s">
        <v>237</v>
      </c>
      <c r="AD14" s="439"/>
      <c r="AE14" s="433"/>
      <c r="AF14" s="433">
        <v>10</v>
      </c>
      <c r="AG14" s="434"/>
      <c r="AH14" s="444"/>
      <c r="AI14" s="433"/>
      <c r="AJ14" s="433" t="s">
        <v>152</v>
      </c>
      <c r="AK14" s="434"/>
    </row>
    <row r="15" spans="1:37" x14ac:dyDescent="0.35">
      <c r="A15" s="1478">
        <v>44476</v>
      </c>
      <c r="B15" s="472">
        <v>1</v>
      </c>
      <c r="C15" s="493"/>
      <c r="D15" s="494"/>
      <c r="E15" s="494">
        <v>10</v>
      </c>
      <c r="F15" s="495"/>
      <c r="G15" s="478"/>
      <c r="H15" s="479"/>
      <c r="I15" s="479" t="s">
        <v>160</v>
      </c>
      <c r="J15" s="480"/>
      <c r="L15" s="439"/>
      <c r="M15" s="433"/>
      <c r="N15" s="433"/>
      <c r="O15" s="434"/>
      <c r="P15" s="439"/>
      <c r="Q15" s="433"/>
      <c r="R15" s="433"/>
      <c r="S15" s="434"/>
      <c r="U15" s="439"/>
      <c r="V15" s="433"/>
      <c r="W15" s="433">
        <v>10</v>
      </c>
      <c r="X15" s="434"/>
      <c r="Y15" s="439"/>
      <c r="Z15" s="433"/>
      <c r="AA15" s="433" t="s">
        <v>152</v>
      </c>
      <c r="AB15" s="434"/>
      <c r="AD15" s="439"/>
      <c r="AE15" s="433"/>
      <c r="AF15" s="433"/>
      <c r="AG15" s="434"/>
      <c r="AH15" s="439"/>
      <c r="AI15" s="433"/>
      <c r="AJ15" s="433"/>
      <c r="AK15" s="434"/>
    </row>
    <row r="16" spans="1:37" x14ac:dyDescent="0.35">
      <c r="A16" s="1477"/>
      <c r="B16" s="472">
        <v>2</v>
      </c>
      <c r="C16" s="493">
        <v>240</v>
      </c>
      <c r="D16" s="494"/>
      <c r="E16" s="494">
        <v>10</v>
      </c>
      <c r="F16" s="495"/>
      <c r="G16" s="478" t="s">
        <v>238</v>
      </c>
      <c r="H16" s="479"/>
      <c r="I16" s="479" t="s">
        <v>160</v>
      </c>
      <c r="J16" s="480"/>
      <c r="L16" s="439"/>
      <c r="M16" s="433"/>
      <c r="N16" s="433"/>
      <c r="O16" s="434"/>
      <c r="P16" s="439"/>
      <c r="Q16" s="433"/>
      <c r="R16" s="433"/>
      <c r="S16" s="434"/>
      <c r="U16" s="439"/>
      <c r="V16" s="433">
        <v>60</v>
      </c>
      <c r="W16" s="433">
        <v>10</v>
      </c>
      <c r="X16" s="434"/>
      <c r="Y16" s="439"/>
      <c r="Z16" s="433"/>
      <c r="AA16" s="433" t="s">
        <v>152</v>
      </c>
      <c r="AB16" s="434"/>
      <c r="AD16" s="439"/>
      <c r="AE16" s="433"/>
      <c r="AF16" s="433"/>
      <c r="AG16" s="434"/>
      <c r="AH16" s="439"/>
      <c r="AI16" s="433"/>
      <c r="AJ16" s="433"/>
      <c r="AK16" s="434"/>
    </row>
    <row r="17" spans="1:37" x14ac:dyDescent="0.35">
      <c r="A17" s="1478">
        <v>44477</v>
      </c>
      <c r="B17" s="472">
        <v>1</v>
      </c>
      <c r="C17" s="493">
        <v>720</v>
      </c>
      <c r="D17" s="494"/>
      <c r="E17" s="494"/>
      <c r="F17" s="495"/>
      <c r="G17" s="478" t="s">
        <v>238</v>
      </c>
      <c r="H17" s="479"/>
      <c r="I17" s="479"/>
      <c r="J17" s="480"/>
      <c r="L17" s="439"/>
      <c r="M17" s="433"/>
      <c r="N17" s="433"/>
      <c r="O17" s="434"/>
      <c r="P17" s="439"/>
      <c r="Q17" s="433"/>
      <c r="R17" s="433"/>
      <c r="S17" s="434"/>
      <c r="U17" s="439"/>
      <c r="V17" s="433"/>
      <c r="W17" s="433"/>
      <c r="X17" s="434"/>
      <c r="Y17" s="439"/>
      <c r="Z17" s="433"/>
      <c r="AA17" s="433"/>
      <c r="AB17" s="434"/>
      <c r="AD17" s="439"/>
      <c r="AE17" s="433"/>
      <c r="AF17" s="433"/>
      <c r="AG17" s="434"/>
      <c r="AH17" s="439"/>
      <c r="AI17" s="433"/>
      <c r="AJ17" s="433"/>
      <c r="AK17" s="434"/>
    </row>
    <row r="18" spans="1:37" x14ac:dyDescent="0.35">
      <c r="A18" s="1477"/>
      <c r="B18" s="472">
        <v>2</v>
      </c>
      <c r="C18" s="493">
        <v>720</v>
      </c>
      <c r="D18" s="494"/>
      <c r="E18" s="494"/>
      <c r="F18" s="495"/>
      <c r="G18" s="478" t="s">
        <v>238</v>
      </c>
      <c r="H18" s="479"/>
      <c r="I18" s="479"/>
      <c r="J18" s="480"/>
      <c r="L18" s="439"/>
      <c r="M18" s="433"/>
      <c r="N18" s="433"/>
      <c r="O18" s="434"/>
      <c r="P18" s="439"/>
      <c r="Q18" s="433"/>
      <c r="R18" s="433"/>
      <c r="S18" s="434"/>
      <c r="U18" s="439"/>
      <c r="V18" s="433"/>
      <c r="W18" s="433"/>
      <c r="X18" s="434"/>
      <c r="Y18" s="439"/>
      <c r="Z18" s="433"/>
      <c r="AA18" s="433"/>
      <c r="AB18" s="434"/>
      <c r="AD18" s="439"/>
      <c r="AE18" s="433"/>
      <c r="AF18" s="433"/>
      <c r="AG18" s="434"/>
      <c r="AH18" s="439"/>
      <c r="AI18" s="433"/>
      <c r="AJ18" s="433"/>
      <c r="AK18" s="434"/>
    </row>
    <row r="19" spans="1:37" x14ac:dyDescent="0.35">
      <c r="A19" s="1478">
        <v>44478</v>
      </c>
      <c r="B19" s="472">
        <v>1</v>
      </c>
      <c r="D19" s="494"/>
      <c r="E19" s="493">
        <v>155</v>
      </c>
      <c r="F19" s="495"/>
      <c r="G19" s="478"/>
      <c r="H19" s="479"/>
      <c r="I19" s="479" t="s">
        <v>239</v>
      </c>
      <c r="J19" s="480"/>
      <c r="L19" s="439"/>
      <c r="M19" s="433"/>
      <c r="N19" s="433"/>
      <c r="O19" s="434"/>
      <c r="P19" s="439"/>
      <c r="Q19" s="433"/>
      <c r="R19" s="433"/>
      <c r="S19" s="434"/>
      <c r="U19" s="439">
        <v>25</v>
      </c>
      <c r="V19" s="433"/>
      <c r="W19" s="433">
        <v>30</v>
      </c>
      <c r="X19" s="434"/>
      <c r="Y19" s="439" t="s">
        <v>240</v>
      </c>
      <c r="Z19" s="433"/>
      <c r="AA19" s="433" t="s">
        <v>152</v>
      </c>
      <c r="AB19" s="434"/>
      <c r="AD19" s="439"/>
      <c r="AE19" s="433"/>
      <c r="AF19" s="433"/>
      <c r="AG19" s="434"/>
      <c r="AH19" s="439"/>
      <c r="AI19" s="433"/>
      <c r="AJ19" s="433"/>
      <c r="AK19" s="434"/>
    </row>
    <row r="20" spans="1:37" x14ac:dyDescent="0.35">
      <c r="A20" s="1477"/>
      <c r="B20" s="472">
        <v>2</v>
      </c>
      <c r="C20" s="493"/>
      <c r="D20" s="494"/>
      <c r="E20" s="494"/>
      <c r="F20" s="495"/>
      <c r="G20" s="478"/>
      <c r="H20" s="479"/>
      <c r="I20" s="479"/>
      <c r="J20" s="480"/>
      <c r="L20" s="439">
        <v>90</v>
      </c>
      <c r="M20" s="433"/>
      <c r="N20" s="433"/>
      <c r="O20" s="434"/>
      <c r="P20" s="439" t="s">
        <v>241</v>
      </c>
      <c r="Q20" s="433"/>
      <c r="R20" s="433"/>
      <c r="S20" s="434"/>
      <c r="U20" s="439"/>
      <c r="V20" s="433">
        <v>15</v>
      </c>
      <c r="W20" s="433">
        <v>10</v>
      </c>
      <c r="X20" s="434"/>
      <c r="Y20" s="439"/>
      <c r="Z20" s="433"/>
      <c r="AA20" s="433" t="s">
        <v>242</v>
      </c>
      <c r="AB20" s="434" t="s">
        <v>152</v>
      </c>
      <c r="AD20" s="439"/>
      <c r="AE20" s="433"/>
      <c r="AF20" s="433"/>
      <c r="AG20" s="434"/>
      <c r="AH20" s="439"/>
      <c r="AI20" s="433"/>
      <c r="AJ20" s="433"/>
      <c r="AK20" s="434"/>
    </row>
    <row r="21" spans="1:37" x14ac:dyDescent="0.35">
      <c r="A21" s="1478">
        <v>44479</v>
      </c>
      <c r="B21" s="472">
        <v>1</v>
      </c>
      <c r="C21" s="493"/>
      <c r="D21" s="494"/>
      <c r="E21" s="494">
        <v>25</v>
      </c>
      <c r="F21" s="495"/>
      <c r="G21" s="478"/>
      <c r="H21" s="479"/>
      <c r="I21" s="479" t="s">
        <v>152</v>
      </c>
      <c r="J21" s="480"/>
      <c r="L21" s="439"/>
      <c r="M21" s="433"/>
      <c r="N21" s="433"/>
      <c r="O21" s="434"/>
      <c r="P21" s="439"/>
      <c r="Q21" s="433"/>
      <c r="R21" s="433"/>
      <c r="S21" s="434"/>
      <c r="U21" s="439"/>
      <c r="V21" s="433"/>
      <c r="W21" s="433">
        <v>10</v>
      </c>
      <c r="X21" s="434"/>
      <c r="Y21" s="439"/>
      <c r="Z21" s="433"/>
      <c r="AA21" s="433" t="s">
        <v>152</v>
      </c>
      <c r="AB21" s="434"/>
      <c r="AD21" s="439"/>
      <c r="AE21" s="433"/>
      <c r="AF21" s="433"/>
      <c r="AG21" s="434"/>
      <c r="AH21" s="439"/>
      <c r="AI21" s="433"/>
      <c r="AJ21" s="433"/>
      <c r="AK21" s="434"/>
    </row>
    <row r="22" spans="1:37" x14ac:dyDescent="0.35">
      <c r="A22" s="1477"/>
      <c r="B22" s="472">
        <v>2</v>
      </c>
      <c r="C22" s="493">
        <v>30</v>
      </c>
      <c r="D22" s="494"/>
      <c r="E22" s="494"/>
      <c r="F22" s="495"/>
      <c r="G22" s="478" t="s">
        <v>243</v>
      </c>
      <c r="H22" s="479"/>
      <c r="I22" s="479"/>
      <c r="J22" s="480"/>
      <c r="L22" s="439">
        <v>150</v>
      </c>
      <c r="M22" s="433"/>
      <c r="N22" s="433"/>
      <c r="O22" s="434"/>
      <c r="P22" s="439" t="s">
        <v>244</v>
      </c>
      <c r="Q22" s="433"/>
      <c r="R22" s="433"/>
      <c r="S22" s="434"/>
      <c r="U22" s="439"/>
      <c r="V22" s="433"/>
      <c r="W22" s="433"/>
      <c r="X22" s="434"/>
      <c r="Y22" s="439"/>
      <c r="Z22" s="433"/>
      <c r="AA22" s="433"/>
      <c r="AB22" s="434"/>
      <c r="AD22" s="439"/>
      <c r="AE22" s="433"/>
      <c r="AF22" s="433"/>
      <c r="AG22" s="434"/>
      <c r="AH22" s="439"/>
      <c r="AI22" s="433"/>
      <c r="AJ22" s="433"/>
      <c r="AK22" s="434"/>
    </row>
    <row r="23" spans="1:37" x14ac:dyDescent="0.35">
      <c r="A23" s="1478">
        <v>44480</v>
      </c>
      <c r="B23" s="472">
        <v>1</v>
      </c>
      <c r="C23" s="493"/>
      <c r="D23" s="494"/>
      <c r="E23" s="494">
        <v>15</v>
      </c>
      <c r="F23" s="495"/>
      <c r="G23" s="478"/>
      <c r="H23" s="479"/>
      <c r="I23" s="479" t="s">
        <v>152</v>
      </c>
      <c r="J23" s="480"/>
      <c r="L23" s="439"/>
      <c r="M23" s="433"/>
      <c r="N23" s="433"/>
      <c r="O23" s="434"/>
      <c r="P23" s="439"/>
      <c r="Q23" s="433"/>
      <c r="R23" s="433"/>
      <c r="S23" s="434"/>
      <c r="U23" s="439"/>
      <c r="V23" s="433"/>
      <c r="W23" s="433"/>
      <c r="X23" s="434"/>
      <c r="Y23" s="439"/>
      <c r="Z23" s="433"/>
      <c r="AA23" s="433"/>
      <c r="AB23" s="434"/>
      <c r="AD23" s="439"/>
      <c r="AE23" s="433"/>
      <c r="AF23" s="433"/>
      <c r="AG23" s="434"/>
      <c r="AH23" s="439"/>
      <c r="AI23" s="433"/>
      <c r="AJ23" s="433"/>
      <c r="AK23" s="434"/>
    </row>
    <row r="24" spans="1:37" x14ac:dyDescent="0.35">
      <c r="A24" s="1477"/>
      <c r="B24" s="472">
        <v>2</v>
      </c>
      <c r="C24" s="493"/>
      <c r="D24" s="494"/>
      <c r="E24" s="494"/>
      <c r="F24" s="495"/>
      <c r="G24" s="478"/>
      <c r="H24" s="479"/>
      <c r="I24" s="479"/>
      <c r="J24" s="480"/>
      <c r="L24" s="439"/>
      <c r="M24" s="433"/>
      <c r="N24" s="433"/>
      <c r="O24" s="434"/>
      <c r="P24" s="439"/>
      <c r="Q24" s="433"/>
      <c r="R24" s="433"/>
      <c r="S24" s="434"/>
      <c r="U24" s="439"/>
      <c r="V24" s="433"/>
      <c r="W24" s="433"/>
      <c r="X24" s="434"/>
      <c r="Y24" s="439"/>
      <c r="Z24" s="433"/>
      <c r="AA24" s="433"/>
      <c r="AB24" s="434"/>
      <c r="AD24" s="439"/>
      <c r="AE24" s="433"/>
      <c r="AF24" s="433"/>
      <c r="AG24" s="434"/>
      <c r="AH24" s="439"/>
      <c r="AI24" s="433"/>
      <c r="AJ24" s="433"/>
      <c r="AK24" s="434"/>
    </row>
    <row r="25" spans="1:37" x14ac:dyDescent="0.35">
      <c r="A25" s="1478">
        <v>44481</v>
      </c>
      <c r="B25" s="472">
        <v>1</v>
      </c>
      <c r="C25" s="493"/>
      <c r="D25" s="494"/>
      <c r="E25" s="494">
        <v>20</v>
      </c>
      <c r="F25" s="495"/>
      <c r="G25" s="478"/>
      <c r="H25" s="479"/>
      <c r="I25" s="479" t="s">
        <v>152</v>
      </c>
      <c r="J25" s="480"/>
      <c r="L25" s="439">
        <v>80</v>
      </c>
      <c r="M25" s="433"/>
      <c r="N25" s="433"/>
      <c r="O25" s="434"/>
      <c r="P25" s="439" t="s">
        <v>245</v>
      </c>
      <c r="Q25" s="433"/>
      <c r="R25" s="433"/>
      <c r="S25" s="434"/>
      <c r="U25" s="439"/>
      <c r="V25" s="433"/>
      <c r="W25" s="433"/>
      <c r="X25" s="434"/>
      <c r="Y25" s="439"/>
      <c r="Z25" s="433"/>
      <c r="AA25" s="433"/>
      <c r="AB25" s="434"/>
      <c r="AD25" s="439"/>
      <c r="AE25" s="433"/>
      <c r="AF25" s="433"/>
      <c r="AG25" s="434"/>
      <c r="AH25" s="439"/>
      <c r="AI25" s="433"/>
      <c r="AJ25" s="433"/>
      <c r="AK25" s="434"/>
    </row>
    <row r="26" spans="1:37" x14ac:dyDescent="0.35">
      <c r="A26" s="1477"/>
      <c r="B26" s="472">
        <v>2</v>
      </c>
      <c r="C26" s="493"/>
      <c r="D26" s="494"/>
      <c r="E26" s="494"/>
      <c r="F26" s="495"/>
      <c r="G26" s="478"/>
      <c r="H26" s="479"/>
      <c r="I26" s="479"/>
      <c r="J26" s="480"/>
      <c r="L26" s="439"/>
      <c r="M26" s="433"/>
      <c r="N26" s="433"/>
      <c r="O26" s="434"/>
      <c r="P26" s="439"/>
      <c r="Q26" s="433"/>
      <c r="R26" s="433"/>
      <c r="S26" s="434"/>
      <c r="U26" s="439"/>
      <c r="V26" s="433"/>
      <c r="W26" s="433"/>
      <c r="X26" s="434"/>
      <c r="Y26" s="439"/>
      <c r="Z26" s="433"/>
      <c r="AA26" s="433"/>
      <c r="AB26" s="434"/>
      <c r="AD26" s="439"/>
      <c r="AE26" s="433"/>
      <c r="AF26" s="433"/>
      <c r="AG26" s="434"/>
      <c r="AH26" s="439"/>
      <c r="AI26" s="433"/>
      <c r="AJ26" s="433"/>
      <c r="AK26" s="434"/>
    </row>
    <row r="27" spans="1:37" x14ac:dyDescent="0.35">
      <c r="A27" s="1478">
        <v>44482</v>
      </c>
      <c r="B27" s="472">
        <v>1</v>
      </c>
      <c r="C27" s="493"/>
      <c r="D27" s="494"/>
      <c r="E27" s="494"/>
      <c r="F27" s="495"/>
      <c r="G27" s="478"/>
      <c r="H27" s="479"/>
      <c r="I27" s="479"/>
      <c r="J27" s="480"/>
      <c r="L27" s="439"/>
      <c r="M27" s="433"/>
      <c r="N27" s="433"/>
      <c r="O27" s="434"/>
      <c r="P27" s="439"/>
      <c r="Q27" s="433"/>
      <c r="R27" s="433"/>
      <c r="S27" s="434"/>
      <c r="U27" s="439"/>
      <c r="V27" s="433"/>
      <c r="W27" s="433"/>
      <c r="X27" s="434"/>
      <c r="Y27" s="444"/>
      <c r="Z27" s="433"/>
      <c r="AA27" s="433"/>
      <c r="AB27" s="434"/>
      <c r="AD27" s="439"/>
      <c r="AE27" s="433"/>
      <c r="AF27" s="433"/>
      <c r="AG27" s="434"/>
      <c r="AH27" s="439"/>
      <c r="AI27" s="433"/>
      <c r="AJ27" s="433"/>
      <c r="AK27" s="434"/>
    </row>
    <row r="28" spans="1:37" x14ac:dyDescent="0.35">
      <c r="A28" s="1477"/>
      <c r="B28" s="472">
        <v>2</v>
      </c>
      <c r="C28" s="493"/>
      <c r="D28" s="494"/>
      <c r="E28" s="494"/>
      <c r="F28" s="495"/>
      <c r="G28" s="478"/>
      <c r="H28" s="479"/>
      <c r="I28" s="479"/>
      <c r="J28" s="480"/>
      <c r="L28" s="439"/>
      <c r="M28" s="433"/>
      <c r="N28" s="433"/>
      <c r="O28" s="434"/>
      <c r="P28" s="444"/>
      <c r="Q28" s="433"/>
      <c r="R28" s="433"/>
      <c r="S28" s="434"/>
      <c r="U28" s="439"/>
      <c r="V28" s="433"/>
      <c r="W28" s="433"/>
      <c r="X28" s="434"/>
      <c r="Y28" s="444"/>
      <c r="Z28" s="433"/>
      <c r="AA28" s="433"/>
      <c r="AB28" s="434"/>
      <c r="AD28" s="439"/>
      <c r="AE28" s="433"/>
      <c r="AF28" s="433"/>
      <c r="AG28" s="434"/>
      <c r="AH28" s="444"/>
      <c r="AI28" s="433"/>
      <c r="AJ28" s="433"/>
      <c r="AK28" s="434"/>
    </row>
    <row r="29" spans="1:37" x14ac:dyDescent="0.35">
      <c r="A29" s="1478">
        <v>44483</v>
      </c>
      <c r="B29" s="472">
        <v>1</v>
      </c>
      <c r="C29" s="493"/>
      <c r="D29" s="494"/>
      <c r="E29" s="494"/>
      <c r="F29" s="495"/>
      <c r="G29" s="478"/>
      <c r="H29" s="479"/>
      <c r="I29" s="479"/>
      <c r="J29" s="480"/>
      <c r="L29" s="439"/>
      <c r="M29" s="433"/>
      <c r="N29" s="433"/>
      <c r="O29" s="434"/>
      <c r="P29" s="444"/>
      <c r="Q29" s="433"/>
      <c r="R29" s="433"/>
      <c r="S29" s="434"/>
      <c r="U29" s="439"/>
      <c r="V29" s="433"/>
      <c r="W29" s="433">
        <v>20</v>
      </c>
      <c r="X29" s="434"/>
      <c r="Y29" s="444"/>
      <c r="Z29" s="433"/>
      <c r="AA29" s="433" t="s">
        <v>152</v>
      </c>
      <c r="AB29" s="434"/>
      <c r="AD29" s="439"/>
      <c r="AE29" s="433"/>
      <c r="AF29" s="433">
        <v>20</v>
      </c>
      <c r="AG29" s="434"/>
      <c r="AH29" s="444"/>
      <c r="AI29" s="433"/>
      <c r="AJ29" s="433" t="s">
        <v>152</v>
      </c>
      <c r="AK29" s="434"/>
    </row>
    <row r="30" spans="1:37" x14ac:dyDescent="0.35">
      <c r="A30" s="1477"/>
      <c r="B30" s="472">
        <v>2</v>
      </c>
      <c r="C30" s="493"/>
      <c r="D30" s="494"/>
      <c r="E30" s="494"/>
      <c r="F30" s="495"/>
      <c r="G30" s="478"/>
      <c r="H30" s="479"/>
      <c r="I30" s="479"/>
      <c r="J30" s="480"/>
      <c r="L30" s="439"/>
      <c r="M30" s="433"/>
      <c r="N30" s="433"/>
      <c r="O30" s="434"/>
      <c r="P30" s="444"/>
      <c r="Q30" s="433"/>
      <c r="R30" s="433"/>
      <c r="S30" s="434"/>
      <c r="U30" s="439"/>
      <c r="V30" s="433"/>
      <c r="W30" s="433"/>
      <c r="X30" s="434"/>
      <c r="Y30" s="444"/>
      <c r="Z30" s="433"/>
      <c r="AA30" s="433"/>
      <c r="AB30" s="434"/>
      <c r="AD30" s="439"/>
      <c r="AE30" s="433"/>
      <c r="AF30" s="433"/>
      <c r="AG30" s="434"/>
      <c r="AH30" s="444"/>
      <c r="AJ30" s="433"/>
      <c r="AK30" s="434"/>
    </row>
    <row r="31" spans="1:37" x14ac:dyDescent="0.35">
      <c r="A31" s="1478">
        <v>44484</v>
      </c>
      <c r="B31" s="472">
        <v>1</v>
      </c>
      <c r="C31" s="493"/>
      <c r="D31" s="494"/>
      <c r="E31" s="494">
        <v>10</v>
      </c>
      <c r="F31" s="495"/>
      <c r="G31" s="478"/>
      <c r="H31" s="479"/>
      <c r="I31" s="479" t="s">
        <v>152</v>
      </c>
      <c r="J31" s="480"/>
      <c r="L31" s="439"/>
      <c r="M31" s="433"/>
      <c r="N31" s="433"/>
      <c r="O31" s="434"/>
      <c r="P31" s="444"/>
      <c r="Q31" s="433"/>
      <c r="R31" s="433"/>
      <c r="S31" s="434"/>
      <c r="U31" s="439"/>
      <c r="V31" s="433"/>
      <c r="W31" s="433">
        <v>37</v>
      </c>
      <c r="X31" s="434"/>
      <c r="Y31" s="444"/>
      <c r="Z31" s="433"/>
      <c r="AA31" s="433" t="s">
        <v>152</v>
      </c>
      <c r="AB31" s="434"/>
      <c r="AD31" s="439"/>
      <c r="AE31" s="433"/>
      <c r="AF31" s="433"/>
      <c r="AG31" s="434"/>
      <c r="AH31" s="444"/>
      <c r="AI31" s="433"/>
      <c r="AJ31" s="433"/>
      <c r="AK31" s="434"/>
    </row>
    <row r="32" spans="1:37" x14ac:dyDescent="0.35">
      <c r="A32" s="1477"/>
      <c r="B32" s="472">
        <v>2</v>
      </c>
      <c r="C32" s="493"/>
      <c r="D32" s="494"/>
      <c r="E32" s="494">
        <v>5</v>
      </c>
      <c r="F32" s="495"/>
      <c r="G32" s="478"/>
      <c r="H32" s="479"/>
      <c r="I32" s="479" t="s">
        <v>152</v>
      </c>
      <c r="J32" s="480"/>
      <c r="L32" s="439"/>
      <c r="M32" s="433"/>
      <c r="N32" s="433"/>
      <c r="O32" s="434"/>
      <c r="P32" s="444"/>
      <c r="Q32" s="433"/>
      <c r="R32" s="433"/>
      <c r="S32" s="434"/>
      <c r="U32" s="439"/>
      <c r="V32" s="433"/>
      <c r="W32" s="433"/>
      <c r="X32" s="434"/>
      <c r="Y32" s="444"/>
      <c r="Z32" s="433"/>
      <c r="AA32" s="433"/>
      <c r="AB32" s="434"/>
      <c r="AD32" s="439"/>
      <c r="AE32" s="433"/>
      <c r="AF32" s="433"/>
      <c r="AG32" s="434"/>
      <c r="AH32" s="444"/>
      <c r="AI32" s="433"/>
      <c r="AJ32" s="433"/>
      <c r="AK32" s="434"/>
    </row>
    <row r="33" spans="1:37" x14ac:dyDescent="0.35">
      <c r="A33" s="1478">
        <v>44485</v>
      </c>
      <c r="B33" s="472">
        <v>1</v>
      </c>
      <c r="C33" s="493"/>
      <c r="D33" s="494"/>
      <c r="E33" s="494">
        <v>20</v>
      </c>
      <c r="F33" s="495"/>
      <c r="G33" s="478"/>
      <c r="H33" s="479"/>
      <c r="I33" s="479" t="s">
        <v>152</v>
      </c>
      <c r="J33" s="480"/>
      <c r="L33" s="439"/>
      <c r="M33" s="433"/>
      <c r="N33" s="433"/>
      <c r="O33" s="434"/>
      <c r="P33" s="444"/>
      <c r="Q33" s="433"/>
      <c r="R33" s="433"/>
      <c r="S33" s="434"/>
      <c r="U33" s="439"/>
      <c r="V33" s="433"/>
      <c r="W33" s="433"/>
      <c r="X33" s="434"/>
      <c r="Y33" s="444"/>
      <c r="Z33" s="433"/>
      <c r="AA33" s="433"/>
      <c r="AB33" s="434"/>
      <c r="AD33" s="439"/>
      <c r="AE33" s="433"/>
      <c r="AF33" s="433"/>
      <c r="AG33" s="434"/>
      <c r="AH33" s="444"/>
      <c r="AI33" s="433"/>
      <c r="AJ33" s="433"/>
      <c r="AK33" s="434"/>
    </row>
    <row r="34" spans="1:37" x14ac:dyDescent="0.35">
      <c r="A34" s="1477"/>
      <c r="B34" s="472">
        <v>2</v>
      </c>
      <c r="C34" s="493"/>
      <c r="D34" s="494"/>
      <c r="E34" s="494"/>
      <c r="F34" s="495"/>
      <c r="G34" s="478"/>
      <c r="H34" s="479"/>
      <c r="I34" s="479"/>
      <c r="J34" s="480"/>
      <c r="L34" s="439"/>
      <c r="M34" s="433"/>
      <c r="N34" s="433"/>
      <c r="O34" s="434"/>
      <c r="P34" s="444"/>
      <c r="Q34" s="433"/>
      <c r="R34" s="433"/>
      <c r="S34" s="434"/>
      <c r="U34" s="439"/>
      <c r="V34" s="433"/>
      <c r="W34" s="433"/>
      <c r="X34" s="434"/>
      <c r="Y34" s="444"/>
      <c r="Z34" s="433"/>
      <c r="AA34" s="433"/>
      <c r="AB34" s="434"/>
      <c r="AD34" s="439"/>
      <c r="AE34" s="433"/>
      <c r="AF34" s="433"/>
      <c r="AG34" s="434"/>
      <c r="AH34" s="444"/>
      <c r="AI34" s="433"/>
      <c r="AJ34" s="433"/>
      <c r="AK34" s="434"/>
    </row>
    <row r="35" spans="1:37" x14ac:dyDescent="0.35">
      <c r="A35" s="1478">
        <v>44486</v>
      </c>
      <c r="B35" s="472">
        <v>1</v>
      </c>
      <c r="C35" s="493"/>
      <c r="D35" s="494"/>
      <c r="E35" s="494"/>
      <c r="F35" s="495"/>
      <c r="G35" s="478"/>
      <c r="H35" s="479"/>
      <c r="I35" s="479"/>
      <c r="J35" s="480"/>
      <c r="L35" s="439"/>
      <c r="M35" s="433"/>
      <c r="N35" s="433"/>
      <c r="O35" s="434"/>
      <c r="P35" s="444"/>
      <c r="Q35" s="433"/>
      <c r="R35" s="433"/>
      <c r="S35" s="434"/>
      <c r="U35" s="439"/>
      <c r="V35" s="433"/>
      <c r="W35" s="433"/>
      <c r="X35" s="434"/>
      <c r="Y35" s="444"/>
      <c r="Z35" s="433"/>
      <c r="AA35" s="433"/>
      <c r="AB35" s="434"/>
      <c r="AD35" s="439"/>
      <c r="AE35" s="433"/>
      <c r="AF35" s="433"/>
      <c r="AG35" s="434"/>
      <c r="AH35" s="444"/>
      <c r="AI35" s="433"/>
      <c r="AJ35" s="433"/>
      <c r="AK35" s="434"/>
    </row>
    <row r="36" spans="1:37" ht="56.6" x14ac:dyDescent="0.35">
      <c r="A36" s="1477"/>
      <c r="B36" s="472">
        <v>2</v>
      </c>
      <c r="C36" s="493"/>
      <c r="D36" s="494"/>
      <c r="E36" s="494"/>
      <c r="F36" s="495"/>
      <c r="G36" s="478"/>
      <c r="H36" s="479"/>
      <c r="I36" s="479"/>
      <c r="J36" s="480"/>
      <c r="L36" s="439"/>
      <c r="M36" s="433"/>
      <c r="N36" s="433"/>
      <c r="O36" s="434"/>
      <c r="P36" s="444"/>
      <c r="Q36" s="433"/>
      <c r="R36" s="433"/>
      <c r="S36" s="434"/>
      <c r="U36" s="439"/>
      <c r="V36" s="6">
        <v>85</v>
      </c>
      <c r="W36" s="6"/>
      <c r="X36" s="434"/>
      <c r="Y36" s="444"/>
      <c r="Z36" s="502" t="s">
        <v>246</v>
      </c>
      <c r="AA36" s="502"/>
      <c r="AB36" s="434"/>
      <c r="AD36" s="439"/>
      <c r="AE36" s="433"/>
      <c r="AF36" s="433"/>
      <c r="AG36" s="434"/>
      <c r="AH36" s="444"/>
      <c r="AI36" s="433"/>
      <c r="AJ36" s="433"/>
      <c r="AK36" s="434"/>
    </row>
    <row r="37" spans="1:37" ht="56.6" x14ac:dyDescent="0.35">
      <c r="A37" s="1478">
        <v>44487</v>
      </c>
      <c r="B37" s="472">
        <v>1</v>
      </c>
      <c r="C37" s="493"/>
      <c r="D37" s="494"/>
      <c r="E37" s="494"/>
      <c r="F37" s="495"/>
      <c r="G37" s="478"/>
      <c r="H37" s="479"/>
      <c r="I37" s="479"/>
      <c r="J37" s="480"/>
      <c r="L37" s="439"/>
      <c r="M37" s="433"/>
      <c r="N37" s="433"/>
      <c r="O37" s="434"/>
      <c r="P37" s="444"/>
      <c r="Q37" s="433"/>
      <c r="R37" s="433"/>
      <c r="S37" s="434"/>
      <c r="U37" s="439"/>
      <c r="V37" s="6">
        <v>20</v>
      </c>
      <c r="W37" s="6"/>
      <c r="X37" s="434"/>
      <c r="Y37" s="444"/>
      <c r="Z37" s="502" t="s">
        <v>246</v>
      </c>
      <c r="AA37" s="502"/>
      <c r="AB37" s="434"/>
      <c r="AD37" s="439"/>
      <c r="AE37" s="433"/>
      <c r="AF37" s="433"/>
      <c r="AG37" s="434"/>
      <c r="AH37" s="444"/>
      <c r="AI37" s="433"/>
      <c r="AJ37" s="433"/>
      <c r="AK37" s="434"/>
    </row>
    <row r="38" spans="1:37" x14ac:dyDescent="0.35">
      <c r="A38" s="1477"/>
      <c r="B38" s="472">
        <v>2</v>
      </c>
      <c r="C38" s="493"/>
      <c r="D38" s="494"/>
      <c r="E38" s="494"/>
      <c r="F38" s="495"/>
      <c r="G38" s="478"/>
      <c r="H38" s="479"/>
      <c r="I38" s="479"/>
      <c r="J38" s="480"/>
      <c r="L38" s="439"/>
      <c r="M38" s="433"/>
      <c r="N38" s="433"/>
      <c r="O38" s="434"/>
      <c r="P38" s="444"/>
      <c r="Q38" s="433"/>
      <c r="R38" s="433"/>
      <c r="S38" s="434"/>
      <c r="U38" s="439"/>
      <c r="V38" s="6"/>
      <c r="W38" s="6"/>
      <c r="X38" s="434"/>
      <c r="Y38" s="444"/>
      <c r="Z38" s="433"/>
      <c r="AA38" s="433"/>
      <c r="AB38" s="434"/>
      <c r="AD38" s="439"/>
      <c r="AE38" s="433"/>
      <c r="AF38" s="433"/>
      <c r="AG38" s="434"/>
      <c r="AH38" s="444"/>
      <c r="AI38" s="433"/>
      <c r="AJ38" s="433"/>
      <c r="AK38" s="434"/>
    </row>
    <row r="39" spans="1:37" x14ac:dyDescent="0.35">
      <c r="A39" s="1478">
        <v>44488</v>
      </c>
      <c r="B39" s="472">
        <v>1</v>
      </c>
      <c r="C39" s="493"/>
      <c r="D39" s="494"/>
      <c r="E39" s="494"/>
      <c r="F39" s="495"/>
      <c r="G39" s="478"/>
      <c r="H39" s="479"/>
      <c r="I39" s="479"/>
      <c r="J39" s="480"/>
      <c r="L39" s="439"/>
      <c r="M39" s="433"/>
      <c r="N39" s="433"/>
      <c r="O39" s="434"/>
      <c r="P39" s="444"/>
      <c r="Q39" s="433"/>
      <c r="R39" s="433"/>
      <c r="S39" s="434"/>
      <c r="U39" s="439"/>
      <c r="V39" s="433"/>
      <c r="W39" s="433">
        <v>20</v>
      </c>
      <c r="X39" s="434"/>
      <c r="Y39" s="444"/>
      <c r="Z39" s="433"/>
      <c r="AA39" s="6" t="s">
        <v>152</v>
      </c>
      <c r="AB39" s="434"/>
      <c r="AD39" s="439"/>
      <c r="AE39" s="433"/>
      <c r="AF39" s="433"/>
      <c r="AG39" s="434"/>
      <c r="AH39" s="444"/>
      <c r="AI39" s="433"/>
      <c r="AJ39" s="433"/>
      <c r="AK39" s="434"/>
    </row>
    <row r="40" spans="1:37" ht="28.3" x14ac:dyDescent="0.35">
      <c r="A40" s="1477"/>
      <c r="B40" s="472">
        <v>2</v>
      </c>
      <c r="C40" s="493"/>
      <c r="D40" s="494"/>
      <c r="E40" s="494">
        <v>20</v>
      </c>
      <c r="F40" s="495"/>
      <c r="G40" s="478"/>
      <c r="H40" s="479"/>
      <c r="I40" s="483" t="s">
        <v>97</v>
      </c>
      <c r="J40" s="480"/>
      <c r="L40" s="439"/>
      <c r="M40" s="433"/>
      <c r="N40" s="433"/>
      <c r="O40" s="434"/>
      <c r="P40" s="444"/>
      <c r="Q40" s="433"/>
      <c r="R40" s="433"/>
      <c r="S40" s="434"/>
      <c r="U40" s="439"/>
      <c r="V40" s="433"/>
      <c r="W40" s="433"/>
      <c r="X40" s="434"/>
      <c r="Y40" s="444"/>
      <c r="Z40" s="433"/>
      <c r="AA40" s="433"/>
      <c r="AB40" s="434"/>
      <c r="AD40" s="439"/>
      <c r="AE40" s="433"/>
      <c r="AF40" s="433"/>
      <c r="AG40" s="434"/>
      <c r="AH40" s="444"/>
      <c r="AI40" s="433"/>
      <c r="AJ40" s="433"/>
      <c r="AK40" s="434"/>
    </row>
    <row r="41" spans="1:37" ht="56.6" x14ac:dyDescent="0.35">
      <c r="A41" s="1478">
        <v>44489</v>
      </c>
      <c r="B41" s="472">
        <v>1</v>
      </c>
      <c r="C41" s="493"/>
      <c r="D41" s="494"/>
      <c r="E41" s="494"/>
      <c r="F41" s="495"/>
      <c r="G41" s="478"/>
      <c r="H41" s="479"/>
      <c r="I41" s="479"/>
      <c r="J41" s="480"/>
      <c r="L41" s="439"/>
      <c r="M41" s="433"/>
      <c r="N41" s="433"/>
      <c r="O41" s="434"/>
      <c r="P41" s="444"/>
      <c r="Q41" s="433"/>
      <c r="R41" s="433"/>
      <c r="S41" s="434"/>
      <c r="U41" s="439"/>
      <c r="V41" s="6">
        <v>18</v>
      </c>
      <c r="W41" s="6">
        <v>24</v>
      </c>
      <c r="X41" s="434"/>
      <c r="Y41" s="444"/>
      <c r="Z41" s="502" t="s">
        <v>246</v>
      </c>
      <c r="AA41" s="6" t="s">
        <v>152</v>
      </c>
      <c r="AB41" s="434"/>
      <c r="AD41" s="439"/>
      <c r="AE41" s="433"/>
      <c r="AF41" s="433"/>
      <c r="AG41" s="434"/>
      <c r="AH41" s="444"/>
      <c r="AI41" s="433"/>
      <c r="AJ41" s="433"/>
      <c r="AK41" s="434"/>
    </row>
    <row r="42" spans="1:37" x14ac:dyDescent="0.35">
      <c r="A42" s="1477"/>
      <c r="B42" s="472">
        <v>2</v>
      </c>
      <c r="C42" s="493"/>
      <c r="D42" s="494"/>
      <c r="E42" s="494"/>
      <c r="F42" s="495">
        <v>322</v>
      </c>
      <c r="G42" s="478"/>
      <c r="H42" s="479"/>
      <c r="I42" s="479"/>
      <c r="J42" s="434" t="s">
        <v>210</v>
      </c>
      <c r="L42" s="439"/>
      <c r="M42" s="433"/>
      <c r="N42" s="433"/>
      <c r="O42" s="434">
        <v>348</v>
      </c>
      <c r="P42" s="444"/>
      <c r="Q42" s="433"/>
      <c r="R42" s="433"/>
      <c r="S42" s="434" t="s">
        <v>210</v>
      </c>
      <c r="U42" s="439"/>
      <c r="V42" s="433"/>
      <c r="W42" s="433"/>
      <c r="X42" s="434">
        <v>334</v>
      </c>
      <c r="Y42" s="444"/>
      <c r="Z42" s="433"/>
      <c r="AA42" s="433"/>
      <c r="AB42" s="434" t="s">
        <v>210</v>
      </c>
      <c r="AD42" s="439"/>
      <c r="AE42" s="433"/>
      <c r="AF42" s="433"/>
      <c r="AG42" s="434">
        <v>330</v>
      </c>
      <c r="AH42" s="444"/>
      <c r="AI42" s="433"/>
      <c r="AJ42" s="433"/>
      <c r="AK42" s="434" t="s">
        <v>210</v>
      </c>
    </row>
    <row r="43" spans="1:37" ht="28.3" x14ac:dyDescent="0.35">
      <c r="A43" s="1478">
        <v>44490</v>
      </c>
      <c r="B43" s="472">
        <v>1</v>
      </c>
      <c r="C43" s="493"/>
      <c r="D43" s="494"/>
      <c r="E43" s="494">
        <v>15</v>
      </c>
      <c r="F43" s="495"/>
      <c r="G43" s="478"/>
      <c r="H43" s="479"/>
      <c r="I43" s="483" t="s">
        <v>97</v>
      </c>
      <c r="J43" s="480"/>
      <c r="L43" s="439"/>
      <c r="M43" s="433"/>
      <c r="N43" s="433"/>
      <c r="O43" s="434"/>
      <c r="P43" s="444"/>
      <c r="Q43" s="433"/>
      <c r="R43" s="433"/>
      <c r="S43" s="434"/>
      <c r="U43" s="439"/>
      <c r="V43" s="433"/>
      <c r="W43" s="433"/>
      <c r="X43" s="434"/>
      <c r="Y43" s="444"/>
      <c r="Z43" s="433"/>
      <c r="AA43" s="433"/>
      <c r="AB43" s="434"/>
      <c r="AD43" s="439"/>
      <c r="AE43" s="433"/>
      <c r="AF43" s="433"/>
      <c r="AG43" s="434"/>
      <c r="AH43" s="444"/>
      <c r="AI43" s="433"/>
      <c r="AJ43" s="433"/>
      <c r="AK43" s="434"/>
    </row>
    <row r="44" spans="1:37" x14ac:dyDescent="0.35">
      <c r="A44" s="1477"/>
      <c r="B44" s="472">
        <v>2</v>
      </c>
      <c r="C44" s="493"/>
      <c r="D44" s="494"/>
      <c r="E44" s="494"/>
      <c r="F44" s="495"/>
      <c r="G44" s="481"/>
      <c r="H44" s="479"/>
      <c r="I44" s="479"/>
      <c r="J44" s="480"/>
      <c r="L44" s="439"/>
      <c r="M44" s="433"/>
      <c r="N44" s="433"/>
      <c r="O44" s="434"/>
      <c r="P44" s="444"/>
      <c r="Q44" s="433"/>
      <c r="R44" s="433"/>
      <c r="S44" s="434"/>
      <c r="U44" s="439"/>
      <c r="V44" s="433"/>
      <c r="W44" s="433"/>
      <c r="X44" s="434"/>
      <c r="Y44" s="444"/>
      <c r="Z44" s="433"/>
      <c r="AA44" s="433"/>
      <c r="AB44" s="434"/>
      <c r="AD44" s="439"/>
      <c r="AE44" s="433"/>
      <c r="AF44" s="433"/>
      <c r="AG44" s="434"/>
      <c r="AH44" s="444"/>
      <c r="AI44" s="433"/>
      <c r="AJ44" s="433"/>
      <c r="AK44" s="434"/>
    </row>
    <row r="45" spans="1:37" x14ac:dyDescent="0.35">
      <c r="A45" s="1478">
        <v>44491</v>
      </c>
      <c r="B45" s="472">
        <v>1</v>
      </c>
      <c r="C45" s="493"/>
      <c r="D45" s="494"/>
      <c r="E45" s="494">
        <v>15</v>
      </c>
      <c r="F45" s="495"/>
      <c r="G45" s="478"/>
      <c r="H45" s="479"/>
      <c r="I45" s="479" t="s">
        <v>152</v>
      </c>
      <c r="J45" s="480"/>
      <c r="L45" s="439"/>
      <c r="M45" s="433"/>
      <c r="N45" s="433"/>
      <c r="O45" s="434"/>
      <c r="P45" s="444"/>
      <c r="Q45" s="433"/>
      <c r="R45" s="433"/>
      <c r="S45" s="434"/>
      <c r="U45" s="439"/>
      <c r="V45" s="433"/>
      <c r="W45" s="433"/>
      <c r="X45" s="434"/>
      <c r="Y45" s="444"/>
      <c r="Z45" s="433"/>
      <c r="AA45" s="433"/>
      <c r="AB45" s="434"/>
      <c r="AD45" s="439"/>
      <c r="AE45" s="433"/>
      <c r="AF45" s="433"/>
      <c r="AG45" s="434"/>
      <c r="AH45" s="444"/>
      <c r="AI45" s="433"/>
      <c r="AJ45" s="433"/>
      <c r="AK45" s="434"/>
    </row>
    <row r="46" spans="1:37" x14ac:dyDescent="0.35">
      <c r="A46" s="1477"/>
      <c r="B46" s="472">
        <v>2</v>
      </c>
      <c r="C46" s="493"/>
      <c r="D46" s="494"/>
      <c r="E46" s="494"/>
      <c r="F46" s="495"/>
      <c r="G46" s="478"/>
      <c r="H46" s="479"/>
      <c r="I46" s="479"/>
      <c r="J46" s="480"/>
      <c r="L46" s="439"/>
      <c r="M46" s="433"/>
      <c r="N46" s="433"/>
      <c r="O46" s="434"/>
      <c r="P46" s="444"/>
      <c r="Q46" s="433"/>
      <c r="R46" s="433"/>
      <c r="S46" s="434"/>
      <c r="U46" s="439"/>
      <c r="V46" s="433"/>
      <c r="W46" s="433"/>
      <c r="X46" s="434"/>
      <c r="Y46" s="444"/>
      <c r="Z46" s="433"/>
      <c r="AA46" s="433"/>
      <c r="AB46" s="434"/>
      <c r="AD46" s="439"/>
      <c r="AE46" s="433"/>
      <c r="AF46" s="433"/>
      <c r="AG46" s="434"/>
      <c r="AH46" s="444"/>
      <c r="AI46" s="433"/>
      <c r="AJ46" s="433"/>
      <c r="AK46" s="434"/>
    </row>
    <row r="47" spans="1:37" x14ac:dyDescent="0.35">
      <c r="A47" s="1478">
        <v>44492</v>
      </c>
      <c r="B47" s="472">
        <v>1</v>
      </c>
      <c r="C47" s="493"/>
      <c r="D47" s="494"/>
      <c r="E47" s="494"/>
      <c r="F47" s="495"/>
      <c r="G47" s="478"/>
      <c r="H47" s="479"/>
      <c r="I47" s="479"/>
      <c r="J47" s="480"/>
      <c r="L47" s="439"/>
      <c r="M47" s="433"/>
      <c r="N47" s="433"/>
      <c r="O47" s="434"/>
      <c r="P47" s="444"/>
      <c r="Q47" s="433"/>
      <c r="R47" s="433"/>
      <c r="S47" s="434"/>
      <c r="U47" s="439"/>
      <c r="V47" s="433"/>
      <c r="W47" s="433"/>
      <c r="X47" s="434"/>
      <c r="Y47" s="444"/>
      <c r="Z47" s="433"/>
      <c r="AA47" s="433"/>
      <c r="AB47" s="434"/>
      <c r="AD47" s="439"/>
      <c r="AE47" s="433"/>
      <c r="AF47" s="433"/>
      <c r="AG47" s="434"/>
      <c r="AH47" s="444"/>
      <c r="AI47" s="433"/>
      <c r="AJ47" s="433"/>
      <c r="AK47" s="434"/>
    </row>
    <row r="48" spans="1:37" x14ac:dyDescent="0.35">
      <c r="A48" s="1477"/>
      <c r="B48" s="472">
        <v>2</v>
      </c>
      <c r="C48" s="493"/>
      <c r="D48" s="494"/>
      <c r="E48" s="494"/>
      <c r="F48" s="495"/>
      <c r="G48" s="478"/>
      <c r="H48" s="479"/>
      <c r="I48" s="479"/>
      <c r="J48" s="480"/>
      <c r="L48" s="439"/>
      <c r="M48" s="433"/>
      <c r="N48" s="433"/>
      <c r="O48" s="434"/>
      <c r="P48" s="444"/>
      <c r="Q48" s="433"/>
      <c r="R48" s="433"/>
      <c r="S48" s="434"/>
      <c r="U48" s="439"/>
      <c r="V48" s="433"/>
      <c r="W48" s="433"/>
      <c r="X48" s="434"/>
      <c r="Y48" s="444"/>
      <c r="Z48" s="433"/>
      <c r="AA48" s="433"/>
      <c r="AB48" s="434"/>
      <c r="AD48" s="439"/>
      <c r="AE48" s="433"/>
      <c r="AF48" s="433"/>
      <c r="AG48" s="434"/>
      <c r="AH48" s="444"/>
      <c r="AI48" s="433"/>
      <c r="AJ48" s="433"/>
      <c r="AK48" s="434"/>
    </row>
    <row r="49" spans="1:37" x14ac:dyDescent="0.35">
      <c r="A49" s="1478">
        <v>44493</v>
      </c>
      <c r="B49" s="472">
        <v>1</v>
      </c>
      <c r="C49" s="493"/>
      <c r="D49" s="494"/>
      <c r="E49" s="494"/>
      <c r="F49" s="495"/>
      <c r="G49" s="478"/>
      <c r="H49" s="479"/>
      <c r="I49" s="479"/>
      <c r="J49" s="482"/>
      <c r="L49" s="439"/>
      <c r="M49" s="433"/>
      <c r="N49" s="433"/>
      <c r="O49" s="434"/>
      <c r="P49" s="444"/>
      <c r="Q49" s="433"/>
      <c r="R49" s="433"/>
      <c r="S49" s="466"/>
      <c r="U49" s="439"/>
      <c r="V49" s="433"/>
      <c r="W49" s="433"/>
      <c r="X49" s="434"/>
      <c r="Y49" s="444"/>
      <c r="Z49" s="433"/>
      <c r="AA49" s="433"/>
      <c r="AB49" s="466"/>
      <c r="AD49" s="439"/>
      <c r="AE49" s="433"/>
      <c r="AF49" s="433"/>
      <c r="AG49" s="434"/>
      <c r="AH49" s="444"/>
      <c r="AI49" s="433"/>
      <c r="AJ49" s="433"/>
      <c r="AK49" s="466"/>
    </row>
    <row r="50" spans="1:37" ht="84.9" x14ac:dyDescent="0.35">
      <c r="A50" s="1477"/>
      <c r="B50" s="472">
        <v>2</v>
      </c>
      <c r="C50" s="493"/>
      <c r="D50" s="494"/>
      <c r="E50" s="494"/>
      <c r="F50" s="495"/>
      <c r="G50" s="478"/>
      <c r="H50" s="479"/>
      <c r="I50" s="479"/>
      <c r="J50" s="480"/>
      <c r="L50" s="439"/>
      <c r="M50" s="433"/>
      <c r="N50" s="433"/>
      <c r="O50" s="434"/>
      <c r="P50" s="444"/>
      <c r="Q50" s="433"/>
      <c r="R50" s="433"/>
      <c r="S50" s="434"/>
      <c r="U50" s="470">
        <v>283</v>
      </c>
      <c r="V50" s="433"/>
      <c r="W50" s="433"/>
      <c r="X50" s="434"/>
      <c r="Y50" s="469" t="s">
        <v>247</v>
      </c>
      <c r="Z50" s="433"/>
      <c r="AA50" s="433"/>
      <c r="AB50" s="434"/>
      <c r="AD50" s="439"/>
      <c r="AE50" s="433"/>
      <c r="AF50" s="433"/>
      <c r="AG50" s="434"/>
      <c r="AH50" s="444"/>
      <c r="AI50" s="433"/>
      <c r="AJ50" s="433"/>
      <c r="AK50" s="434"/>
    </row>
    <row r="51" spans="1:37" x14ac:dyDescent="0.35">
      <c r="A51" s="1478">
        <v>44494</v>
      </c>
      <c r="B51" s="472">
        <v>1</v>
      </c>
      <c r="C51" s="493"/>
      <c r="D51" s="494"/>
      <c r="E51" s="494"/>
      <c r="F51" s="495"/>
      <c r="G51" s="478"/>
      <c r="H51" s="479"/>
      <c r="I51" s="479"/>
      <c r="J51" s="480"/>
      <c r="L51" s="439"/>
      <c r="M51" s="433"/>
      <c r="N51" s="433"/>
      <c r="O51" s="434"/>
      <c r="P51" s="444"/>
      <c r="Q51" s="433"/>
      <c r="R51" s="433"/>
      <c r="S51" s="434"/>
      <c r="U51" s="439"/>
      <c r="V51" s="433"/>
      <c r="W51" s="433"/>
      <c r="X51" s="434"/>
      <c r="Y51" s="444"/>
      <c r="Z51" s="433"/>
      <c r="AA51" s="433"/>
      <c r="AB51" s="434"/>
      <c r="AD51" s="439"/>
      <c r="AE51" s="433"/>
      <c r="AF51" s="433"/>
      <c r="AG51" s="434"/>
      <c r="AH51" s="444"/>
      <c r="AI51" s="433"/>
      <c r="AJ51" s="433"/>
      <c r="AK51" s="434"/>
    </row>
    <row r="52" spans="1:37" ht="56.6" x14ac:dyDescent="0.35">
      <c r="A52" s="1477"/>
      <c r="B52" s="472">
        <v>2</v>
      </c>
      <c r="C52" s="493"/>
      <c r="D52" s="494"/>
      <c r="E52" s="494"/>
      <c r="F52" s="495"/>
      <c r="G52" s="478"/>
      <c r="H52" s="479"/>
      <c r="I52" s="479"/>
      <c r="J52" s="480"/>
      <c r="L52" s="439"/>
      <c r="M52" s="433"/>
      <c r="N52" s="433"/>
      <c r="O52" s="434"/>
      <c r="P52" s="444"/>
      <c r="Q52" s="433"/>
      <c r="R52" s="433"/>
      <c r="S52" s="434"/>
      <c r="U52" s="470">
        <v>58</v>
      </c>
      <c r="V52" s="6">
        <v>7</v>
      </c>
      <c r="W52" s="433"/>
      <c r="X52" s="434"/>
      <c r="Y52" s="469" t="s">
        <v>175</v>
      </c>
      <c r="Z52" s="502" t="s">
        <v>246</v>
      </c>
      <c r="AA52" s="433"/>
      <c r="AB52" s="434"/>
      <c r="AD52" s="439"/>
      <c r="AE52" s="433"/>
      <c r="AF52" s="433"/>
      <c r="AG52" s="434"/>
      <c r="AH52" s="444"/>
      <c r="AI52" s="433"/>
      <c r="AJ52" s="433"/>
      <c r="AK52" s="434"/>
    </row>
    <row r="53" spans="1:37" x14ac:dyDescent="0.35">
      <c r="A53" s="1481">
        <v>44495</v>
      </c>
      <c r="B53" s="472">
        <v>1</v>
      </c>
      <c r="C53" s="493"/>
      <c r="D53" s="494"/>
      <c r="E53" s="494"/>
      <c r="F53" s="495"/>
      <c r="G53" s="478"/>
      <c r="H53" s="479"/>
      <c r="I53" s="479"/>
      <c r="J53" s="480"/>
      <c r="L53" s="439"/>
      <c r="M53" s="433"/>
      <c r="N53" s="433"/>
      <c r="O53" s="434"/>
      <c r="P53" s="444"/>
      <c r="Q53" s="433"/>
      <c r="R53" s="433"/>
      <c r="S53" s="434"/>
      <c r="U53" s="439"/>
      <c r="V53" s="433"/>
      <c r="W53" s="433">
        <v>15</v>
      </c>
      <c r="X53" s="434"/>
      <c r="Y53" s="444"/>
      <c r="Z53" s="433"/>
      <c r="AA53" s="6" t="s">
        <v>152</v>
      </c>
      <c r="AB53" s="434"/>
      <c r="AD53" s="439"/>
      <c r="AE53" s="433"/>
      <c r="AF53" s="433">
        <v>26</v>
      </c>
      <c r="AG53" s="434"/>
      <c r="AH53" s="444"/>
      <c r="AI53" s="433"/>
      <c r="AJ53" s="6" t="s">
        <v>152</v>
      </c>
      <c r="AK53" s="434"/>
    </row>
    <row r="54" spans="1:37" ht="60" customHeight="1" x14ac:dyDescent="0.35">
      <c r="A54" s="1482"/>
      <c r="B54" s="500">
        <v>2</v>
      </c>
      <c r="C54" s="493"/>
      <c r="D54" s="494"/>
      <c r="E54" s="494"/>
      <c r="F54" s="495"/>
      <c r="G54" s="478"/>
      <c r="H54" s="479"/>
      <c r="I54" s="479"/>
      <c r="J54" s="480"/>
      <c r="L54" s="439"/>
      <c r="M54" s="433"/>
      <c r="N54" s="433"/>
      <c r="O54" s="434"/>
      <c r="P54" s="444"/>
      <c r="Q54" s="433"/>
      <c r="R54" s="433"/>
      <c r="S54" s="434"/>
      <c r="U54" s="439"/>
      <c r="V54" s="433">
        <v>15</v>
      </c>
      <c r="W54" s="433">
        <v>36</v>
      </c>
      <c r="X54" s="434"/>
      <c r="Y54" s="444"/>
      <c r="Z54" s="502" t="s">
        <v>246</v>
      </c>
      <c r="AA54" s="6" t="s">
        <v>152</v>
      </c>
      <c r="AB54" s="434"/>
      <c r="AD54" s="439"/>
      <c r="AE54" s="433"/>
      <c r="AF54" s="433"/>
      <c r="AG54" s="434"/>
      <c r="AH54" s="444"/>
      <c r="AI54" s="433"/>
      <c r="AJ54" s="433"/>
      <c r="AK54" s="434"/>
    </row>
    <row r="55" spans="1:37" x14ac:dyDescent="0.35">
      <c r="A55" s="1481">
        <v>44496</v>
      </c>
      <c r="B55" s="472">
        <v>1</v>
      </c>
      <c r="C55" s="493"/>
      <c r="D55" s="494"/>
      <c r="E55" s="494"/>
      <c r="F55" s="495"/>
      <c r="G55" s="478"/>
      <c r="H55" s="479"/>
      <c r="I55" s="483"/>
      <c r="J55" s="480"/>
      <c r="L55" s="439"/>
      <c r="M55" s="433"/>
      <c r="N55" s="433"/>
      <c r="O55" s="434"/>
      <c r="P55" s="444"/>
      <c r="Q55" s="6"/>
      <c r="R55" s="433"/>
      <c r="S55" s="434"/>
      <c r="U55" s="439"/>
      <c r="V55" s="433"/>
      <c r="W55" s="433"/>
      <c r="X55" s="434"/>
      <c r="Y55" s="444"/>
      <c r="Z55" s="433"/>
      <c r="AA55" s="433"/>
      <c r="AB55" s="434"/>
      <c r="AD55" s="439"/>
      <c r="AE55" s="433"/>
      <c r="AF55" s="433"/>
      <c r="AG55" s="434"/>
      <c r="AH55" s="444"/>
      <c r="AI55" s="433"/>
      <c r="AJ55" s="433"/>
      <c r="AK55" s="434"/>
    </row>
    <row r="56" spans="1:37" ht="70.75" x14ac:dyDescent="0.35">
      <c r="A56" s="1482"/>
      <c r="B56" s="500">
        <v>2</v>
      </c>
      <c r="C56" s="493"/>
      <c r="D56" s="494"/>
      <c r="E56" s="494"/>
      <c r="F56" s="495"/>
      <c r="G56" s="478"/>
      <c r="H56" s="479"/>
      <c r="I56" s="479"/>
      <c r="J56" s="480"/>
      <c r="L56" s="439"/>
      <c r="M56" s="433"/>
      <c r="N56" s="433"/>
      <c r="O56" s="434"/>
      <c r="P56" s="444"/>
      <c r="Q56" s="433"/>
      <c r="R56" s="433"/>
      <c r="S56" s="434"/>
      <c r="U56" s="439">
        <v>32</v>
      </c>
      <c r="V56" s="433">
        <v>68</v>
      </c>
      <c r="W56" s="433">
        <v>30</v>
      </c>
      <c r="X56" s="434"/>
      <c r="Y56" s="503" t="s">
        <v>248</v>
      </c>
      <c r="Z56" s="502" t="s">
        <v>246</v>
      </c>
      <c r="AA56" s="467" t="s">
        <v>249</v>
      </c>
      <c r="AB56" s="434"/>
      <c r="AD56" s="439"/>
      <c r="AE56" s="433"/>
      <c r="AF56" s="433"/>
      <c r="AG56" s="434"/>
      <c r="AH56" s="444"/>
      <c r="AI56" s="433"/>
      <c r="AJ56" s="433"/>
      <c r="AK56" s="434"/>
    </row>
    <row r="57" spans="1:37" ht="52.5" customHeight="1" x14ac:dyDescent="0.35">
      <c r="A57" s="1483">
        <v>44467</v>
      </c>
      <c r="B57" s="472">
        <v>1</v>
      </c>
      <c r="C57" s="493"/>
      <c r="D57" s="494"/>
      <c r="E57" s="494"/>
      <c r="F57" s="495"/>
      <c r="G57" s="478"/>
      <c r="H57" s="479"/>
      <c r="I57" s="483"/>
      <c r="J57" s="480"/>
      <c r="L57" s="439"/>
      <c r="M57" s="433"/>
      <c r="N57" s="433"/>
      <c r="O57" s="434"/>
      <c r="P57" s="444"/>
      <c r="Q57" s="433"/>
      <c r="R57" s="471"/>
      <c r="S57" s="434"/>
      <c r="U57" s="470"/>
      <c r="V57" s="433">
        <v>10</v>
      </c>
      <c r="W57" s="433"/>
      <c r="X57" s="434"/>
      <c r="Y57" s="469"/>
      <c r="Z57" s="502" t="s">
        <v>246</v>
      </c>
      <c r="AA57" s="433"/>
      <c r="AB57" s="434"/>
      <c r="AD57" s="439"/>
      <c r="AE57" s="433"/>
      <c r="AF57" s="433"/>
      <c r="AG57" s="434"/>
      <c r="AH57" s="444"/>
      <c r="AI57" s="433"/>
      <c r="AJ57" s="433"/>
      <c r="AK57" s="434"/>
    </row>
    <row r="58" spans="1:37" ht="56.6" x14ac:dyDescent="0.35">
      <c r="A58" s="1484"/>
      <c r="B58" s="500">
        <v>2</v>
      </c>
      <c r="C58" s="493"/>
      <c r="D58" s="494"/>
      <c r="E58" s="494"/>
      <c r="F58" s="495"/>
      <c r="G58" s="478"/>
      <c r="H58" s="479"/>
      <c r="I58" s="479"/>
      <c r="J58" s="480"/>
      <c r="L58" s="439"/>
      <c r="M58" s="433"/>
      <c r="N58" s="433"/>
      <c r="O58" s="434"/>
      <c r="P58" s="444"/>
      <c r="Q58" s="433"/>
      <c r="R58" s="433"/>
      <c r="S58" s="434"/>
      <c r="U58" s="439"/>
      <c r="V58" s="433">
        <v>67</v>
      </c>
      <c r="W58" s="433"/>
      <c r="X58" s="434"/>
      <c r="Y58" s="444"/>
      <c r="Z58" s="502" t="s">
        <v>246</v>
      </c>
      <c r="AA58" s="433"/>
      <c r="AB58" s="434"/>
      <c r="AD58" s="439"/>
      <c r="AE58" s="433"/>
      <c r="AF58" s="433"/>
      <c r="AG58" s="434"/>
      <c r="AH58" s="444"/>
      <c r="AI58" s="433"/>
      <c r="AJ58" s="433"/>
      <c r="AK58" s="434"/>
    </row>
    <row r="59" spans="1:37" ht="56.6" x14ac:dyDescent="0.35">
      <c r="A59" s="1483">
        <v>44468</v>
      </c>
      <c r="B59" s="472">
        <v>1</v>
      </c>
      <c r="C59" s="493"/>
      <c r="D59" s="494"/>
      <c r="E59" s="494"/>
      <c r="F59" s="495"/>
      <c r="G59" s="478"/>
      <c r="H59" s="479"/>
      <c r="I59" s="479"/>
      <c r="J59" s="480"/>
      <c r="L59" s="439"/>
      <c r="M59" s="433"/>
      <c r="N59" s="433"/>
      <c r="O59" s="434"/>
      <c r="P59" s="444"/>
      <c r="Q59" s="433"/>
      <c r="R59" s="433"/>
      <c r="S59" s="434"/>
      <c r="U59" s="439"/>
      <c r="V59" s="433"/>
      <c r="W59" s="433"/>
      <c r="X59" s="434"/>
      <c r="Y59" s="444"/>
      <c r="Z59" s="433"/>
      <c r="AA59" s="433"/>
      <c r="AB59" s="434"/>
      <c r="AD59" s="439">
        <v>20</v>
      </c>
      <c r="AE59" s="433"/>
      <c r="AF59" s="433"/>
      <c r="AG59" s="434"/>
      <c r="AH59" s="504" t="s">
        <v>250</v>
      </c>
      <c r="AI59" s="433"/>
      <c r="AJ59" s="433"/>
      <c r="AK59" s="434"/>
    </row>
    <row r="60" spans="1:37" ht="56.6" x14ac:dyDescent="0.35">
      <c r="A60" s="1484"/>
      <c r="B60" s="500">
        <v>2</v>
      </c>
      <c r="C60" s="493"/>
      <c r="D60" s="494"/>
      <c r="E60" s="494"/>
      <c r="F60" s="495"/>
      <c r="G60" s="478"/>
      <c r="H60" s="479"/>
      <c r="I60" s="479"/>
      <c r="J60" s="480"/>
      <c r="L60" s="439"/>
      <c r="M60" s="433"/>
      <c r="N60" s="433"/>
      <c r="O60" s="434"/>
      <c r="P60" s="444"/>
      <c r="Q60" s="433"/>
      <c r="R60" s="433"/>
      <c r="S60" s="434"/>
      <c r="U60" s="439"/>
      <c r="V60" s="433">
        <v>15</v>
      </c>
      <c r="W60" s="433"/>
      <c r="X60" s="434"/>
      <c r="Y60" s="444"/>
      <c r="Z60" s="502" t="s">
        <v>246</v>
      </c>
      <c r="AA60" s="433"/>
      <c r="AB60" s="434"/>
      <c r="AD60" s="439"/>
      <c r="AE60" s="433"/>
      <c r="AF60" s="433"/>
      <c r="AG60" s="434"/>
      <c r="AH60" s="444"/>
      <c r="AI60" s="433"/>
      <c r="AJ60" s="433"/>
      <c r="AK60" s="434"/>
    </row>
    <row r="61" spans="1:37" x14ac:dyDescent="0.35">
      <c r="A61" s="1483">
        <v>44499</v>
      </c>
      <c r="B61" s="472">
        <v>1</v>
      </c>
      <c r="C61" s="493"/>
      <c r="D61" s="494"/>
      <c r="E61" s="494"/>
      <c r="F61" s="495"/>
      <c r="G61" s="478"/>
      <c r="H61" s="479"/>
      <c r="I61" s="479"/>
      <c r="J61" s="480"/>
      <c r="L61" s="439"/>
      <c r="M61" s="433"/>
      <c r="N61" s="433"/>
      <c r="O61" s="434"/>
      <c r="P61" s="444"/>
      <c r="Q61" s="433"/>
      <c r="R61" s="433"/>
      <c r="S61" s="434"/>
      <c r="U61" s="439"/>
      <c r="V61" s="433"/>
      <c r="W61" s="433"/>
      <c r="X61" s="434"/>
      <c r="Y61" s="444"/>
      <c r="Z61" s="433"/>
      <c r="AA61" s="433"/>
      <c r="AB61" s="434"/>
      <c r="AD61" s="439"/>
      <c r="AE61" s="433"/>
      <c r="AF61" s="433"/>
      <c r="AG61" s="434"/>
      <c r="AH61" s="444"/>
      <c r="AI61" s="433"/>
      <c r="AJ61" s="433"/>
      <c r="AK61" s="434"/>
    </row>
    <row r="62" spans="1:37" x14ac:dyDescent="0.35">
      <c r="A62" s="1484"/>
      <c r="B62" s="500">
        <v>2</v>
      </c>
      <c r="C62" s="493"/>
      <c r="D62" s="494"/>
      <c r="E62" s="494"/>
      <c r="F62" s="495"/>
      <c r="G62" s="478"/>
      <c r="H62" s="479"/>
      <c r="I62" s="479"/>
      <c r="J62" s="480"/>
      <c r="L62" s="439"/>
      <c r="M62" s="433"/>
      <c r="N62" s="433"/>
      <c r="O62" s="434"/>
      <c r="P62" s="444"/>
      <c r="Q62" s="433"/>
      <c r="R62" s="433"/>
      <c r="S62" s="434"/>
      <c r="U62" s="439"/>
      <c r="V62" s="433"/>
      <c r="W62" s="433"/>
      <c r="X62" s="434"/>
      <c r="Y62" s="444"/>
      <c r="Z62" s="433"/>
      <c r="AA62" s="433"/>
      <c r="AB62" s="434"/>
      <c r="AD62" s="439"/>
      <c r="AE62" s="433"/>
      <c r="AF62" s="433"/>
      <c r="AG62" s="434"/>
      <c r="AH62" s="444"/>
      <c r="AI62" s="433"/>
      <c r="AJ62" s="433"/>
      <c r="AK62" s="434"/>
    </row>
    <row r="63" spans="1:37" x14ac:dyDescent="0.35">
      <c r="A63" s="1481">
        <v>44500</v>
      </c>
      <c r="B63" s="472">
        <v>1</v>
      </c>
      <c r="C63" s="493"/>
      <c r="D63" s="494"/>
      <c r="E63" s="494"/>
      <c r="F63" s="495"/>
      <c r="G63" s="478"/>
      <c r="H63" s="479"/>
      <c r="I63" s="479"/>
      <c r="J63" s="480"/>
      <c r="L63" s="439"/>
      <c r="M63" s="433"/>
      <c r="N63" s="433"/>
      <c r="O63" s="434"/>
      <c r="P63" s="444"/>
      <c r="Q63" s="433"/>
      <c r="R63" s="433"/>
      <c r="S63" s="434"/>
      <c r="U63" s="439"/>
      <c r="V63" s="433"/>
      <c r="W63" s="433"/>
      <c r="X63" s="434"/>
      <c r="Y63" s="444"/>
      <c r="Z63" s="433"/>
      <c r="AA63" s="433"/>
      <c r="AB63" s="434"/>
      <c r="AD63" s="439"/>
      <c r="AE63" s="433"/>
      <c r="AF63" s="433"/>
      <c r="AG63" s="434"/>
      <c r="AH63" s="444"/>
      <c r="AI63" s="433"/>
      <c r="AJ63" s="433"/>
      <c r="AK63" s="434"/>
    </row>
    <row r="64" spans="1:37" ht="42.45" x14ac:dyDescent="0.35">
      <c r="A64" s="1478"/>
      <c r="B64" s="472">
        <v>2</v>
      </c>
      <c r="C64" s="496"/>
      <c r="D64" s="497"/>
      <c r="E64" s="497"/>
      <c r="F64" s="498"/>
      <c r="G64" s="484"/>
      <c r="H64" s="485"/>
      <c r="I64" s="485"/>
      <c r="J64" s="486"/>
      <c r="L64" s="440"/>
      <c r="M64" s="436"/>
      <c r="N64" s="436"/>
      <c r="O64" s="437"/>
      <c r="P64" s="445"/>
      <c r="Q64" s="436"/>
      <c r="R64" s="436"/>
      <c r="S64" s="437"/>
      <c r="U64" s="440">
        <v>693</v>
      </c>
      <c r="V64" s="436"/>
      <c r="W64" s="436"/>
      <c r="X64" s="437"/>
      <c r="Y64" s="505" t="s">
        <v>251</v>
      </c>
      <c r="Z64" s="436"/>
      <c r="AA64" s="436"/>
      <c r="AB64" s="437"/>
      <c r="AD64" s="440"/>
      <c r="AE64" s="436"/>
      <c r="AF64" s="436"/>
      <c r="AG64" s="437"/>
      <c r="AH64" s="445"/>
      <c r="AI64" s="436"/>
      <c r="AJ64" s="436"/>
      <c r="AK64" s="437"/>
    </row>
    <row r="65" spans="1:33" x14ac:dyDescent="0.35">
      <c r="A65" s="423" t="s">
        <v>225</v>
      </c>
      <c r="C65" s="423">
        <f>SUM(C3:C64)</f>
        <v>1710</v>
      </c>
      <c r="D65" s="423">
        <f>SUM(D3:D64)</f>
        <v>0</v>
      </c>
      <c r="E65" s="423">
        <f>SUM(E3:E64)</f>
        <v>457</v>
      </c>
      <c r="F65" s="423">
        <f>SUM(F3:F64)</f>
        <v>322</v>
      </c>
      <c r="L65" s="423">
        <f>SUM(L3:L64)</f>
        <v>320</v>
      </c>
      <c r="M65" s="423">
        <f>SUM(M3:M64)</f>
        <v>120</v>
      </c>
      <c r="N65" s="423">
        <f>SUM(N3:N64)</f>
        <v>0</v>
      </c>
      <c r="O65" s="423">
        <f>SUM(O3:O64)</f>
        <v>348</v>
      </c>
      <c r="U65" s="423">
        <f>SUM(U3:U64)</f>
        <v>1091</v>
      </c>
      <c r="V65" s="423">
        <f>SUM(V3:V64)</f>
        <v>380</v>
      </c>
      <c r="W65" s="423">
        <f>SUM(W3:W64)</f>
        <v>312</v>
      </c>
      <c r="X65" s="423">
        <f>SUM(X3:X64)</f>
        <v>334</v>
      </c>
      <c r="AD65" s="423">
        <f>SUM(AD3:AD64)</f>
        <v>20</v>
      </c>
      <c r="AE65" s="423">
        <f>SUM(AE3:AE64)</f>
        <v>0</v>
      </c>
      <c r="AF65" s="423">
        <f>SUM(AF3:AF64)</f>
        <v>66</v>
      </c>
      <c r="AG65" s="423">
        <f>SUM(AG3:AG64)</f>
        <v>330</v>
      </c>
    </row>
    <row r="73" spans="1:33" ht="14.6" thickBot="1" x14ac:dyDescent="0.4"/>
    <row r="74" spans="1:33" ht="14.6" thickBot="1" x14ac:dyDescent="0.4">
      <c r="C74" s="1467" t="s">
        <v>199</v>
      </c>
      <c r="D74" s="1468"/>
      <c r="E74" s="1469" t="s">
        <v>200</v>
      </c>
      <c r="F74" s="1470"/>
      <c r="G74" s="1467" t="s">
        <v>201</v>
      </c>
      <c r="H74" s="1468"/>
      <c r="I74" s="1467" t="s">
        <v>204</v>
      </c>
      <c r="J74" s="1468"/>
    </row>
    <row r="75" spans="1:33" ht="14.6" thickBot="1" x14ac:dyDescent="0.4">
      <c r="C75" s="455" t="s">
        <v>222</v>
      </c>
      <c r="D75" s="447" t="s">
        <v>223</v>
      </c>
      <c r="E75" s="459" t="s">
        <v>222</v>
      </c>
      <c r="F75" s="451" t="s">
        <v>223</v>
      </c>
      <c r="G75" s="455" t="s">
        <v>222</v>
      </c>
      <c r="H75" s="447" t="s">
        <v>223</v>
      </c>
      <c r="I75" s="455" t="s">
        <v>222</v>
      </c>
      <c r="J75" s="447" t="s">
        <v>223</v>
      </c>
    </row>
    <row r="76" spans="1:33" x14ac:dyDescent="0.35">
      <c r="B76" s="460" t="s">
        <v>218</v>
      </c>
      <c r="C76" s="456">
        <f>C65</f>
        <v>1710</v>
      </c>
      <c r="D76" s="448">
        <f>C76/60</f>
        <v>28.5</v>
      </c>
      <c r="E76" s="456">
        <f>D65</f>
        <v>0</v>
      </c>
      <c r="F76" s="452">
        <f>E76/60</f>
        <v>0</v>
      </c>
      <c r="G76" s="456">
        <f>E65</f>
        <v>457</v>
      </c>
      <c r="H76" s="448">
        <f>G76/60</f>
        <v>7.6166666666666663</v>
      </c>
      <c r="I76" s="456">
        <f>F65</f>
        <v>322</v>
      </c>
      <c r="J76" s="448">
        <f>I76/60</f>
        <v>5.3666666666666663</v>
      </c>
    </row>
    <row r="77" spans="1:33" x14ac:dyDescent="0.35">
      <c r="B77" s="460" t="s">
        <v>219</v>
      </c>
      <c r="C77" s="457">
        <f>L65</f>
        <v>320</v>
      </c>
      <c r="D77" s="449">
        <f t="shared" ref="D77:F79" si="0">C77/60</f>
        <v>5.333333333333333</v>
      </c>
      <c r="E77" s="457">
        <f>M65</f>
        <v>120</v>
      </c>
      <c r="F77" s="453">
        <f t="shared" si="0"/>
        <v>2</v>
      </c>
      <c r="G77" s="457">
        <f>N65</f>
        <v>0</v>
      </c>
      <c r="H77" s="449">
        <f t="shared" ref="H77:J79" si="1">G77/60</f>
        <v>0</v>
      </c>
      <c r="I77" s="457">
        <f>O65</f>
        <v>348</v>
      </c>
      <c r="J77" s="449">
        <f t="shared" si="1"/>
        <v>5.8</v>
      </c>
    </row>
    <row r="78" spans="1:33" x14ac:dyDescent="0.35">
      <c r="B78" s="460" t="s">
        <v>220</v>
      </c>
      <c r="C78" s="457">
        <f>U65</f>
        <v>1091</v>
      </c>
      <c r="D78" s="449">
        <f t="shared" si="0"/>
        <v>18.183333333333334</v>
      </c>
      <c r="E78" s="457">
        <f>V65</f>
        <v>380</v>
      </c>
      <c r="F78" s="453">
        <f t="shared" si="0"/>
        <v>6.333333333333333</v>
      </c>
      <c r="G78" s="457">
        <f>W65</f>
        <v>312</v>
      </c>
      <c r="H78" s="449">
        <f t="shared" si="1"/>
        <v>5.2</v>
      </c>
      <c r="I78" s="457">
        <f>X65</f>
        <v>334</v>
      </c>
      <c r="J78" s="449">
        <f t="shared" si="1"/>
        <v>5.5666666666666664</v>
      </c>
    </row>
    <row r="79" spans="1:33" ht="14.6" thickBot="1" x14ac:dyDescent="0.4">
      <c r="B79" s="460" t="s">
        <v>221</v>
      </c>
      <c r="C79" s="458">
        <f>AD65</f>
        <v>20</v>
      </c>
      <c r="D79" s="450">
        <f t="shared" si="0"/>
        <v>0.33333333333333331</v>
      </c>
      <c r="E79" s="458">
        <f>AE65</f>
        <v>0</v>
      </c>
      <c r="F79" s="454">
        <f t="shared" si="0"/>
        <v>0</v>
      </c>
      <c r="G79" s="458">
        <f>AF65</f>
        <v>66</v>
      </c>
      <c r="H79" s="450">
        <f t="shared" si="1"/>
        <v>1.1000000000000001</v>
      </c>
      <c r="I79" s="458">
        <f>AG65</f>
        <v>330</v>
      </c>
      <c r="J79" s="450">
        <f t="shared" si="1"/>
        <v>5.5</v>
      </c>
    </row>
    <row r="80" spans="1:33" ht="14.6" thickBot="1" x14ac:dyDescent="0.4"/>
    <row r="81" spans="2:10" ht="14.6" thickBot="1" x14ac:dyDescent="0.4">
      <c r="B81" s="461" t="s">
        <v>217</v>
      </c>
      <c r="C81" s="462"/>
      <c r="D81" s="463">
        <f>SUM(D76:D80)</f>
        <v>52.35</v>
      </c>
      <c r="E81" s="462"/>
      <c r="F81" s="463">
        <f>SUM(F76:F80)</f>
        <v>8.3333333333333321</v>
      </c>
      <c r="G81" s="462"/>
      <c r="H81" s="463">
        <f>SUM(H76:H80)</f>
        <v>13.916666666666666</v>
      </c>
      <c r="I81" s="462"/>
      <c r="J81" s="464">
        <f>SUM(J76:J80)</f>
        <v>22.233333333333334</v>
      </c>
    </row>
  </sheetData>
  <mergeCells count="43">
    <mergeCell ref="I74:J74"/>
    <mergeCell ref="A53:A54"/>
    <mergeCell ref="A55:A56"/>
    <mergeCell ref="A57:A58"/>
    <mergeCell ref="A61:A62"/>
    <mergeCell ref="A63:A64"/>
    <mergeCell ref="C74:D74"/>
    <mergeCell ref="E74:F74"/>
    <mergeCell ref="G74:H74"/>
    <mergeCell ref="A59:A60"/>
    <mergeCell ref="A47:A48"/>
    <mergeCell ref="A49:A50"/>
    <mergeCell ref="A51:A52"/>
    <mergeCell ref="A35:A36"/>
    <mergeCell ref="A37:A38"/>
    <mergeCell ref="A39:A40"/>
    <mergeCell ref="A41:A42"/>
    <mergeCell ref="A43:A44"/>
    <mergeCell ref="A45:A46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D1:AG1"/>
    <mergeCell ref="AH1:AK1"/>
    <mergeCell ref="A3:A4"/>
    <mergeCell ref="A5:A6"/>
    <mergeCell ref="A7:A8"/>
    <mergeCell ref="U1:X1"/>
    <mergeCell ref="Y1:AB1"/>
    <mergeCell ref="A9:A10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81"/>
  <sheetViews>
    <sheetView zoomScale="70" zoomScaleNormal="70" workbookViewId="0">
      <pane xSplit="2" ySplit="2" topLeftCell="C60" activePane="bottomRight" state="frozen"/>
      <selection pane="topRight" activeCell="C1" sqref="C1"/>
      <selection pane="bottomLeft" activeCell="A3" sqref="A3"/>
      <selection pane="bottomRight" activeCell="V53" sqref="V53"/>
    </sheetView>
  </sheetViews>
  <sheetFormatPr defaultColWidth="8.84375" defaultRowHeight="14.15" x14ac:dyDescent="0.35"/>
  <cols>
    <col min="1" max="1" width="14.53515625" style="423" customWidth="1"/>
    <col min="2" max="2" width="15.69140625" style="65" customWidth="1"/>
    <col min="3" max="6" width="8.84375" style="423"/>
    <col min="7" max="7" width="17.69140625" style="423" bestFit="1" customWidth="1"/>
    <col min="8" max="8" width="10.53515625" style="423" customWidth="1"/>
    <col min="9" max="9" width="14.53515625" style="423" customWidth="1"/>
    <col min="10" max="10" width="17.3046875" style="423" bestFit="1" customWidth="1"/>
    <col min="11" max="15" width="8.84375" style="423"/>
    <col min="16" max="16" width="15.3046875" style="423" bestFit="1" customWidth="1"/>
    <col min="17" max="17" width="14.84375" style="423" customWidth="1"/>
    <col min="18" max="18" width="12.3828125" style="423" customWidth="1"/>
    <col min="19" max="19" width="15.3046875" style="423" bestFit="1" customWidth="1"/>
    <col min="20" max="23" width="8.84375" style="423"/>
    <col min="24" max="24" width="9.3828125" style="423" bestFit="1" customWidth="1"/>
    <col min="25" max="25" width="17.15234375" style="423" customWidth="1"/>
    <col min="26" max="26" width="12.84375" style="423" customWidth="1"/>
    <col min="27" max="27" width="12.3828125" style="423" customWidth="1"/>
    <col min="28" max="28" width="15.3046875" style="423" customWidth="1"/>
    <col min="29" max="33" width="8.84375" style="423"/>
    <col min="34" max="34" width="11.69140625" style="423" customWidth="1"/>
    <col min="35" max="35" width="12.15234375" style="423" customWidth="1"/>
    <col min="36" max="36" width="10.53515625" style="423" customWidth="1"/>
    <col min="37" max="37" width="15.3046875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202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203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14.6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425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42.9" thickTop="1" x14ac:dyDescent="0.35">
      <c r="A3" s="1478">
        <v>44470</v>
      </c>
      <c r="B3" s="501">
        <v>1</v>
      </c>
      <c r="C3" s="490"/>
      <c r="D3" s="491"/>
      <c r="E3" s="491"/>
      <c r="F3" s="492"/>
      <c r="G3" s="475"/>
      <c r="H3" s="476"/>
      <c r="I3" s="487"/>
      <c r="J3" s="477"/>
      <c r="L3" s="441"/>
      <c r="M3" s="442"/>
      <c r="N3" s="442"/>
      <c r="O3" s="431"/>
      <c r="P3" s="443"/>
      <c r="Q3" s="12"/>
      <c r="R3" s="12"/>
      <c r="S3" s="431"/>
      <c r="U3" s="507">
        <v>720</v>
      </c>
      <c r="V3" s="442"/>
      <c r="W3" s="442"/>
      <c r="X3" s="431"/>
      <c r="Y3" s="506" t="s">
        <v>252</v>
      </c>
      <c r="Z3" s="12"/>
      <c r="AA3" s="12"/>
      <c r="AB3" s="431"/>
      <c r="AD3" s="441"/>
      <c r="AE3" s="442"/>
      <c r="AF3" s="442"/>
      <c r="AG3" s="431"/>
      <c r="AH3" s="443"/>
      <c r="AI3" s="12"/>
      <c r="AJ3" s="12"/>
      <c r="AK3" s="431"/>
    </row>
    <row r="4" spans="1:37" ht="42.45" x14ac:dyDescent="0.35">
      <c r="A4" s="1477"/>
      <c r="B4" s="472">
        <v>2</v>
      </c>
      <c r="C4" s="493"/>
      <c r="D4" s="494"/>
      <c r="E4" s="494"/>
      <c r="F4" s="495"/>
      <c r="G4" s="478"/>
      <c r="H4" s="479"/>
      <c r="I4" s="474"/>
      <c r="J4" s="480"/>
      <c r="L4" s="439"/>
      <c r="M4" s="433"/>
      <c r="N4" s="433"/>
      <c r="O4" s="434"/>
      <c r="P4" s="444"/>
      <c r="Q4" s="433"/>
      <c r="R4" s="433"/>
      <c r="S4" s="434"/>
      <c r="U4" s="470">
        <v>580</v>
      </c>
      <c r="V4" s="433"/>
      <c r="W4" s="6">
        <v>140</v>
      </c>
      <c r="X4" s="434"/>
      <c r="Y4" s="506" t="s">
        <v>252</v>
      </c>
      <c r="Z4" s="433"/>
      <c r="AA4" s="469" t="s">
        <v>253</v>
      </c>
      <c r="AB4" s="489"/>
      <c r="AD4" s="439"/>
      <c r="AE4" s="433"/>
      <c r="AF4" s="433"/>
      <c r="AG4" s="434"/>
      <c r="AH4" s="444"/>
      <c r="AI4" s="433"/>
      <c r="AJ4" s="433"/>
      <c r="AK4" s="434"/>
    </row>
    <row r="5" spans="1:37" ht="42.45" x14ac:dyDescent="0.35">
      <c r="A5" s="1478">
        <v>44471</v>
      </c>
      <c r="B5" s="472">
        <v>1</v>
      </c>
      <c r="C5" s="493"/>
      <c r="D5" s="494"/>
      <c r="E5" s="494"/>
      <c r="F5" s="495"/>
      <c r="G5" s="478"/>
      <c r="H5" s="479"/>
      <c r="I5" s="479"/>
      <c r="J5" s="480"/>
      <c r="L5" s="439"/>
      <c r="M5" s="433"/>
      <c r="N5" s="433"/>
      <c r="O5" s="434"/>
      <c r="P5" s="444"/>
      <c r="Q5" s="433"/>
      <c r="R5" s="433"/>
      <c r="S5" s="434"/>
      <c r="U5" s="439"/>
      <c r="V5" s="433"/>
      <c r="W5" s="6">
        <v>720</v>
      </c>
      <c r="X5" s="434"/>
      <c r="Y5" s="469"/>
      <c r="Z5" s="433"/>
      <c r="AA5" s="469" t="s">
        <v>253</v>
      </c>
      <c r="AB5" s="489"/>
      <c r="AD5" s="439"/>
      <c r="AE5" s="433"/>
      <c r="AF5" s="433"/>
      <c r="AG5" s="434"/>
      <c r="AH5" s="444"/>
      <c r="AI5" s="433"/>
      <c r="AJ5" s="433"/>
      <c r="AK5" s="434"/>
    </row>
    <row r="6" spans="1:37" ht="70.75" x14ac:dyDescent="0.35">
      <c r="A6" s="1477"/>
      <c r="B6" s="472">
        <v>2</v>
      </c>
      <c r="C6" s="493"/>
      <c r="D6" s="494"/>
      <c r="E6" s="494"/>
      <c r="F6" s="495"/>
      <c r="G6" s="478"/>
      <c r="H6" s="479"/>
      <c r="I6" s="479"/>
      <c r="J6" s="480"/>
      <c r="L6" s="439"/>
      <c r="M6" s="433"/>
      <c r="N6" s="433"/>
      <c r="O6" s="434"/>
      <c r="P6" s="444"/>
      <c r="Q6" s="433"/>
      <c r="R6" s="433"/>
      <c r="S6" s="434"/>
      <c r="U6" s="470">
        <v>53</v>
      </c>
      <c r="V6" s="6">
        <v>53</v>
      </c>
      <c r="W6" s="6">
        <v>53</v>
      </c>
      <c r="X6" s="508"/>
      <c r="Y6" s="469" t="s">
        <v>256</v>
      </c>
      <c r="Z6" s="502" t="s">
        <v>255</v>
      </c>
      <c r="AA6" s="469" t="s">
        <v>254</v>
      </c>
      <c r="AB6" s="489"/>
      <c r="AD6" s="439"/>
      <c r="AE6" s="433"/>
      <c r="AF6" s="6"/>
      <c r="AG6" s="434"/>
      <c r="AH6" s="444"/>
      <c r="AI6" s="433"/>
      <c r="AJ6" s="467"/>
      <c r="AK6" s="434"/>
    </row>
    <row r="7" spans="1:37" ht="56.6" x14ac:dyDescent="0.35">
      <c r="A7" s="1478">
        <v>44472</v>
      </c>
      <c r="B7" s="472">
        <v>1</v>
      </c>
      <c r="C7" s="493"/>
      <c r="D7" s="494">
        <v>20</v>
      </c>
      <c r="E7" s="494"/>
      <c r="F7" s="495"/>
      <c r="G7" s="478"/>
      <c r="H7" s="483" t="s">
        <v>66</v>
      </c>
      <c r="I7" s="479"/>
      <c r="J7" s="480"/>
      <c r="L7" s="470"/>
      <c r="M7" s="509">
        <v>165</v>
      </c>
      <c r="N7" s="433"/>
      <c r="O7" s="434"/>
      <c r="P7" s="509"/>
      <c r="Q7" s="509" t="s">
        <v>28</v>
      </c>
      <c r="R7" s="433"/>
      <c r="S7" s="434"/>
      <c r="U7" s="439"/>
      <c r="V7" s="511"/>
      <c r="W7" s="15"/>
      <c r="X7" s="434"/>
      <c r="Y7" s="444"/>
      <c r="Z7" s="433"/>
      <c r="AA7" s="433"/>
      <c r="AB7" s="434"/>
      <c r="AD7" s="439"/>
      <c r="AE7" s="433"/>
      <c r="AF7" s="433"/>
      <c r="AG7" s="434"/>
      <c r="AH7" s="444"/>
      <c r="AI7" s="433"/>
      <c r="AJ7" s="433"/>
      <c r="AK7" s="434"/>
    </row>
    <row r="8" spans="1:37" ht="56.6" x14ac:dyDescent="0.35">
      <c r="A8" s="1477"/>
      <c r="B8" s="472">
        <v>2</v>
      </c>
      <c r="C8" s="493"/>
      <c r="D8" s="494"/>
      <c r="E8" s="494">
        <v>15</v>
      </c>
      <c r="F8" s="495"/>
      <c r="G8" s="481"/>
      <c r="H8" s="479"/>
      <c r="I8" s="513" t="s">
        <v>257</v>
      </c>
      <c r="J8" s="480"/>
      <c r="L8" s="439"/>
      <c r="M8" s="433"/>
      <c r="N8" s="433"/>
      <c r="O8" s="434"/>
      <c r="P8" s="444"/>
      <c r="Q8" s="433"/>
      <c r="R8" s="433"/>
      <c r="S8" s="434"/>
      <c r="U8" s="470"/>
      <c r="V8" s="512"/>
      <c r="W8" s="509">
        <v>109</v>
      </c>
      <c r="X8" s="434"/>
      <c r="Y8" s="469"/>
      <c r="Z8" s="433"/>
      <c r="AA8" s="469" t="s">
        <v>258</v>
      </c>
      <c r="AB8" s="434"/>
      <c r="AD8" s="439"/>
      <c r="AE8" s="433"/>
      <c r="AF8" s="433"/>
      <c r="AG8" s="434"/>
      <c r="AH8" s="444"/>
      <c r="AI8" s="433"/>
      <c r="AJ8" s="433"/>
      <c r="AK8" s="434"/>
    </row>
    <row r="9" spans="1:37" x14ac:dyDescent="0.35">
      <c r="A9" s="1478">
        <v>44473</v>
      </c>
      <c r="B9" s="472">
        <v>1</v>
      </c>
      <c r="C9" s="493"/>
      <c r="D9" s="494"/>
      <c r="E9" s="494">
        <v>10</v>
      </c>
      <c r="F9" s="495"/>
      <c r="G9" s="478"/>
      <c r="H9" s="479"/>
      <c r="I9" s="514" t="s">
        <v>27</v>
      </c>
      <c r="J9" s="480"/>
      <c r="L9" s="439"/>
      <c r="M9" s="15"/>
      <c r="N9" s="433"/>
      <c r="O9" s="434"/>
      <c r="P9" s="444"/>
      <c r="Q9" s="433"/>
      <c r="R9" s="433"/>
      <c r="S9" s="434"/>
      <c r="U9" s="439"/>
      <c r="V9" s="433"/>
      <c r="W9" s="15">
        <v>20</v>
      </c>
      <c r="X9" s="434"/>
      <c r="Y9" s="444"/>
      <c r="Z9" s="433"/>
      <c r="AA9" s="15" t="s">
        <v>27</v>
      </c>
      <c r="AB9" s="434"/>
      <c r="AD9" s="439"/>
      <c r="AE9" s="433"/>
      <c r="AF9" s="6">
        <v>10</v>
      </c>
      <c r="AG9" s="434"/>
      <c r="AH9" s="444"/>
      <c r="AI9" s="433"/>
      <c r="AJ9" s="15" t="s">
        <v>27</v>
      </c>
      <c r="AK9" s="434"/>
    </row>
    <row r="10" spans="1:37" ht="42.45" x14ac:dyDescent="0.35">
      <c r="A10" s="1477"/>
      <c r="B10" s="472">
        <v>2</v>
      </c>
      <c r="C10" s="493"/>
      <c r="D10" s="494"/>
      <c r="E10" s="494"/>
      <c r="F10" s="495"/>
      <c r="G10" s="478"/>
      <c r="H10" s="479"/>
      <c r="I10" s="479"/>
      <c r="J10" s="480"/>
      <c r="L10" s="439"/>
      <c r="M10" s="433"/>
      <c r="N10" s="433"/>
      <c r="O10" s="434"/>
      <c r="P10" s="444"/>
      <c r="Q10" s="433"/>
      <c r="R10" s="433"/>
      <c r="S10" s="434"/>
      <c r="U10" s="470">
        <v>219</v>
      </c>
      <c r="V10" s="433"/>
      <c r="W10" s="15"/>
      <c r="X10" s="434"/>
      <c r="Y10" s="510" t="s">
        <v>259</v>
      </c>
      <c r="Z10" s="433"/>
      <c r="AA10" s="433"/>
      <c r="AB10" s="434"/>
      <c r="AD10" s="439"/>
      <c r="AE10" s="433"/>
      <c r="AF10" s="433"/>
      <c r="AG10" s="434"/>
      <c r="AH10" s="444"/>
      <c r="AI10" s="433"/>
      <c r="AJ10" s="433"/>
      <c r="AK10" s="434"/>
    </row>
    <row r="11" spans="1:37" x14ac:dyDescent="0.35">
      <c r="A11" s="1478">
        <v>44474</v>
      </c>
      <c r="B11" s="472">
        <v>1</v>
      </c>
      <c r="C11" s="493">
        <v>220</v>
      </c>
      <c r="D11" s="494"/>
      <c r="E11" s="494"/>
      <c r="F11" s="495"/>
      <c r="G11" s="478" t="s">
        <v>260</v>
      </c>
      <c r="H11" s="479"/>
      <c r="I11" s="479"/>
      <c r="J11" s="480"/>
      <c r="L11" s="439"/>
      <c r="M11" s="433"/>
      <c r="N11" s="433"/>
      <c r="O11" s="434"/>
      <c r="P11" s="444"/>
      <c r="Q11" s="433"/>
      <c r="R11" s="433"/>
      <c r="S11" s="434"/>
      <c r="U11" s="439"/>
      <c r="V11" s="433"/>
      <c r="W11" s="15">
        <v>28</v>
      </c>
      <c r="X11" s="434"/>
      <c r="Y11" s="444"/>
      <c r="Z11" s="433"/>
      <c r="AA11" s="6" t="s">
        <v>27</v>
      </c>
      <c r="AB11" s="434"/>
      <c r="AD11" s="439"/>
      <c r="AE11" s="433"/>
      <c r="AF11" s="433"/>
      <c r="AG11" s="434"/>
      <c r="AH11" s="444"/>
      <c r="AI11" s="433"/>
      <c r="AJ11" s="433"/>
      <c r="AK11" s="434"/>
    </row>
    <row r="12" spans="1:37" x14ac:dyDescent="0.35">
      <c r="A12" s="1477"/>
      <c r="B12" s="472">
        <v>2</v>
      </c>
      <c r="C12" s="493">
        <v>600</v>
      </c>
      <c r="D12" s="494"/>
      <c r="E12" s="494">
        <v>120</v>
      </c>
      <c r="F12" s="495"/>
      <c r="G12" s="478" t="s">
        <v>260</v>
      </c>
      <c r="H12" s="479"/>
      <c r="I12" s="515" t="s">
        <v>261</v>
      </c>
      <c r="J12" s="480"/>
      <c r="L12" s="439"/>
      <c r="M12" s="433"/>
      <c r="N12" s="433"/>
      <c r="O12" s="434"/>
      <c r="P12" s="444"/>
      <c r="Q12" s="433"/>
      <c r="R12" s="433"/>
      <c r="S12" s="434"/>
      <c r="U12" s="439"/>
      <c r="V12" s="433"/>
      <c r="W12" s="15"/>
      <c r="X12" s="434"/>
      <c r="Y12" s="444"/>
      <c r="Z12" s="433"/>
      <c r="AA12" s="433"/>
      <c r="AB12" s="434"/>
      <c r="AD12" s="439"/>
      <c r="AE12" s="433"/>
      <c r="AF12" s="433"/>
      <c r="AG12" s="434"/>
      <c r="AH12" s="444"/>
      <c r="AI12" s="433"/>
      <c r="AJ12" s="433"/>
      <c r="AK12" s="434"/>
    </row>
    <row r="13" spans="1:37" x14ac:dyDescent="0.35">
      <c r="A13" s="1478">
        <v>44475</v>
      </c>
      <c r="B13" s="472">
        <v>1</v>
      </c>
      <c r="C13" s="493"/>
      <c r="D13" s="494"/>
      <c r="E13" s="494">
        <v>230</v>
      </c>
      <c r="F13" s="495"/>
      <c r="G13" s="478"/>
      <c r="H13" s="479"/>
      <c r="I13" s="515" t="s">
        <v>261</v>
      </c>
      <c r="J13" s="480"/>
      <c r="L13" s="439"/>
      <c r="M13" s="433"/>
      <c r="N13" s="433"/>
      <c r="O13" s="434"/>
      <c r="P13" s="444"/>
      <c r="Q13" s="433"/>
      <c r="R13" s="433"/>
      <c r="S13" s="434"/>
      <c r="U13" s="439"/>
      <c r="V13" s="433"/>
      <c r="W13" s="15"/>
      <c r="X13" s="434"/>
      <c r="Y13" s="444"/>
      <c r="Z13" s="433"/>
      <c r="AA13" s="499"/>
      <c r="AB13" s="466"/>
      <c r="AD13" s="439"/>
      <c r="AE13" s="433"/>
      <c r="AF13" s="433"/>
      <c r="AG13" s="434"/>
      <c r="AH13" s="444"/>
      <c r="AI13" s="433"/>
      <c r="AJ13" s="433"/>
      <c r="AK13" s="434"/>
    </row>
    <row r="14" spans="1:37" ht="42.45" x14ac:dyDescent="0.35">
      <c r="A14" s="1477"/>
      <c r="B14" s="472">
        <v>2</v>
      </c>
      <c r="C14" s="493"/>
      <c r="D14" s="494"/>
      <c r="E14" s="494"/>
      <c r="F14" s="495"/>
      <c r="G14" s="478"/>
      <c r="H14" s="479"/>
      <c r="I14" s="479"/>
      <c r="J14" s="480"/>
      <c r="L14" s="439"/>
      <c r="M14" s="433"/>
      <c r="N14" s="433"/>
      <c r="O14" s="434"/>
      <c r="P14" s="444"/>
      <c r="Q14" s="433"/>
      <c r="R14" s="433"/>
      <c r="S14" s="434"/>
      <c r="U14" s="439"/>
      <c r="V14" s="433"/>
      <c r="W14" s="433"/>
      <c r="X14" s="434"/>
      <c r="Y14" s="444"/>
      <c r="Z14" s="433"/>
      <c r="AA14" s="433"/>
      <c r="AB14" s="434"/>
      <c r="AD14" s="439"/>
      <c r="AE14" s="433"/>
      <c r="AF14" s="6">
        <v>15</v>
      </c>
      <c r="AG14" s="434"/>
      <c r="AH14" s="469" t="s">
        <v>263</v>
      </c>
      <c r="AI14" s="433"/>
      <c r="AJ14" s="433"/>
      <c r="AK14" s="434"/>
    </row>
    <row r="15" spans="1:37" ht="28.3" x14ac:dyDescent="0.35">
      <c r="A15" s="1478">
        <v>44476</v>
      </c>
      <c r="B15" s="472">
        <v>1</v>
      </c>
      <c r="C15" s="493"/>
      <c r="D15" s="494"/>
      <c r="E15" s="6">
        <v>10</v>
      </c>
      <c r="F15" s="495"/>
      <c r="G15" s="478"/>
      <c r="H15" s="479"/>
      <c r="I15" s="514" t="s">
        <v>27</v>
      </c>
      <c r="J15" s="480"/>
      <c r="L15" s="439"/>
      <c r="M15" s="433"/>
      <c r="N15" s="433"/>
      <c r="O15" s="434"/>
      <c r="P15" s="439"/>
      <c r="Q15" s="433"/>
      <c r="R15" s="433"/>
      <c r="S15" s="434"/>
      <c r="U15" s="439"/>
      <c r="V15" s="433"/>
      <c r="W15" s="433"/>
      <c r="X15" s="434"/>
      <c r="Y15" s="439"/>
      <c r="Z15" s="433"/>
      <c r="AA15" s="433"/>
      <c r="AB15" s="434"/>
      <c r="AD15" s="439"/>
      <c r="AE15" s="433"/>
      <c r="AF15" s="6">
        <v>10</v>
      </c>
      <c r="AG15" s="434"/>
      <c r="AH15" s="439"/>
      <c r="AI15" s="433"/>
      <c r="AJ15" s="467" t="s">
        <v>262</v>
      </c>
      <c r="AK15" s="434"/>
    </row>
    <row r="16" spans="1:37" x14ac:dyDescent="0.35">
      <c r="A16" s="1477"/>
      <c r="B16" s="472">
        <v>2</v>
      </c>
      <c r="C16" s="493"/>
      <c r="D16" s="494"/>
      <c r="E16" s="494"/>
      <c r="F16" s="495"/>
      <c r="G16" s="478"/>
      <c r="H16" s="479"/>
      <c r="I16" s="479"/>
      <c r="J16" s="480"/>
      <c r="L16" s="439"/>
      <c r="M16" s="433"/>
      <c r="N16" s="433"/>
      <c r="O16" s="434"/>
      <c r="P16" s="439"/>
      <c r="Q16" s="433"/>
      <c r="R16" s="433"/>
      <c r="S16" s="434"/>
      <c r="U16" s="439"/>
      <c r="V16" s="433"/>
      <c r="W16" s="433"/>
      <c r="X16" s="434"/>
      <c r="Y16" s="439"/>
      <c r="Z16" s="433"/>
      <c r="AA16" s="433"/>
      <c r="AB16" s="434"/>
      <c r="AD16" s="439"/>
      <c r="AE16" s="433"/>
      <c r="AF16" s="433"/>
      <c r="AG16" s="434"/>
      <c r="AH16" s="439"/>
      <c r="AI16" s="433"/>
      <c r="AJ16" s="433"/>
      <c r="AK16" s="434"/>
    </row>
    <row r="17" spans="1:37" ht="28.3" x14ac:dyDescent="0.35">
      <c r="A17" s="1478">
        <v>44477</v>
      </c>
      <c r="B17" s="472">
        <v>1</v>
      </c>
      <c r="C17" s="493"/>
      <c r="D17" s="494"/>
      <c r="E17" s="494"/>
      <c r="F17" s="495"/>
      <c r="G17" s="478"/>
      <c r="H17" s="479"/>
      <c r="I17" s="479"/>
      <c r="J17" s="480"/>
      <c r="L17" s="439"/>
      <c r="M17" s="433"/>
      <c r="N17" s="433"/>
      <c r="O17" s="434"/>
      <c r="P17" s="439"/>
      <c r="Q17" s="433"/>
      <c r="R17" s="433"/>
      <c r="S17" s="434"/>
      <c r="U17" s="439"/>
      <c r="V17" s="433"/>
      <c r="W17" s="6">
        <v>10</v>
      </c>
      <c r="X17" s="434"/>
      <c r="Y17" s="439"/>
      <c r="Z17" s="433"/>
      <c r="AA17" s="6" t="s">
        <v>27</v>
      </c>
      <c r="AB17" s="434"/>
      <c r="AD17" s="439"/>
      <c r="AE17" s="433"/>
      <c r="AF17" s="6">
        <v>195</v>
      </c>
      <c r="AG17" s="434"/>
      <c r="AH17" s="439"/>
      <c r="AI17" s="433"/>
      <c r="AJ17" s="467" t="s">
        <v>262</v>
      </c>
      <c r="AK17" s="434"/>
    </row>
    <row r="18" spans="1:37" ht="28.3" x14ac:dyDescent="0.35">
      <c r="A18" s="1477"/>
      <c r="B18" s="472">
        <v>2</v>
      </c>
      <c r="C18" s="493"/>
      <c r="D18" s="494"/>
      <c r="E18" s="494"/>
      <c r="F18" s="495"/>
      <c r="G18" s="478"/>
      <c r="H18" s="479"/>
      <c r="I18" s="479"/>
      <c r="J18" s="480"/>
      <c r="L18" s="439"/>
      <c r="M18" s="433"/>
      <c r="N18" s="433"/>
      <c r="O18" s="434"/>
      <c r="P18" s="439"/>
      <c r="Q18" s="433"/>
      <c r="R18" s="433"/>
      <c r="S18" s="434"/>
      <c r="U18" s="439"/>
      <c r="V18" s="433"/>
      <c r="W18" s="433"/>
      <c r="X18" s="434"/>
      <c r="Y18" s="439"/>
      <c r="Z18" s="433"/>
      <c r="AA18" s="433"/>
      <c r="AB18" s="434"/>
      <c r="AD18" s="439"/>
      <c r="AE18" s="433"/>
      <c r="AF18" s="6">
        <v>400</v>
      </c>
      <c r="AG18" s="434"/>
      <c r="AH18" s="439"/>
      <c r="AI18" s="433"/>
      <c r="AJ18" s="467" t="s">
        <v>262</v>
      </c>
      <c r="AK18" s="434"/>
    </row>
    <row r="19" spans="1:37" ht="28.3" x14ac:dyDescent="0.35">
      <c r="A19" s="1478">
        <v>44478</v>
      </c>
      <c r="B19" s="472">
        <v>1</v>
      </c>
      <c r="D19" s="494"/>
      <c r="E19" s="493"/>
      <c r="F19" s="495"/>
      <c r="G19" s="478"/>
      <c r="H19" s="479"/>
      <c r="I19" s="479"/>
      <c r="J19" s="480"/>
      <c r="L19" s="439"/>
      <c r="M19" s="433"/>
      <c r="N19" s="433"/>
      <c r="O19" s="434"/>
      <c r="P19" s="439"/>
      <c r="Q19" s="433"/>
      <c r="R19" s="433"/>
      <c r="S19" s="434"/>
      <c r="U19" s="439"/>
      <c r="V19" s="433"/>
      <c r="W19" s="433"/>
      <c r="X19" s="434"/>
      <c r="Y19" s="439"/>
      <c r="Z19" s="433"/>
      <c r="AA19" s="433"/>
      <c r="AB19" s="434"/>
      <c r="AD19" s="439"/>
      <c r="AE19" s="433"/>
      <c r="AF19" s="6">
        <v>450</v>
      </c>
      <c r="AG19" s="434"/>
      <c r="AH19" s="439"/>
      <c r="AI19" s="433"/>
      <c r="AJ19" s="467" t="s">
        <v>262</v>
      </c>
      <c r="AK19" s="434"/>
    </row>
    <row r="20" spans="1:37" x14ac:dyDescent="0.35">
      <c r="A20" s="1477"/>
      <c r="B20" s="472">
        <v>2</v>
      </c>
      <c r="C20" s="493"/>
      <c r="D20" s="494"/>
      <c r="E20" s="494">
        <v>10</v>
      </c>
      <c r="F20" s="495"/>
      <c r="G20" s="478"/>
      <c r="H20" s="479"/>
      <c r="I20" s="479" t="s">
        <v>265</v>
      </c>
      <c r="J20" s="480"/>
      <c r="L20" s="439"/>
      <c r="M20" s="433"/>
      <c r="N20" s="433"/>
      <c r="O20" s="434"/>
      <c r="P20" s="439"/>
      <c r="Q20" s="433"/>
      <c r="R20" s="433"/>
      <c r="S20" s="434"/>
      <c r="U20" s="439"/>
      <c r="V20" s="433"/>
      <c r="W20" s="433"/>
      <c r="X20" s="434"/>
      <c r="Y20" s="439"/>
      <c r="Z20" s="433"/>
      <c r="AA20" s="433"/>
      <c r="AB20" s="434"/>
      <c r="AD20" s="439"/>
      <c r="AE20" s="433"/>
      <c r="AF20" s="433"/>
      <c r="AG20" s="434"/>
      <c r="AH20" s="439"/>
      <c r="AI20" s="433"/>
      <c r="AJ20" s="433"/>
      <c r="AK20" s="434"/>
    </row>
    <row r="21" spans="1:37" x14ac:dyDescent="0.35">
      <c r="A21" s="1478">
        <v>44479</v>
      </c>
      <c r="B21" s="472">
        <v>1</v>
      </c>
      <c r="C21" s="493"/>
      <c r="D21" s="494"/>
      <c r="E21" s="494"/>
      <c r="F21" s="495"/>
      <c r="G21" s="478"/>
      <c r="H21" s="479"/>
      <c r="I21" s="479"/>
      <c r="J21" s="480"/>
      <c r="L21" s="439"/>
      <c r="M21" s="433"/>
      <c r="N21" s="433"/>
      <c r="O21" s="434"/>
      <c r="P21" s="439"/>
      <c r="Q21" s="433"/>
      <c r="R21" s="433"/>
      <c r="S21" s="434"/>
      <c r="U21" s="439"/>
      <c r="V21" s="433"/>
      <c r="W21" s="433"/>
      <c r="X21" s="434"/>
      <c r="Y21" s="439"/>
      <c r="Z21" s="433"/>
      <c r="AA21" s="433"/>
      <c r="AB21" s="434"/>
      <c r="AD21" s="439"/>
      <c r="AE21" s="433"/>
      <c r="AF21" s="433"/>
      <c r="AG21" s="434"/>
      <c r="AH21" s="439"/>
      <c r="AI21" s="433"/>
      <c r="AJ21" s="433"/>
      <c r="AK21" s="434"/>
    </row>
    <row r="22" spans="1:37" ht="42.45" x14ac:dyDescent="0.35">
      <c r="A22" s="1477"/>
      <c r="B22" s="472">
        <v>2</v>
      </c>
      <c r="C22" s="493"/>
      <c r="D22" s="494"/>
      <c r="E22" s="494">
        <v>25</v>
      </c>
      <c r="F22" s="495"/>
      <c r="G22" s="478"/>
      <c r="H22" s="479"/>
      <c r="I22" s="515" t="s">
        <v>264</v>
      </c>
      <c r="J22" s="480"/>
      <c r="L22" s="439"/>
      <c r="M22" s="433"/>
      <c r="N22" s="433"/>
      <c r="O22" s="434"/>
      <c r="P22" s="439"/>
      <c r="Q22" s="433"/>
      <c r="R22" s="433"/>
      <c r="S22" s="434"/>
      <c r="U22" s="439"/>
      <c r="V22" s="433"/>
      <c r="W22" s="6">
        <v>25</v>
      </c>
      <c r="X22" s="434"/>
      <c r="Y22" s="439"/>
      <c r="Z22" s="433"/>
      <c r="AA22" s="467" t="s">
        <v>264</v>
      </c>
      <c r="AB22" s="434"/>
      <c r="AD22" s="439"/>
      <c r="AE22" s="433"/>
      <c r="AF22" s="433"/>
      <c r="AG22" s="434"/>
      <c r="AH22" s="439"/>
      <c r="AI22" s="433"/>
      <c r="AJ22" s="433"/>
      <c r="AK22" s="434"/>
    </row>
    <row r="23" spans="1:37" x14ac:dyDescent="0.35">
      <c r="A23" s="1478">
        <v>44480</v>
      </c>
      <c r="B23" s="472">
        <v>1</v>
      </c>
      <c r="C23" s="493"/>
      <c r="D23" s="494"/>
      <c r="E23" s="494">
        <v>15</v>
      </c>
      <c r="F23" s="495"/>
      <c r="G23" s="478"/>
      <c r="H23" s="479"/>
      <c r="I23" s="514" t="s">
        <v>27</v>
      </c>
      <c r="J23" s="480"/>
      <c r="L23" s="439"/>
      <c r="M23" s="433"/>
      <c r="N23" s="433"/>
      <c r="O23" s="434"/>
      <c r="P23" s="439"/>
      <c r="Q23" s="433"/>
      <c r="R23" s="433"/>
      <c r="S23" s="434"/>
      <c r="U23" s="439"/>
      <c r="V23" s="433"/>
      <c r="W23" s="433"/>
      <c r="X23" s="434"/>
      <c r="Y23" s="439"/>
      <c r="Z23" s="433"/>
      <c r="AA23" s="433"/>
      <c r="AB23" s="434"/>
      <c r="AD23" s="439"/>
      <c r="AE23" s="433"/>
      <c r="AF23" s="433"/>
      <c r="AG23" s="434"/>
      <c r="AH23" s="439"/>
      <c r="AI23" s="433"/>
      <c r="AJ23" s="433"/>
      <c r="AK23" s="434"/>
    </row>
    <row r="24" spans="1:37" ht="42.45" x14ac:dyDescent="0.35">
      <c r="A24" s="1477"/>
      <c r="B24" s="472">
        <v>2</v>
      </c>
      <c r="C24" s="493"/>
      <c r="D24" s="494"/>
      <c r="E24" s="494">
        <v>25</v>
      </c>
      <c r="F24" s="495"/>
      <c r="G24" s="478"/>
      <c r="H24" s="479"/>
      <c r="I24" s="515" t="s">
        <v>271</v>
      </c>
      <c r="J24" s="480"/>
      <c r="L24" s="439"/>
      <c r="M24" s="433"/>
      <c r="N24" s="433"/>
      <c r="O24" s="434"/>
      <c r="P24" s="439"/>
      <c r="Q24" s="433"/>
      <c r="R24" s="433"/>
      <c r="S24" s="434"/>
      <c r="U24" s="516">
        <v>10</v>
      </c>
      <c r="V24" s="433"/>
      <c r="W24" s="433"/>
      <c r="X24" s="434"/>
      <c r="Y24" s="439" t="s">
        <v>270</v>
      </c>
      <c r="Z24" s="433"/>
      <c r="AA24" s="433"/>
      <c r="AB24" s="434"/>
      <c r="AD24" s="439"/>
      <c r="AE24" s="433"/>
      <c r="AF24" s="433"/>
      <c r="AG24" s="434"/>
      <c r="AH24" s="439"/>
      <c r="AI24" s="433"/>
      <c r="AJ24" s="433"/>
      <c r="AK24" s="434"/>
    </row>
    <row r="25" spans="1:37" x14ac:dyDescent="0.35">
      <c r="A25" s="1478">
        <v>44481</v>
      </c>
      <c r="B25" s="472">
        <v>1</v>
      </c>
      <c r="C25" s="493"/>
      <c r="D25" s="494"/>
      <c r="E25" s="494"/>
      <c r="F25" s="495"/>
      <c r="G25" s="478"/>
      <c r="H25" s="479"/>
      <c r="I25" s="479"/>
      <c r="J25" s="480"/>
      <c r="L25" s="439"/>
      <c r="M25" s="433"/>
      <c r="N25" s="433"/>
      <c r="O25" s="434"/>
      <c r="P25" s="439"/>
      <c r="Q25" s="433"/>
      <c r="R25" s="433"/>
      <c r="S25" s="434"/>
      <c r="U25" s="439"/>
      <c r="V25" s="433"/>
      <c r="W25" s="433"/>
      <c r="X25" s="434"/>
      <c r="Y25" s="439"/>
      <c r="Z25" s="433"/>
      <c r="AA25" s="433"/>
      <c r="AB25" s="434"/>
      <c r="AD25" s="439"/>
      <c r="AE25" s="433"/>
      <c r="AF25" s="433"/>
      <c r="AG25" s="434"/>
      <c r="AH25" s="439"/>
      <c r="AI25" s="433"/>
      <c r="AJ25" s="433"/>
      <c r="AK25" s="434"/>
    </row>
    <row r="26" spans="1:37" x14ac:dyDescent="0.35">
      <c r="A26" s="1477"/>
      <c r="B26" s="472">
        <v>2</v>
      </c>
      <c r="C26" s="493"/>
      <c r="D26" s="494"/>
      <c r="E26" s="494"/>
      <c r="F26" s="495"/>
      <c r="G26" s="478"/>
      <c r="H26" s="479"/>
      <c r="I26" s="479"/>
      <c r="J26" s="480"/>
      <c r="L26" s="439"/>
      <c r="M26" s="433"/>
      <c r="N26" s="433"/>
      <c r="O26" s="434"/>
      <c r="P26" s="439"/>
      <c r="Q26" s="433"/>
      <c r="R26" s="433"/>
      <c r="S26" s="434"/>
      <c r="U26" s="516">
        <v>15</v>
      </c>
      <c r="V26" s="433"/>
      <c r="W26" s="433"/>
      <c r="X26" s="434"/>
      <c r="Y26" s="439" t="s">
        <v>270</v>
      </c>
      <c r="Z26" s="433"/>
      <c r="AA26" s="433"/>
      <c r="AB26" s="434"/>
      <c r="AD26" s="439"/>
      <c r="AE26" s="433"/>
      <c r="AF26" s="433"/>
      <c r="AG26" s="434"/>
      <c r="AH26" s="439"/>
      <c r="AI26" s="433"/>
      <c r="AJ26" s="433"/>
      <c r="AK26" s="434"/>
    </row>
    <row r="27" spans="1:37" ht="42.45" x14ac:dyDescent="0.35">
      <c r="A27" s="1478">
        <v>44482</v>
      </c>
      <c r="B27" s="472">
        <v>1</v>
      </c>
      <c r="C27" s="493"/>
      <c r="D27" s="494"/>
      <c r="E27" s="494">
        <v>20</v>
      </c>
      <c r="F27" s="495"/>
      <c r="G27" s="478"/>
      <c r="H27" s="479"/>
      <c r="I27" s="483" t="s">
        <v>77</v>
      </c>
      <c r="J27" s="480"/>
      <c r="L27" s="439"/>
      <c r="M27" s="433"/>
      <c r="N27" s="6">
        <v>65</v>
      </c>
      <c r="O27" s="434"/>
      <c r="P27" s="439"/>
      <c r="Q27" s="433"/>
      <c r="R27" s="467" t="s">
        <v>268</v>
      </c>
      <c r="S27" s="434"/>
      <c r="U27" s="439"/>
      <c r="V27" s="433"/>
      <c r="W27" s="433"/>
      <c r="X27" s="434"/>
      <c r="Y27" s="444"/>
      <c r="Z27" s="433"/>
      <c r="AA27" s="433"/>
      <c r="AB27" s="434"/>
      <c r="AD27" s="439"/>
      <c r="AE27" s="433"/>
      <c r="AF27" s="433"/>
      <c r="AG27" s="434"/>
      <c r="AH27" s="439"/>
      <c r="AI27" s="433"/>
      <c r="AJ27" s="433"/>
      <c r="AK27" s="434"/>
    </row>
    <row r="28" spans="1:37" ht="42.45" x14ac:dyDescent="0.35">
      <c r="A28" s="1477"/>
      <c r="B28" s="472">
        <v>2</v>
      </c>
      <c r="C28" s="493"/>
      <c r="D28" s="494"/>
      <c r="E28" s="494"/>
      <c r="F28" s="495"/>
      <c r="G28" s="478"/>
      <c r="H28" s="479"/>
      <c r="I28" s="479"/>
      <c r="J28" s="480"/>
      <c r="L28" s="439"/>
      <c r="M28" s="433"/>
      <c r="N28" s="6">
        <v>650</v>
      </c>
      <c r="O28" s="434"/>
      <c r="P28" s="444"/>
      <c r="Q28" s="433"/>
      <c r="R28" s="467" t="s">
        <v>268</v>
      </c>
      <c r="S28" s="434"/>
      <c r="U28" s="439"/>
      <c r="V28" s="433"/>
      <c r="W28" s="433"/>
      <c r="X28" s="434"/>
      <c r="Y28" s="444"/>
      <c r="Z28" s="433"/>
      <c r="AA28" s="433"/>
      <c r="AB28" s="434"/>
      <c r="AD28" s="439"/>
      <c r="AE28" s="433"/>
      <c r="AF28" s="433"/>
      <c r="AG28" s="434"/>
      <c r="AH28" s="444"/>
      <c r="AI28" s="433"/>
      <c r="AJ28" s="433"/>
      <c r="AK28" s="434"/>
    </row>
    <row r="29" spans="1:37" ht="42.45" x14ac:dyDescent="0.35">
      <c r="A29" s="1478">
        <v>44483</v>
      </c>
      <c r="B29" s="472">
        <v>1</v>
      </c>
      <c r="C29" s="493"/>
      <c r="D29" s="494"/>
      <c r="E29" s="494"/>
      <c r="F29" s="495"/>
      <c r="G29" s="478"/>
      <c r="H29" s="479"/>
      <c r="I29" s="479"/>
      <c r="J29" s="480"/>
      <c r="L29" s="439"/>
      <c r="M29" s="433"/>
      <c r="N29" s="6">
        <v>94</v>
      </c>
      <c r="O29" s="434"/>
      <c r="P29" s="444"/>
      <c r="Q29" s="433"/>
      <c r="R29" s="467" t="s">
        <v>268</v>
      </c>
      <c r="S29" s="434"/>
      <c r="U29" s="439"/>
      <c r="V29" s="433"/>
      <c r="W29" s="433"/>
      <c r="X29" s="434"/>
      <c r="Y29" s="444"/>
      <c r="Z29" s="433"/>
      <c r="AA29" s="433"/>
      <c r="AB29" s="434"/>
      <c r="AD29" s="439"/>
      <c r="AE29" s="433"/>
      <c r="AF29" s="433"/>
      <c r="AG29" s="434"/>
      <c r="AH29" s="444"/>
      <c r="AI29" s="433"/>
      <c r="AJ29" s="433"/>
      <c r="AK29" s="434"/>
    </row>
    <row r="30" spans="1:37" ht="42.45" x14ac:dyDescent="0.35">
      <c r="A30" s="1477"/>
      <c r="B30" s="472">
        <v>2</v>
      </c>
      <c r="C30" s="493"/>
      <c r="D30" s="494"/>
      <c r="E30" s="494"/>
      <c r="F30" s="495"/>
      <c r="G30" s="478"/>
      <c r="H30" s="479"/>
      <c r="I30" s="479"/>
      <c r="J30" s="480"/>
      <c r="L30" s="470">
        <v>75</v>
      </c>
      <c r="M30" s="468"/>
      <c r="N30" s="468"/>
      <c r="O30" s="517"/>
      <c r="P30" s="518" t="s">
        <v>267</v>
      </c>
      <c r="Q30" s="433"/>
      <c r="R30" s="433"/>
      <c r="S30" s="434"/>
      <c r="U30" s="439"/>
      <c r="V30" s="6"/>
      <c r="W30" s="6">
        <v>20</v>
      </c>
      <c r="X30" s="508"/>
      <c r="Y30" s="509"/>
      <c r="Z30" s="6"/>
      <c r="AA30" s="6" t="s">
        <v>27</v>
      </c>
      <c r="AB30" s="508"/>
      <c r="AC30" s="66"/>
      <c r="AD30" s="470">
        <v>10</v>
      </c>
      <c r="AE30" s="433"/>
      <c r="AF30" s="433"/>
      <c r="AG30" s="434"/>
      <c r="AH30" s="503" t="s">
        <v>263</v>
      </c>
      <c r="AJ30" s="433"/>
      <c r="AK30" s="434"/>
    </row>
    <row r="31" spans="1:37" ht="28.3" x14ac:dyDescent="0.35">
      <c r="A31" s="1478">
        <v>44484</v>
      </c>
      <c r="B31" s="472">
        <v>1</v>
      </c>
      <c r="C31" s="493"/>
      <c r="D31" s="494"/>
      <c r="E31" s="494">
        <v>9</v>
      </c>
      <c r="F31" s="495"/>
      <c r="G31" s="478"/>
      <c r="H31" s="479"/>
      <c r="I31" s="483" t="s">
        <v>77</v>
      </c>
      <c r="J31" s="480"/>
      <c r="L31" s="439"/>
      <c r="M31" s="433"/>
      <c r="N31" s="433"/>
      <c r="O31" s="434"/>
      <c r="P31" s="444"/>
      <c r="Q31" s="433"/>
      <c r="R31" s="433"/>
      <c r="S31" s="434"/>
      <c r="U31" s="439"/>
      <c r="V31" s="433"/>
      <c r="W31" s="433"/>
      <c r="X31" s="434"/>
      <c r="Y31" s="444"/>
      <c r="Z31" s="433"/>
      <c r="AA31" s="433"/>
      <c r="AB31" s="434"/>
      <c r="AD31" s="439"/>
      <c r="AE31" s="433"/>
      <c r="AF31" s="433"/>
      <c r="AG31" s="434"/>
      <c r="AH31" s="444"/>
      <c r="AI31" s="433"/>
      <c r="AJ31" s="433"/>
      <c r="AK31" s="434"/>
    </row>
    <row r="32" spans="1:37" x14ac:dyDescent="0.35">
      <c r="A32" s="1477"/>
      <c r="B32" s="472">
        <v>2</v>
      </c>
      <c r="C32" s="493"/>
      <c r="D32" s="494"/>
      <c r="E32" s="494"/>
      <c r="F32" s="495"/>
      <c r="G32" s="478"/>
      <c r="H32" s="479"/>
      <c r="I32" s="483"/>
      <c r="J32" s="480"/>
      <c r="L32" s="439"/>
      <c r="M32" s="433"/>
      <c r="N32" s="433"/>
      <c r="O32" s="434"/>
      <c r="P32" s="444"/>
      <c r="Q32" s="433"/>
      <c r="R32" s="433"/>
      <c r="S32" s="434"/>
      <c r="U32" s="439"/>
      <c r="V32" s="433"/>
      <c r="W32" s="433"/>
      <c r="X32" s="434"/>
      <c r="Y32" s="444"/>
      <c r="Z32" s="433"/>
      <c r="AA32" s="433"/>
      <c r="AB32" s="434"/>
      <c r="AD32" s="439"/>
      <c r="AE32" s="433"/>
      <c r="AF32" s="15">
        <v>10</v>
      </c>
      <c r="AG32" s="434"/>
      <c r="AH32" s="444"/>
      <c r="AI32" s="433"/>
      <c r="AJ32" s="433" t="s">
        <v>27</v>
      </c>
      <c r="AK32" s="434"/>
    </row>
    <row r="33" spans="1:37" ht="42.45" x14ac:dyDescent="0.35">
      <c r="A33" s="1478">
        <v>44485</v>
      </c>
      <c r="B33" s="472">
        <v>1</v>
      </c>
      <c r="C33" s="493"/>
      <c r="D33" s="494"/>
      <c r="E33" s="494"/>
      <c r="F33" s="495"/>
      <c r="G33" s="478"/>
      <c r="H33" s="479"/>
      <c r="I33" s="483"/>
      <c r="J33" s="480"/>
      <c r="L33" s="439"/>
      <c r="M33" s="433"/>
      <c r="N33" s="433"/>
      <c r="O33" s="434"/>
      <c r="P33" s="444"/>
      <c r="Q33" s="433"/>
      <c r="R33" s="433"/>
      <c r="S33" s="434"/>
      <c r="U33" s="439"/>
      <c r="V33" s="433"/>
      <c r="W33" s="433"/>
      <c r="X33" s="434"/>
      <c r="Y33" s="444"/>
      <c r="Z33" s="433"/>
      <c r="AA33" s="433"/>
      <c r="AB33" s="434"/>
      <c r="AD33" s="439"/>
      <c r="AE33" s="6">
        <v>60</v>
      </c>
      <c r="AF33" s="433"/>
      <c r="AG33" s="434"/>
      <c r="AH33" s="444"/>
      <c r="AI33" s="499" t="s">
        <v>266</v>
      </c>
      <c r="AJ33" s="433"/>
      <c r="AK33" s="434"/>
    </row>
    <row r="34" spans="1:37" x14ac:dyDescent="0.35">
      <c r="A34" s="1477"/>
      <c r="B34" s="472">
        <v>2</v>
      </c>
      <c r="C34" s="493"/>
      <c r="D34" s="494"/>
      <c r="E34" s="494"/>
      <c r="F34" s="495"/>
      <c r="G34" s="478"/>
      <c r="H34" s="479"/>
      <c r="I34" s="479"/>
      <c r="J34" s="480"/>
      <c r="L34" s="439"/>
      <c r="M34" s="433"/>
      <c r="N34" s="433"/>
      <c r="O34" s="434"/>
      <c r="P34" s="444"/>
      <c r="Q34" s="433"/>
      <c r="R34" s="433"/>
      <c r="S34" s="434"/>
      <c r="U34" s="439"/>
      <c r="V34" s="433"/>
      <c r="W34" s="433"/>
      <c r="X34" s="434"/>
      <c r="Y34" s="444"/>
      <c r="Z34" s="433"/>
      <c r="AA34" s="433"/>
      <c r="AB34" s="434"/>
      <c r="AD34" s="439"/>
      <c r="AE34" s="433"/>
      <c r="AF34" s="433">
        <v>145</v>
      </c>
      <c r="AG34" s="434"/>
      <c r="AH34" s="444"/>
      <c r="AI34" s="433"/>
      <c r="AJ34" s="433"/>
      <c r="AK34" s="434"/>
    </row>
    <row r="35" spans="1:37" ht="56.6" x14ac:dyDescent="0.35">
      <c r="A35" s="1478">
        <v>44486</v>
      </c>
      <c r="B35" s="472">
        <v>1</v>
      </c>
      <c r="C35" s="493"/>
      <c r="D35" s="494"/>
      <c r="E35" s="494">
        <v>152</v>
      </c>
      <c r="F35" s="495"/>
      <c r="G35" s="478"/>
      <c r="H35" s="479"/>
      <c r="I35" s="483" t="s">
        <v>272</v>
      </c>
      <c r="J35" s="480"/>
      <c r="L35" s="439"/>
      <c r="M35" s="433"/>
      <c r="N35" s="433">
        <v>136</v>
      </c>
      <c r="O35" s="434"/>
      <c r="P35" s="444"/>
      <c r="Q35" s="433"/>
      <c r="R35" s="483" t="s">
        <v>272</v>
      </c>
      <c r="S35" s="434"/>
      <c r="U35" s="439"/>
      <c r="V35" s="433"/>
      <c r="W35" s="433">
        <v>148</v>
      </c>
      <c r="X35" s="434"/>
      <c r="Y35" s="444"/>
      <c r="Z35" s="433"/>
      <c r="AA35" s="483" t="s">
        <v>272</v>
      </c>
      <c r="AB35" s="434"/>
      <c r="AD35" s="439"/>
      <c r="AE35" s="433"/>
      <c r="AF35" s="433"/>
      <c r="AG35" s="434"/>
      <c r="AH35" s="444"/>
      <c r="AI35" s="483"/>
      <c r="AJ35" s="483" t="s">
        <v>272</v>
      </c>
      <c r="AK35" s="434"/>
    </row>
    <row r="36" spans="1:37" ht="42.45" x14ac:dyDescent="0.35">
      <c r="A36" s="1477"/>
      <c r="B36" s="472">
        <v>2</v>
      </c>
      <c r="C36" s="493">
        <v>130</v>
      </c>
      <c r="D36" s="494"/>
      <c r="E36" s="494">
        <v>60</v>
      </c>
      <c r="F36" s="495"/>
      <c r="G36" s="481" t="s">
        <v>273</v>
      </c>
      <c r="H36" s="479"/>
      <c r="I36" s="479" t="s">
        <v>191</v>
      </c>
      <c r="J36" s="480"/>
      <c r="L36" s="519">
        <v>263</v>
      </c>
      <c r="M36" s="433"/>
      <c r="N36" s="433"/>
      <c r="O36" s="434"/>
      <c r="P36" s="519" t="s">
        <v>274</v>
      </c>
      <c r="Q36" s="433"/>
      <c r="R36" s="433"/>
      <c r="S36" s="434"/>
      <c r="U36" s="470"/>
      <c r="V36" s="6">
        <v>55</v>
      </c>
      <c r="W36" s="6">
        <v>60</v>
      </c>
      <c r="X36" s="434"/>
      <c r="Y36" s="509"/>
      <c r="Z36" s="502" t="s">
        <v>276</v>
      </c>
      <c r="AA36" s="469" t="s">
        <v>275</v>
      </c>
      <c r="AB36" s="434"/>
      <c r="AD36" s="439"/>
      <c r="AE36" s="433"/>
      <c r="AF36" s="433">
        <v>60</v>
      </c>
      <c r="AG36" s="434"/>
      <c r="AH36" s="444"/>
      <c r="AI36" s="433"/>
      <c r="AJ36" s="469" t="s">
        <v>275</v>
      </c>
      <c r="AK36" s="434"/>
    </row>
    <row r="37" spans="1:37" x14ac:dyDescent="0.35">
      <c r="A37" s="1478">
        <v>44487</v>
      </c>
      <c r="B37" s="472">
        <v>1</v>
      </c>
      <c r="C37" s="493"/>
      <c r="D37" s="494"/>
      <c r="E37" s="494"/>
      <c r="F37" s="495"/>
      <c r="G37" s="478"/>
      <c r="H37" s="479"/>
      <c r="I37" s="479"/>
      <c r="J37" s="480"/>
      <c r="L37" s="439"/>
      <c r="M37" s="433"/>
      <c r="N37" s="433"/>
      <c r="O37" s="434"/>
      <c r="P37" s="444"/>
      <c r="Q37" s="433"/>
      <c r="R37" s="433"/>
      <c r="S37" s="434"/>
      <c r="U37" s="439"/>
      <c r="V37" s="6"/>
      <c r="W37" s="6"/>
      <c r="X37" s="434"/>
      <c r="Y37" s="444"/>
      <c r="Z37" s="502"/>
      <c r="AA37" s="502"/>
      <c r="AB37" s="434"/>
      <c r="AD37" s="439"/>
      <c r="AE37" s="433"/>
      <c r="AF37" s="433"/>
      <c r="AG37" s="434"/>
      <c r="AH37" s="444"/>
      <c r="AI37" s="433"/>
      <c r="AJ37" s="433"/>
      <c r="AK37" s="434"/>
    </row>
    <row r="38" spans="1:37" x14ac:dyDescent="0.35">
      <c r="A38" s="1477"/>
      <c r="B38" s="472">
        <v>2</v>
      </c>
      <c r="C38" s="493"/>
      <c r="D38" s="494"/>
      <c r="E38" s="494"/>
      <c r="F38" s="495"/>
      <c r="G38" s="478"/>
      <c r="H38" s="479"/>
      <c r="I38" s="479"/>
      <c r="J38" s="480"/>
      <c r="L38" s="439"/>
      <c r="M38" s="433"/>
      <c r="N38" s="433"/>
      <c r="O38" s="434"/>
      <c r="P38" s="444"/>
      <c r="Q38" s="433"/>
      <c r="R38" s="433"/>
      <c r="S38" s="434"/>
      <c r="U38" s="439"/>
      <c r="V38" s="6"/>
      <c r="W38" s="6"/>
      <c r="X38" s="434"/>
      <c r="Y38" s="444"/>
      <c r="Z38" s="433"/>
      <c r="AA38" s="433"/>
      <c r="AB38" s="434"/>
      <c r="AD38" s="439"/>
      <c r="AE38" s="433"/>
      <c r="AF38" s="433"/>
      <c r="AG38" s="434"/>
      <c r="AH38" s="444"/>
      <c r="AI38" s="433"/>
      <c r="AJ38" s="433"/>
      <c r="AK38" s="434"/>
    </row>
    <row r="39" spans="1:37" ht="28.3" x14ac:dyDescent="0.35">
      <c r="A39" s="1478">
        <v>44488</v>
      </c>
      <c r="B39" s="472">
        <v>1</v>
      </c>
      <c r="C39" s="493"/>
      <c r="D39" s="494"/>
      <c r="E39" s="494">
        <v>15</v>
      </c>
      <c r="F39" s="495"/>
      <c r="G39" s="478"/>
      <c r="H39" s="479"/>
      <c r="I39" s="483" t="s">
        <v>97</v>
      </c>
      <c r="J39" s="480"/>
      <c r="L39" s="439"/>
      <c r="M39" s="433"/>
      <c r="N39" s="433"/>
      <c r="O39" s="434"/>
      <c r="P39" s="444"/>
      <c r="Q39" s="433"/>
      <c r="R39" s="433"/>
      <c r="S39" s="434"/>
      <c r="U39" s="439"/>
      <c r="V39" s="433"/>
      <c r="W39" s="433"/>
      <c r="X39" s="434"/>
      <c r="Y39" s="444"/>
      <c r="Z39" s="433"/>
      <c r="AA39" s="6"/>
      <c r="AB39" s="434"/>
      <c r="AD39" s="439"/>
      <c r="AE39" s="433"/>
      <c r="AF39" s="433"/>
      <c r="AG39" s="434"/>
      <c r="AH39" s="444"/>
      <c r="AI39" s="433"/>
      <c r="AJ39" s="433"/>
      <c r="AK39" s="434"/>
    </row>
    <row r="40" spans="1:37" x14ac:dyDescent="0.35">
      <c r="A40" s="1477"/>
      <c r="B40" s="472">
        <v>2</v>
      </c>
      <c r="C40" s="493"/>
      <c r="D40" s="494"/>
      <c r="E40" s="494"/>
      <c r="F40" s="495"/>
      <c r="G40" s="478"/>
      <c r="H40" s="479"/>
      <c r="I40" s="483"/>
      <c r="J40" s="480"/>
      <c r="L40" s="439"/>
      <c r="M40" s="433"/>
      <c r="N40" s="433"/>
      <c r="O40" s="434"/>
      <c r="P40" s="444"/>
      <c r="Q40" s="433"/>
      <c r="R40" s="433"/>
      <c r="S40" s="434"/>
      <c r="U40" s="439"/>
      <c r="V40" s="433"/>
      <c r="W40" s="433"/>
      <c r="X40" s="434"/>
      <c r="Y40" s="444"/>
      <c r="Z40" s="433"/>
      <c r="AA40" s="433"/>
      <c r="AB40" s="434"/>
      <c r="AD40" s="439"/>
      <c r="AE40" s="433"/>
      <c r="AF40" s="433"/>
      <c r="AG40" s="434"/>
      <c r="AH40" s="444"/>
      <c r="AI40" s="433"/>
      <c r="AJ40" s="433"/>
      <c r="AK40" s="434"/>
    </row>
    <row r="41" spans="1:37" x14ac:dyDescent="0.35">
      <c r="A41" s="1478">
        <v>44489</v>
      </c>
      <c r="B41" s="472">
        <v>1</v>
      </c>
      <c r="C41" s="493"/>
      <c r="D41" s="494"/>
      <c r="E41" s="494"/>
      <c r="F41" s="495"/>
      <c r="G41" s="478"/>
      <c r="H41" s="479"/>
      <c r="I41" s="479"/>
      <c r="J41" s="480"/>
      <c r="L41" s="439"/>
      <c r="M41" s="433"/>
      <c r="N41" s="433"/>
      <c r="O41" s="434"/>
      <c r="P41" s="444"/>
      <c r="Q41" s="433"/>
      <c r="R41" s="433"/>
      <c r="S41" s="434"/>
      <c r="U41" s="439"/>
      <c r="V41" s="6"/>
      <c r="W41" s="6"/>
      <c r="X41" s="434"/>
      <c r="Y41" s="444"/>
      <c r="Z41" s="502"/>
      <c r="AA41" s="6"/>
      <c r="AB41" s="434"/>
      <c r="AD41" s="439"/>
      <c r="AE41" s="433"/>
      <c r="AF41" s="433"/>
      <c r="AG41" s="434"/>
      <c r="AH41" s="444"/>
      <c r="AI41" s="433"/>
      <c r="AJ41" s="433"/>
      <c r="AK41" s="434"/>
    </row>
    <row r="42" spans="1:37" x14ac:dyDescent="0.35">
      <c r="A42" s="1477"/>
      <c r="B42" s="472">
        <v>2</v>
      </c>
      <c r="C42" s="493"/>
      <c r="D42" s="494"/>
      <c r="E42" s="494"/>
      <c r="F42" s="495"/>
      <c r="G42" s="478"/>
      <c r="H42" s="479"/>
      <c r="I42" s="479"/>
      <c r="J42" s="434"/>
      <c r="L42" s="439"/>
      <c r="M42" s="433"/>
      <c r="N42" s="433"/>
      <c r="O42" s="434"/>
      <c r="P42" s="444"/>
      <c r="Q42" s="433"/>
      <c r="R42" s="433"/>
      <c r="S42" s="434"/>
      <c r="U42" s="439">
        <v>70</v>
      </c>
      <c r="V42" s="433"/>
      <c r="W42" s="433"/>
      <c r="X42" s="434"/>
      <c r="Y42" s="444" t="s">
        <v>142</v>
      </c>
      <c r="Z42" s="433"/>
      <c r="AA42" s="433"/>
      <c r="AB42" s="434"/>
      <c r="AD42" s="439"/>
      <c r="AE42" s="433"/>
      <c r="AF42" s="433"/>
      <c r="AG42" s="434"/>
      <c r="AH42" s="444"/>
      <c r="AI42" s="433"/>
      <c r="AJ42" s="433"/>
      <c r="AK42" s="434"/>
    </row>
    <row r="43" spans="1:37" x14ac:dyDescent="0.35">
      <c r="A43" s="1478">
        <v>44490</v>
      </c>
      <c r="B43" s="472">
        <v>1</v>
      </c>
      <c r="C43" s="493"/>
      <c r="D43" s="494"/>
      <c r="E43" s="494"/>
      <c r="F43" s="495"/>
      <c r="G43" s="478"/>
      <c r="H43" s="479"/>
      <c r="I43" s="483"/>
      <c r="J43" s="480"/>
      <c r="L43" s="439"/>
      <c r="M43" s="433"/>
      <c r="N43" s="433"/>
      <c r="O43" s="434"/>
      <c r="P43" s="444"/>
      <c r="Q43" s="433"/>
      <c r="R43" s="433"/>
      <c r="S43" s="434"/>
      <c r="U43" s="439"/>
      <c r="V43" s="433"/>
      <c r="W43" s="433"/>
      <c r="X43" s="434"/>
      <c r="Y43" s="444"/>
      <c r="Z43" s="433"/>
      <c r="AA43" s="433"/>
      <c r="AB43" s="434"/>
      <c r="AD43" s="439"/>
      <c r="AE43" s="433"/>
      <c r="AF43" s="433"/>
      <c r="AG43" s="434"/>
      <c r="AH43" s="444"/>
      <c r="AI43" s="433"/>
      <c r="AJ43" s="433"/>
      <c r="AK43" s="434"/>
    </row>
    <row r="44" spans="1:37" x14ac:dyDescent="0.35">
      <c r="A44" s="1477"/>
      <c r="B44" s="472">
        <v>2</v>
      </c>
      <c r="C44" s="493"/>
      <c r="D44" s="494"/>
      <c r="E44" s="494"/>
      <c r="F44" s="495"/>
      <c r="G44" s="481"/>
      <c r="H44" s="479"/>
      <c r="I44" s="479"/>
      <c r="J44" s="480"/>
      <c r="L44" s="439"/>
      <c r="M44" s="433"/>
      <c r="N44" s="433"/>
      <c r="O44" s="434"/>
      <c r="P44" s="444"/>
      <c r="Q44" s="433"/>
      <c r="R44" s="433"/>
      <c r="S44" s="434"/>
      <c r="U44" s="439"/>
      <c r="V44" s="433"/>
      <c r="W44" s="433"/>
      <c r="X44" s="434"/>
      <c r="Y44" s="444"/>
      <c r="Z44" s="433"/>
      <c r="AA44" s="433"/>
      <c r="AB44" s="434"/>
      <c r="AD44" s="439"/>
      <c r="AE44" s="433"/>
      <c r="AF44" s="433"/>
      <c r="AG44" s="434"/>
      <c r="AH44" s="444"/>
      <c r="AI44" s="433"/>
      <c r="AJ44" s="433"/>
      <c r="AK44" s="434"/>
    </row>
    <row r="45" spans="1:37" x14ac:dyDescent="0.35">
      <c r="A45" s="1478">
        <v>44491</v>
      </c>
      <c r="B45" s="472">
        <v>1</v>
      </c>
      <c r="C45" s="493"/>
      <c r="D45" s="494"/>
      <c r="E45" s="494"/>
      <c r="F45" s="495"/>
      <c r="G45" s="478"/>
      <c r="H45" s="479"/>
      <c r="I45" s="479"/>
      <c r="J45" s="480"/>
      <c r="L45" s="439"/>
      <c r="M45" s="433"/>
      <c r="N45" s="433"/>
      <c r="O45" s="434"/>
      <c r="P45" s="444"/>
      <c r="Q45" s="433"/>
      <c r="R45" s="433"/>
      <c r="S45" s="434"/>
      <c r="U45" s="439"/>
      <c r="V45" s="433"/>
      <c r="W45" s="433"/>
      <c r="X45" s="434"/>
      <c r="Y45" s="444"/>
      <c r="Z45" s="433"/>
      <c r="AA45" s="433"/>
      <c r="AB45" s="434"/>
      <c r="AD45" s="439"/>
      <c r="AE45" s="433"/>
      <c r="AF45" s="433"/>
      <c r="AG45" s="434"/>
      <c r="AH45" s="444"/>
      <c r="AI45" s="433"/>
      <c r="AJ45" s="433"/>
      <c r="AK45" s="434"/>
    </row>
    <row r="46" spans="1:37" x14ac:dyDescent="0.35">
      <c r="A46" s="1477"/>
      <c r="B46" s="472">
        <v>2</v>
      </c>
      <c r="C46" s="493"/>
      <c r="D46" s="494"/>
      <c r="E46" s="494"/>
      <c r="F46" s="495"/>
      <c r="G46" s="478"/>
      <c r="H46" s="479"/>
      <c r="I46" s="479"/>
      <c r="J46" s="480"/>
      <c r="L46" s="439"/>
      <c r="M46" s="433"/>
      <c r="N46" s="433"/>
      <c r="O46" s="434"/>
      <c r="P46" s="444"/>
      <c r="Q46" s="433"/>
      <c r="R46" s="433"/>
      <c r="S46" s="434"/>
      <c r="U46" s="439"/>
      <c r="V46" s="433"/>
      <c r="W46" s="433"/>
      <c r="X46" s="434"/>
      <c r="Y46" s="444"/>
      <c r="Z46" s="433"/>
      <c r="AA46" s="433"/>
      <c r="AB46" s="434"/>
      <c r="AD46" s="439"/>
      <c r="AE46" s="433"/>
      <c r="AF46" s="433"/>
      <c r="AG46" s="434"/>
      <c r="AH46" s="444"/>
      <c r="AI46" s="433"/>
      <c r="AJ46" s="433"/>
      <c r="AK46" s="434"/>
    </row>
    <row r="47" spans="1:37" x14ac:dyDescent="0.35">
      <c r="A47" s="1478">
        <v>44492</v>
      </c>
      <c r="B47" s="472">
        <v>1</v>
      </c>
      <c r="C47" s="493"/>
      <c r="D47" s="494"/>
      <c r="E47" s="494"/>
      <c r="F47" s="495"/>
      <c r="G47" s="478"/>
      <c r="H47" s="479"/>
      <c r="I47" s="479"/>
      <c r="J47" s="480"/>
      <c r="L47" s="439"/>
      <c r="M47" s="433"/>
      <c r="N47" s="433"/>
      <c r="O47" s="434"/>
      <c r="P47" s="444"/>
      <c r="Q47" s="433"/>
      <c r="R47" s="433"/>
      <c r="S47" s="434"/>
      <c r="U47" s="439"/>
      <c r="V47" s="433"/>
      <c r="W47" s="433"/>
      <c r="X47" s="434"/>
      <c r="Y47" s="444"/>
      <c r="Z47" s="433"/>
      <c r="AA47" s="433"/>
      <c r="AB47" s="434"/>
      <c r="AD47" s="439"/>
      <c r="AE47" s="433"/>
      <c r="AF47" s="433"/>
      <c r="AG47" s="434"/>
      <c r="AH47" s="444"/>
      <c r="AI47" s="433"/>
      <c r="AJ47" s="433"/>
      <c r="AK47" s="434"/>
    </row>
    <row r="48" spans="1:37" ht="28.3" x14ac:dyDescent="0.35">
      <c r="A48" s="1477"/>
      <c r="B48" s="472">
        <v>2</v>
      </c>
      <c r="C48" s="493"/>
      <c r="D48" s="494">
        <v>115</v>
      </c>
      <c r="E48" s="494"/>
      <c r="F48" s="495"/>
      <c r="G48" s="478"/>
      <c r="H48" s="483" t="s">
        <v>96</v>
      </c>
      <c r="I48" s="479"/>
      <c r="J48" s="480"/>
      <c r="L48" s="439"/>
      <c r="M48" s="433">
        <v>68</v>
      </c>
      <c r="N48" s="433"/>
      <c r="O48" s="434"/>
      <c r="P48" s="444"/>
      <c r="Q48" s="483" t="s">
        <v>96</v>
      </c>
      <c r="R48" s="433"/>
      <c r="S48" s="434"/>
      <c r="U48" s="439"/>
      <c r="V48" s="433"/>
      <c r="W48" s="433"/>
      <c r="X48" s="434"/>
      <c r="Y48" s="444"/>
      <c r="Z48" s="433"/>
      <c r="AA48" s="433"/>
      <c r="AB48" s="434"/>
      <c r="AD48" s="439"/>
      <c r="AE48" s="433"/>
      <c r="AF48" s="433"/>
      <c r="AG48" s="434"/>
      <c r="AH48" s="444"/>
      <c r="AI48" s="433"/>
      <c r="AJ48" s="433"/>
      <c r="AK48" s="434"/>
    </row>
    <row r="49" spans="1:37" x14ac:dyDescent="0.35">
      <c r="A49" s="1478">
        <v>44493</v>
      </c>
      <c r="B49" s="472">
        <v>1</v>
      </c>
      <c r="C49" s="493"/>
      <c r="D49" s="494"/>
      <c r="E49" s="494"/>
      <c r="F49" s="495"/>
      <c r="G49" s="478"/>
      <c r="H49" s="479"/>
      <c r="I49" s="479"/>
      <c r="J49" s="482"/>
      <c r="L49" s="439"/>
      <c r="M49" s="433"/>
      <c r="N49" s="433"/>
      <c r="O49" s="434"/>
      <c r="P49" s="444"/>
      <c r="Q49" s="433"/>
      <c r="R49" s="433"/>
      <c r="S49" s="466"/>
      <c r="U49" s="439"/>
      <c r="V49" s="433"/>
      <c r="W49" s="433"/>
      <c r="X49" s="434"/>
      <c r="Y49" s="444"/>
      <c r="Z49" s="433"/>
      <c r="AA49" s="433"/>
      <c r="AB49" s="466"/>
      <c r="AD49" s="439"/>
      <c r="AE49" s="433"/>
      <c r="AF49" s="433"/>
      <c r="AG49" s="434"/>
      <c r="AH49" s="444"/>
      <c r="AI49" s="433"/>
      <c r="AJ49" s="433"/>
      <c r="AK49" s="466"/>
    </row>
    <row r="50" spans="1:37" ht="28.3" x14ac:dyDescent="0.35">
      <c r="A50" s="1477"/>
      <c r="B50" s="472">
        <v>2</v>
      </c>
      <c r="C50" s="493">
        <v>50</v>
      </c>
      <c r="D50" s="494"/>
      <c r="E50" s="494"/>
      <c r="F50" s="495"/>
      <c r="G50" s="481" t="s">
        <v>277</v>
      </c>
      <c r="H50" s="479"/>
      <c r="I50" s="479"/>
      <c r="J50" s="480"/>
      <c r="L50" s="439"/>
      <c r="M50" s="433"/>
      <c r="N50" s="433"/>
      <c r="O50" s="434"/>
      <c r="P50" s="444"/>
      <c r="Q50" s="433"/>
      <c r="R50" s="433"/>
      <c r="S50" s="434"/>
      <c r="U50" s="470">
        <v>22</v>
      </c>
      <c r="V50" s="433"/>
      <c r="W50" s="433"/>
      <c r="X50" s="434"/>
      <c r="Y50" s="469" t="s">
        <v>278</v>
      </c>
      <c r="Z50" s="433"/>
      <c r="AA50" s="433"/>
      <c r="AB50" s="434"/>
      <c r="AD50" s="439"/>
      <c r="AE50" s="433"/>
      <c r="AF50" s="433"/>
      <c r="AG50" s="434"/>
      <c r="AH50" s="444"/>
      <c r="AI50" s="433"/>
      <c r="AJ50" s="433"/>
      <c r="AK50" s="434"/>
    </row>
    <row r="51" spans="1:37" ht="28.3" x14ac:dyDescent="0.35">
      <c r="A51" s="1478">
        <v>44494</v>
      </c>
      <c r="B51" s="472">
        <v>1</v>
      </c>
      <c r="C51" s="493"/>
      <c r="D51" s="494"/>
      <c r="E51" s="494"/>
      <c r="F51" s="495"/>
      <c r="G51" s="478"/>
      <c r="H51" s="479"/>
      <c r="I51" s="479"/>
      <c r="J51" s="480"/>
      <c r="L51" s="439"/>
      <c r="M51" s="433"/>
      <c r="N51" s="433"/>
      <c r="O51" s="434"/>
      <c r="P51" s="444"/>
      <c r="Q51" s="433"/>
      <c r="R51" s="433"/>
      <c r="S51" s="434"/>
      <c r="U51" s="439">
        <v>50</v>
      </c>
      <c r="V51" s="433"/>
      <c r="W51" s="433"/>
      <c r="X51" s="434"/>
      <c r="Y51" s="469" t="s">
        <v>278</v>
      </c>
      <c r="Z51" s="433"/>
      <c r="AA51" s="433"/>
      <c r="AB51" s="434"/>
      <c r="AD51" s="439"/>
      <c r="AE51" s="433"/>
      <c r="AF51" s="433"/>
      <c r="AG51" s="434"/>
      <c r="AH51" s="444"/>
      <c r="AI51" s="433"/>
      <c r="AJ51" s="433"/>
      <c r="AK51" s="434"/>
    </row>
    <row r="52" spans="1:37" ht="42.45" x14ac:dyDescent="0.35">
      <c r="A52" s="1477"/>
      <c r="B52" s="472">
        <v>2</v>
      </c>
      <c r="C52" s="493"/>
      <c r="D52" s="494"/>
      <c r="E52" s="494"/>
      <c r="F52" s="495">
        <v>93</v>
      </c>
      <c r="G52" s="478"/>
      <c r="H52" s="479"/>
      <c r="I52" s="479"/>
      <c r="J52" s="482" t="s">
        <v>279</v>
      </c>
      <c r="L52" s="439"/>
      <c r="M52" s="433"/>
      <c r="N52" s="433"/>
      <c r="O52" s="434">
        <v>96</v>
      </c>
      <c r="P52" s="444"/>
      <c r="Q52" s="433"/>
      <c r="R52" s="433"/>
      <c r="S52" s="482" t="s">
        <v>279</v>
      </c>
      <c r="U52" s="470"/>
      <c r="V52" s="6"/>
      <c r="W52" s="433"/>
      <c r="X52" s="434">
        <v>80</v>
      </c>
      <c r="Y52" s="469"/>
      <c r="Z52" s="502"/>
      <c r="AA52" s="433"/>
      <c r="AB52" s="482" t="s">
        <v>279</v>
      </c>
      <c r="AD52" s="439"/>
      <c r="AE52" s="433"/>
      <c r="AF52" s="433"/>
      <c r="AG52" s="434">
        <v>85</v>
      </c>
      <c r="AH52" s="444"/>
      <c r="AI52" s="433"/>
      <c r="AJ52" s="433"/>
      <c r="AK52" s="482" t="s">
        <v>279</v>
      </c>
    </row>
    <row r="53" spans="1:37" x14ac:dyDescent="0.35">
      <c r="A53" s="1481">
        <v>44495</v>
      </c>
      <c r="B53" s="472">
        <v>1</v>
      </c>
      <c r="C53" s="493"/>
      <c r="D53" s="494"/>
      <c r="E53" s="494"/>
      <c r="F53" s="495"/>
      <c r="G53" s="478"/>
      <c r="H53" s="479"/>
      <c r="I53" s="479"/>
      <c r="J53" s="480"/>
      <c r="L53" s="439"/>
      <c r="M53" s="433"/>
      <c r="N53" s="433"/>
      <c r="O53" s="434"/>
      <c r="P53" s="444"/>
      <c r="Q53" s="433"/>
      <c r="R53" s="433"/>
      <c r="S53" s="434"/>
      <c r="U53" s="439"/>
      <c r="V53" s="433"/>
      <c r="W53" s="433"/>
      <c r="X53" s="434"/>
      <c r="Y53" s="444"/>
      <c r="Z53" s="433"/>
      <c r="AA53" s="6"/>
      <c r="AB53" s="434"/>
      <c r="AD53" s="439"/>
      <c r="AE53" s="433"/>
      <c r="AF53" s="433"/>
      <c r="AG53" s="434"/>
      <c r="AH53" s="444"/>
      <c r="AI53" s="433"/>
      <c r="AJ53" s="6"/>
      <c r="AK53" s="434"/>
    </row>
    <row r="54" spans="1:37" ht="60" customHeight="1" x14ac:dyDescent="0.35">
      <c r="A54" s="1482"/>
      <c r="B54" s="500">
        <v>2</v>
      </c>
      <c r="C54" s="493"/>
      <c r="D54" s="494"/>
      <c r="E54" s="494"/>
      <c r="F54" s="495"/>
      <c r="G54" s="478"/>
      <c r="H54" s="479"/>
      <c r="I54" s="479"/>
      <c r="J54" s="480"/>
      <c r="L54" s="439"/>
      <c r="M54" s="433"/>
      <c r="N54" s="433"/>
      <c r="O54" s="434"/>
      <c r="P54" s="444"/>
      <c r="Q54" s="433"/>
      <c r="R54" s="433"/>
      <c r="S54" s="434"/>
      <c r="U54" s="439"/>
      <c r="V54" s="433"/>
      <c r="W54" s="433"/>
      <c r="X54" s="434"/>
      <c r="Y54" s="444"/>
      <c r="Z54" s="502"/>
      <c r="AA54" s="6"/>
      <c r="AB54" s="434"/>
      <c r="AD54" s="439"/>
      <c r="AE54" s="433"/>
      <c r="AF54" s="433"/>
      <c r="AG54" s="434"/>
      <c r="AH54" s="444"/>
      <c r="AI54" s="433"/>
      <c r="AJ54" s="433"/>
      <c r="AK54" s="434"/>
    </row>
    <row r="55" spans="1:37" x14ac:dyDescent="0.35">
      <c r="A55" s="1481">
        <v>44496</v>
      </c>
      <c r="B55" s="472">
        <v>1</v>
      </c>
      <c r="C55" s="493"/>
      <c r="D55" s="494"/>
      <c r="E55" s="494"/>
      <c r="F55" s="495"/>
      <c r="G55" s="478"/>
      <c r="H55" s="479"/>
      <c r="I55" s="483"/>
      <c r="J55" s="480"/>
      <c r="L55" s="439"/>
      <c r="M55" s="433"/>
      <c r="N55" s="433"/>
      <c r="O55" s="434"/>
      <c r="P55" s="444"/>
      <c r="Q55" s="6"/>
      <c r="R55" s="433"/>
      <c r="S55" s="434"/>
      <c r="U55" s="439"/>
      <c r="V55" s="433"/>
      <c r="W55" s="433"/>
      <c r="X55" s="434"/>
      <c r="Y55" s="444"/>
      <c r="Z55" s="433"/>
      <c r="AA55" s="433"/>
      <c r="AB55" s="434"/>
      <c r="AD55" s="439"/>
      <c r="AE55" s="433"/>
      <c r="AF55" s="433"/>
      <c r="AG55" s="434"/>
      <c r="AH55" s="444"/>
      <c r="AI55" s="433"/>
      <c r="AJ55" s="433"/>
      <c r="AK55" s="434"/>
    </row>
    <row r="56" spans="1:37" x14ac:dyDescent="0.35">
      <c r="A56" s="1482"/>
      <c r="B56" s="500">
        <v>2</v>
      </c>
      <c r="C56" s="493"/>
      <c r="D56" s="494"/>
      <c r="E56" s="494"/>
      <c r="F56" s="495"/>
      <c r="G56" s="478"/>
      <c r="H56" s="479"/>
      <c r="I56" s="479"/>
      <c r="J56" s="480"/>
      <c r="L56" s="439"/>
      <c r="M56" s="433"/>
      <c r="N56" s="433"/>
      <c r="O56" s="434"/>
      <c r="P56" s="444"/>
      <c r="Q56" s="433"/>
      <c r="R56" s="433"/>
      <c r="S56" s="434"/>
      <c r="U56" s="439"/>
      <c r="V56" s="433"/>
      <c r="W56" s="433"/>
      <c r="X56" s="434"/>
      <c r="Y56" s="503"/>
      <c r="Z56" s="502"/>
      <c r="AA56" s="467"/>
      <c r="AB56" s="434"/>
      <c r="AD56" s="439"/>
      <c r="AE56" s="433"/>
      <c r="AF56" s="433"/>
      <c r="AG56" s="434"/>
      <c r="AH56" s="444"/>
      <c r="AI56" s="433"/>
      <c r="AJ56" s="433"/>
      <c r="AK56" s="434"/>
    </row>
    <row r="57" spans="1:37" ht="52.5" customHeight="1" x14ac:dyDescent="0.35">
      <c r="A57" s="1483">
        <v>44467</v>
      </c>
      <c r="B57" s="472">
        <v>1</v>
      </c>
      <c r="C57" s="493"/>
      <c r="D57" s="494"/>
      <c r="E57" s="494"/>
      <c r="F57" s="495"/>
      <c r="G57" s="478"/>
      <c r="H57" s="479"/>
      <c r="I57" s="483"/>
      <c r="J57" s="480"/>
      <c r="L57" s="439"/>
      <c r="M57" s="433"/>
      <c r="N57" s="433"/>
      <c r="O57" s="434"/>
      <c r="P57" s="444"/>
      <c r="Q57" s="433"/>
      <c r="R57" s="471"/>
      <c r="S57" s="434"/>
      <c r="U57" s="470"/>
      <c r="V57" s="433"/>
      <c r="W57" s="433"/>
      <c r="X57" s="434"/>
      <c r="Y57" s="469"/>
      <c r="Z57" s="502"/>
      <c r="AA57" s="433"/>
      <c r="AB57" s="434"/>
      <c r="AD57" s="439"/>
      <c r="AE57" s="433"/>
      <c r="AF57" s="433"/>
      <c r="AG57" s="434"/>
      <c r="AH57" s="444"/>
      <c r="AI57" s="433"/>
      <c r="AJ57" s="433"/>
      <c r="AK57" s="434"/>
    </row>
    <row r="58" spans="1:37" x14ac:dyDescent="0.35">
      <c r="A58" s="1484"/>
      <c r="B58" s="500">
        <v>2</v>
      </c>
      <c r="C58" s="493"/>
      <c r="D58" s="494"/>
      <c r="E58" s="494"/>
      <c r="F58" s="495"/>
      <c r="G58" s="478"/>
      <c r="H58" s="479"/>
      <c r="I58" s="479"/>
      <c r="J58" s="480"/>
      <c r="L58" s="439"/>
      <c r="M58" s="433"/>
      <c r="N58" s="433"/>
      <c r="O58" s="434"/>
      <c r="P58" s="444"/>
      <c r="Q58" s="433"/>
      <c r="R58" s="433"/>
      <c r="S58" s="434"/>
      <c r="U58" s="439"/>
      <c r="V58" s="433"/>
      <c r="W58" s="433"/>
      <c r="X58" s="434"/>
      <c r="Y58" s="444"/>
      <c r="Z58" s="502"/>
      <c r="AA58" s="433"/>
      <c r="AB58" s="434"/>
      <c r="AD58" s="439"/>
      <c r="AE58" s="433"/>
      <c r="AF58" s="433"/>
      <c r="AG58" s="434"/>
      <c r="AH58" s="444"/>
      <c r="AI58" s="433"/>
      <c r="AJ58" s="433"/>
      <c r="AK58" s="434"/>
    </row>
    <row r="59" spans="1:37" ht="56.6" x14ac:dyDescent="0.35">
      <c r="A59" s="1483">
        <v>44468</v>
      </c>
      <c r="B59" s="472">
        <v>1</v>
      </c>
      <c r="C59" s="493"/>
      <c r="D59" s="494"/>
      <c r="E59" s="494"/>
      <c r="F59" s="495"/>
      <c r="G59" s="478"/>
      <c r="H59" s="479"/>
      <c r="I59" s="479"/>
      <c r="J59" s="480"/>
      <c r="L59" s="439"/>
      <c r="M59" s="433">
        <v>90</v>
      </c>
      <c r="N59" s="433"/>
      <c r="O59" s="434"/>
      <c r="P59" s="444"/>
      <c r="Q59" s="467" t="s">
        <v>280</v>
      </c>
      <c r="R59" s="433"/>
      <c r="S59" s="434"/>
      <c r="U59" s="439"/>
      <c r="V59" s="433"/>
      <c r="W59" s="433"/>
      <c r="X59" s="434"/>
      <c r="Y59" s="444"/>
      <c r="Z59" s="433"/>
      <c r="AA59" s="433"/>
      <c r="AB59" s="434"/>
      <c r="AD59" s="439"/>
      <c r="AE59" s="433"/>
      <c r="AF59" s="433"/>
      <c r="AG59" s="434"/>
      <c r="AH59" s="504"/>
      <c r="AI59" s="433"/>
      <c r="AJ59" s="433"/>
      <c r="AK59" s="434"/>
    </row>
    <row r="60" spans="1:37" x14ac:dyDescent="0.35">
      <c r="A60" s="1484"/>
      <c r="B60" s="500">
        <v>2</v>
      </c>
      <c r="C60" s="493"/>
      <c r="D60" s="494"/>
      <c r="E60" s="494"/>
      <c r="F60" s="495"/>
      <c r="G60" s="478"/>
      <c r="H60" s="479"/>
      <c r="I60" s="479"/>
      <c r="J60" s="480"/>
      <c r="L60" s="439"/>
      <c r="M60" s="433"/>
      <c r="N60" s="433"/>
      <c r="O60" s="434"/>
      <c r="P60" s="444"/>
      <c r="Q60" s="433"/>
      <c r="R60" s="433"/>
      <c r="S60" s="434"/>
      <c r="U60" s="439"/>
      <c r="V60" s="433"/>
      <c r="W60" s="433"/>
      <c r="X60" s="434"/>
      <c r="Y60" s="444"/>
      <c r="Z60" s="502"/>
      <c r="AA60" s="433"/>
      <c r="AB60" s="434"/>
      <c r="AD60" s="439"/>
      <c r="AE60" s="433"/>
      <c r="AF60" s="433"/>
      <c r="AG60" s="434"/>
      <c r="AH60" s="444"/>
      <c r="AI60" s="433"/>
      <c r="AJ60" s="433"/>
      <c r="AK60" s="434"/>
    </row>
    <row r="61" spans="1:37" x14ac:dyDescent="0.35">
      <c r="A61" s="1483">
        <v>44499</v>
      </c>
      <c r="B61" s="472">
        <v>1</v>
      </c>
      <c r="C61" s="493"/>
      <c r="D61" s="494"/>
      <c r="E61" s="494"/>
      <c r="F61" s="495"/>
      <c r="G61" s="478"/>
      <c r="H61" s="479"/>
      <c r="I61" s="479"/>
      <c r="J61" s="480"/>
      <c r="L61" s="439"/>
      <c r="M61" s="433"/>
      <c r="N61" s="433"/>
      <c r="O61" s="434"/>
      <c r="P61" s="444"/>
      <c r="Q61" s="433"/>
      <c r="R61" s="433"/>
      <c r="S61" s="434"/>
      <c r="U61" s="439"/>
      <c r="V61" s="433"/>
      <c r="W61" s="433"/>
      <c r="X61" s="434"/>
      <c r="Y61" s="444"/>
      <c r="Z61" s="433"/>
      <c r="AA61" s="433"/>
      <c r="AB61" s="434"/>
      <c r="AD61" s="439"/>
      <c r="AE61" s="433"/>
      <c r="AF61" s="433"/>
      <c r="AG61" s="434"/>
      <c r="AH61" s="444"/>
      <c r="AI61" s="433"/>
      <c r="AJ61" s="433"/>
      <c r="AK61" s="434"/>
    </row>
    <row r="62" spans="1:37" x14ac:dyDescent="0.35">
      <c r="A62" s="1484"/>
      <c r="B62" s="500">
        <v>2</v>
      </c>
      <c r="C62" s="493"/>
      <c r="D62" s="494"/>
      <c r="E62" s="494"/>
      <c r="F62" s="495"/>
      <c r="G62" s="478"/>
      <c r="H62" s="479"/>
      <c r="I62" s="479"/>
      <c r="J62" s="480"/>
      <c r="L62" s="439"/>
      <c r="M62" s="433"/>
      <c r="N62" s="433"/>
      <c r="O62" s="434"/>
      <c r="P62" s="444"/>
      <c r="Q62" s="433"/>
      <c r="R62" s="433"/>
      <c r="S62" s="434"/>
      <c r="U62" s="439"/>
      <c r="V62" s="433"/>
      <c r="W62" s="433"/>
      <c r="X62" s="434"/>
      <c r="Y62" s="444"/>
      <c r="Z62" s="433"/>
      <c r="AA62" s="433"/>
      <c r="AB62" s="434"/>
      <c r="AD62" s="439"/>
      <c r="AE62" s="433"/>
      <c r="AF62" s="433"/>
      <c r="AG62" s="434"/>
      <c r="AH62" s="444"/>
      <c r="AI62" s="433"/>
      <c r="AJ62" s="433"/>
      <c r="AK62" s="434"/>
    </row>
    <row r="63" spans="1:37" x14ac:dyDescent="0.35">
      <c r="A63" s="1481">
        <v>44500</v>
      </c>
      <c r="B63" s="472">
        <v>1</v>
      </c>
      <c r="C63" s="493"/>
      <c r="D63" s="494"/>
      <c r="E63" s="494"/>
      <c r="F63" s="495"/>
      <c r="G63" s="478"/>
      <c r="H63" s="479"/>
      <c r="I63" s="479"/>
      <c r="J63" s="480"/>
      <c r="L63" s="439"/>
      <c r="M63" s="433"/>
      <c r="N63" s="433"/>
      <c r="O63" s="434"/>
      <c r="P63" s="444"/>
      <c r="Q63" s="433"/>
      <c r="R63" s="433"/>
      <c r="S63" s="434"/>
      <c r="U63" s="439"/>
      <c r="V63" s="433"/>
      <c r="W63" s="433"/>
      <c r="X63" s="434"/>
      <c r="Y63" s="444"/>
      <c r="Z63" s="433"/>
      <c r="AA63" s="433"/>
      <c r="AB63" s="434"/>
      <c r="AD63" s="439"/>
      <c r="AE63" s="433"/>
      <c r="AF63" s="433"/>
      <c r="AG63" s="434"/>
      <c r="AH63" s="444"/>
      <c r="AI63" s="433"/>
      <c r="AJ63" s="433"/>
      <c r="AK63" s="434"/>
    </row>
    <row r="64" spans="1:37" x14ac:dyDescent="0.35">
      <c r="A64" s="1478"/>
      <c r="B64" s="472">
        <v>2</v>
      </c>
      <c r="C64" s="496"/>
      <c r="D64" s="497"/>
      <c r="E64" s="497"/>
      <c r="F64" s="498"/>
      <c r="G64" s="484"/>
      <c r="H64" s="485"/>
      <c r="I64" s="485"/>
      <c r="J64" s="486"/>
      <c r="L64" s="440"/>
      <c r="M64" s="436"/>
      <c r="N64" s="436"/>
      <c r="O64" s="437"/>
      <c r="P64" s="445"/>
      <c r="Q64" s="436"/>
      <c r="R64" s="436"/>
      <c r="S64" s="437"/>
      <c r="U64" s="440"/>
      <c r="V64" s="436"/>
      <c r="W64" s="436"/>
      <c r="X64" s="437"/>
      <c r="Y64" s="505"/>
      <c r="Z64" s="436"/>
      <c r="AA64" s="436"/>
      <c r="AB64" s="437"/>
      <c r="AD64" s="440"/>
      <c r="AE64" s="436"/>
      <c r="AF64" s="436"/>
      <c r="AG64" s="437"/>
      <c r="AH64" s="445"/>
      <c r="AI64" s="436"/>
      <c r="AJ64" s="436"/>
      <c r="AK64" s="437"/>
    </row>
    <row r="65" spans="1:33" x14ac:dyDescent="0.35">
      <c r="A65" s="423" t="s">
        <v>225</v>
      </c>
      <c r="C65" s="423">
        <f>SUM(C3:C64)</f>
        <v>1000</v>
      </c>
      <c r="D65" s="423">
        <f>SUM(D3:D64)</f>
        <v>135</v>
      </c>
      <c r="E65" s="423">
        <f>SUM(E3:E64)</f>
        <v>716</v>
      </c>
      <c r="F65" s="423">
        <f>SUM(F3:F64)</f>
        <v>93</v>
      </c>
      <c r="L65" s="423">
        <f>SUM(L3:L64)</f>
        <v>338</v>
      </c>
      <c r="M65" s="423">
        <f>SUM(M3:M64)</f>
        <v>323</v>
      </c>
      <c r="N65" s="423">
        <f>SUM(N3:N64)</f>
        <v>945</v>
      </c>
      <c r="O65" s="423">
        <f>SUM(O3:O64)</f>
        <v>96</v>
      </c>
      <c r="U65" s="423">
        <f>SUM(U3:U64)</f>
        <v>1739</v>
      </c>
      <c r="V65" s="423">
        <f>SUM(V3:V64)</f>
        <v>108</v>
      </c>
      <c r="W65" s="423">
        <f>SUM(W3:W64)</f>
        <v>1333</v>
      </c>
      <c r="X65" s="423">
        <f>SUM(X3:X64)</f>
        <v>80</v>
      </c>
      <c r="AD65" s="423">
        <f>SUM(AD3:AD64)</f>
        <v>10</v>
      </c>
      <c r="AE65" s="423">
        <f>SUM(AE3:AE64)</f>
        <v>60</v>
      </c>
      <c r="AF65" s="423">
        <f>SUM(AF3:AF64)</f>
        <v>1295</v>
      </c>
      <c r="AG65" s="423">
        <f>SUM(AG3:AG64)</f>
        <v>85</v>
      </c>
    </row>
    <row r="73" spans="1:33" ht="14.6" thickBot="1" x14ac:dyDescent="0.4"/>
    <row r="74" spans="1:33" ht="14.6" thickBot="1" x14ac:dyDescent="0.4">
      <c r="C74" s="1467" t="s">
        <v>199</v>
      </c>
      <c r="D74" s="1468"/>
      <c r="E74" s="1469" t="s">
        <v>200</v>
      </c>
      <c r="F74" s="1470"/>
      <c r="G74" s="1467" t="s">
        <v>201</v>
      </c>
      <c r="H74" s="1468"/>
      <c r="I74" s="1467" t="s">
        <v>204</v>
      </c>
      <c r="J74" s="1468"/>
    </row>
    <row r="75" spans="1:33" ht="14.6" thickBot="1" x14ac:dyDescent="0.4">
      <c r="C75" s="455" t="s">
        <v>222</v>
      </c>
      <c r="D75" s="447" t="s">
        <v>223</v>
      </c>
      <c r="E75" s="459" t="s">
        <v>222</v>
      </c>
      <c r="F75" s="451" t="s">
        <v>223</v>
      </c>
      <c r="G75" s="455" t="s">
        <v>222</v>
      </c>
      <c r="H75" s="447" t="s">
        <v>223</v>
      </c>
      <c r="I75" s="455" t="s">
        <v>222</v>
      </c>
      <c r="J75" s="447" t="s">
        <v>223</v>
      </c>
    </row>
    <row r="76" spans="1:33" x14ac:dyDescent="0.35">
      <c r="B76" s="460" t="s">
        <v>218</v>
      </c>
      <c r="C76" s="456">
        <f>C65</f>
        <v>1000</v>
      </c>
      <c r="D76" s="448">
        <f>C76/60</f>
        <v>16.666666666666668</v>
      </c>
      <c r="E76" s="456">
        <f>D65</f>
        <v>135</v>
      </c>
      <c r="F76" s="452">
        <f>E76/60</f>
        <v>2.25</v>
      </c>
      <c r="G76" s="456">
        <f>E65</f>
        <v>716</v>
      </c>
      <c r="H76" s="448">
        <f>G76/60</f>
        <v>11.933333333333334</v>
      </c>
      <c r="I76" s="456">
        <f>F65</f>
        <v>93</v>
      </c>
      <c r="J76" s="448">
        <f>I76/60</f>
        <v>1.55</v>
      </c>
    </row>
    <row r="77" spans="1:33" x14ac:dyDescent="0.35">
      <c r="B77" s="460" t="s">
        <v>219</v>
      </c>
      <c r="C77" s="457">
        <f>L65</f>
        <v>338</v>
      </c>
      <c r="D77" s="449">
        <f t="shared" ref="D77:F79" si="0">C77/60</f>
        <v>5.6333333333333337</v>
      </c>
      <c r="E77" s="457">
        <f>M65</f>
        <v>323</v>
      </c>
      <c r="F77" s="453">
        <f t="shared" si="0"/>
        <v>5.3833333333333337</v>
      </c>
      <c r="G77" s="457">
        <f>N65</f>
        <v>945</v>
      </c>
      <c r="H77" s="449">
        <f t="shared" ref="H77:J79" si="1">G77/60</f>
        <v>15.75</v>
      </c>
      <c r="I77" s="457">
        <f>O65</f>
        <v>96</v>
      </c>
      <c r="J77" s="449">
        <f t="shared" si="1"/>
        <v>1.6</v>
      </c>
    </row>
    <row r="78" spans="1:33" x14ac:dyDescent="0.35">
      <c r="B78" s="460" t="s">
        <v>220</v>
      </c>
      <c r="C78" s="457">
        <f>U65</f>
        <v>1739</v>
      </c>
      <c r="D78" s="449">
        <f t="shared" si="0"/>
        <v>28.983333333333334</v>
      </c>
      <c r="E78" s="457">
        <f>V65</f>
        <v>108</v>
      </c>
      <c r="F78" s="453">
        <f t="shared" si="0"/>
        <v>1.8</v>
      </c>
      <c r="G78" s="457">
        <f>W65</f>
        <v>1333</v>
      </c>
      <c r="H78" s="449">
        <f t="shared" si="1"/>
        <v>22.216666666666665</v>
      </c>
      <c r="I78" s="457">
        <f>X65</f>
        <v>80</v>
      </c>
      <c r="J78" s="449">
        <f t="shared" si="1"/>
        <v>1.3333333333333333</v>
      </c>
    </row>
    <row r="79" spans="1:33" ht="14.6" thickBot="1" x14ac:dyDescent="0.4">
      <c r="B79" s="460" t="s">
        <v>221</v>
      </c>
      <c r="C79" s="458">
        <f>AD65</f>
        <v>10</v>
      </c>
      <c r="D79" s="450">
        <f t="shared" si="0"/>
        <v>0.16666666666666666</v>
      </c>
      <c r="E79" s="458">
        <f>AE65</f>
        <v>60</v>
      </c>
      <c r="F79" s="454">
        <f t="shared" si="0"/>
        <v>1</v>
      </c>
      <c r="G79" s="458">
        <f>AF65</f>
        <v>1295</v>
      </c>
      <c r="H79" s="450">
        <f t="shared" si="1"/>
        <v>21.583333333333332</v>
      </c>
      <c r="I79" s="458">
        <f>AG65</f>
        <v>85</v>
      </c>
      <c r="J79" s="450">
        <f t="shared" si="1"/>
        <v>1.4166666666666667</v>
      </c>
    </row>
    <row r="80" spans="1:33" ht="14.6" thickBot="1" x14ac:dyDescent="0.4"/>
    <row r="81" spans="2:10" ht="14.6" thickBot="1" x14ac:dyDescent="0.4">
      <c r="B81" s="461" t="s">
        <v>217</v>
      </c>
      <c r="C81" s="462"/>
      <c r="D81" s="463">
        <f>SUM(D76:D80)</f>
        <v>51.449999999999996</v>
      </c>
      <c r="E81" s="462"/>
      <c r="F81" s="463">
        <f>SUM(F76:F80)</f>
        <v>10.433333333333334</v>
      </c>
      <c r="G81" s="462"/>
      <c r="H81" s="463">
        <f>SUM(H76:H80)</f>
        <v>71.483333333333334</v>
      </c>
      <c r="I81" s="462"/>
      <c r="J81" s="464">
        <f>SUM(J76:J80)</f>
        <v>5.9</v>
      </c>
    </row>
  </sheetData>
  <mergeCells count="43">
    <mergeCell ref="A9:A10"/>
    <mergeCell ref="C1:F1"/>
    <mergeCell ref="G1:J1"/>
    <mergeCell ref="L1:O1"/>
    <mergeCell ref="P1:S1"/>
    <mergeCell ref="AD1:AG1"/>
    <mergeCell ref="AH1:AK1"/>
    <mergeCell ref="A3:A4"/>
    <mergeCell ref="A5:A6"/>
    <mergeCell ref="A7:A8"/>
    <mergeCell ref="U1:X1"/>
    <mergeCell ref="Y1:AB1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I74:J74"/>
    <mergeCell ref="A59:A60"/>
    <mergeCell ref="A61:A62"/>
    <mergeCell ref="A63:A64"/>
    <mergeCell ref="C74:D74"/>
    <mergeCell ref="E74:F74"/>
    <mergeCell ref="G74:H74"/>
  </mergeCells>
  <pageMargins left="0.7" right="0.7" top="0.75" bottom="0.75" header="0.3" footer="0.3"/>
  <pageSetup paperSize="9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81"/>
  <sheetViews>
    <sheetView zoomScale="70" zoomScaleNormal="7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I62" sqref="I62"/>
    </sheetView>
  </sheetViews>
  <sheetFormatPr defaultColWidth="8.84375" defaultRowHeight="14.15" x14ac:dyDescent="0.35"/>
  <cols>
    <col min="1" max="1" width="14.53515625" style="423" customWidth="1"/>
    <col min="2" max="2" width="15.69140625" style="65" customWidth="1"/>
    <col min="3" max="6" width="8.84375" style="423"/>
    <col min="7" max="7" width="17.69140625" style="423" bestFit="1" customWidth="1"/>
    <col min="8" max="8" width="16.84375" style="423" customWidth="1"/>
    <col min="9" max="9" width="14.53515625" style="423" customWidth="1"/>
    <col min="10" max="10" width="17.3046875" style="423" bestFit="1" customWidth="1"/>
    <col min="11" max="15" width="8.84375" style="423"/>
    <col min="16" max="16" width="15.3046875" style="423" bestFit="1" customWidth="1"/>
    <col min="17" max="17" width="17.3046875" style="423" customWidth="1"/>
    <col min="18" max="18" width="12.3828125" style="423" customWidth="1"/>
    <col min="19" max="19" width="15.3046875" style="423" bestFit="1" customWidth="1"/>
    <col min="20" max="21" width="8.84375" style="423"/>
    <col min="22" max="22" width="15.3828125" style="423" customWidth="1"/>
    <col min="23" max="23" width="8.84375" style="423"/>
    <col min="24" max="24" width="9.3828125" style="423" bestFit="1" customWidth="1"/>
    <col min="25" max="25" width="17.15234375" style="423" customWidth="1"/>
    <col min="26" max="26" width="14.69140625" style="423" customWidth="1"/>
    <col min="27" max="27" width="12.3828125" style="423" customWidth="1"/>
    <col min="28" max="28" width="15.3046875" style="423" customWidth="1"/>
    <col min="29" max="33" width="8.84375" style="423"/>
    <col min="34" max="34" width="17.69140625" style="423" bestFit="1" customWidth="1"/>
    <col min="35" max="35" width="15" style="423" bestFit="1" customWidth="1"/>
    <col min="36" max="36" width="15.84375" style="423" customWidth="1"/>
    <col min="37" max="37" width="15.3046875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202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203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14.6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425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14.6" thickTop="1" x14ac:dyDescent="0.35">
      <c r="A3" s="1478">
        <v>44531</v>
      </c>
      <c r="B3" s="501">
        <v>1</v>
      </c>
      <c r="C3" s="490"/>
      <c r="D3" s="491"/>
      <c r="E3" s="491"/>
      <c r="F3" s="492"/>
      <c r="G3" s="475"/>
      <c r="H3" s="476"/>
      <c r="I3" s="487"/>
      <c r="J3" s="477"/>
      <c r="L3" s="441"/>
      <c r="M3" s="442"/>
      <c r="N3" s="442"/>
      <c r="O3" s="520"/>
      <c r="P3" s="521"/>
      <c r="Q3" s="522"/>
      <c r="R3" s="522"/>
      <c r="S3" s="520"/>
      <c r="T3" s="66"/>
      <c r="U3" s="507"/>
      <c r="V3" s="522"/>
      <c r="W3" s="522"/>
      <c r="X3" s="520"/>
      <c r="Y3" s="523"/>
      <c r="Z3" s="522"/>
      <c r="AA3" s="522"/>
      <c r="AB3" s="520"/>
      <c r="AC3" s="66"/>
      <c r="AD3" s="507"/>
      <c r="AE3" s="522"/>
      <c r="AF3" s="522"/>
      <c r="AG3" s="520"/>
      <c r="AH3" s="521"/>
      <c r="AI3" s="522"/>
      <c r="AJ3" s="522"/>
      <c r="AK3" s="520"/>
    </row>
    <row r="4" spans="1:37" ht="42.45" x14ac:dyDescent="0.35">
      <c r="A4" s="1477"/>
      <c r="B4" s="472">
        <v>2</v>
      </c>
      <c r="C4" s="493"/>
      <c r="D4" s="494">
        <v>85</v>
      </c>
      <c r="E4" s="494"/>
      <c r="F4" s="495"/>
      <c r="G4" s="478"/>
      <c r="H4" s="502" t="s">
        <v>281</v>
      </c>
      <c r="I4" s="474"/>
      <c r="J4" s="480"/>
      <c r="L4" s="439"/>
      <c r="M4" s="433"/>
      <c r="N4" s="433"/>
      <c r="O4" s="508"/>
      <c r="P4" s="509"/>
      <c r="Q4" s="6"/>
      <c r="R4" s="6"/>
      <c r="S4" s="508"/>
      <c r="T4" s="66"/>
      <c r="U4" s="470"/>
      <c r="V4" s="502"/>
      <c r="W4" s="6"/>
      <c r="X4" s="508"/>
      <c r="Y4" s="523"/>
      <c r="Z4" s="6"/>
      <c r="AA4" s="469"/>
      <c r="AB4" s="508"/>
      <c r="AC4" s="66"/>
      <c r="AD4" s="470"/>
      <c r="AE4" s="6">
        <v>210</v>
      </c>
      <c r="AF4" s="6"/>
      <c r="AG4" s="508"/>
      <c r="AH4" s="509"/>
      <c r="AI4" s="6" t="s">
        <v>28</v>
      </c>
      <c r="AJ4" s="6"/>
      <c r="AK4" s="508"/>
    </row>
    <row r="5" spans="1:37" x14ac:dyDescent="0.35">
      <c r="A5" s="1478">
        <v>44532</v>
      </c>
      <c r="B5" s="472">
        <v>1</v>
      </c>
      <c r="C5" s="493"/>
      <c r="D5" s="494"/>
      <c r="E5" s="494"/>
      <c r="F5" s="495"/>
      <c r="G5" s="478"/>
      <c r="H5" s="479"/>
      <c r="I5" s="479"/>
      <c r="J5" s="480"/>
      <c r="L5" s="439"/>
      <c r="M5" s="433"/>
      <c r="N5" s="433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469"/>
      <c r="AB5" s="508"/>
      <c r="AC5" s="66"/>
      <c r="AD5" s="470">
        <v>212</v>
      </c>
      <c r="AE5" s="6"/>
      <c r="AF5" s="6"/>
      <c r="AG5" s="508"/>
      <c r="AH5" s="509" t="s">
        <v>282</v>
      </c>
      <c r="AI5" s="6"/>
      <c r="AJ5" s="6"/>
      <c r="AK5" s="508"/>
    </row>
    <row r="6" spans="1:37" ht="28.3" x14ac:dyDescent="0.35">
      <c r="A6" s="1477"/>
      <c r="B6" s="472">
        <v>2</v>
      </c>
      <c r="C6" s="493"/>
      <c r="D6" s="494"/>
      <c r="E6" s="494"/>
      <c r="F6" s="495"/>
      <c r="G6" s="478"/>
      <c r="H6" s="479"/>
      <c r="I6" s="479"/>
      <c r="J6" s="480"/>
      <c r="L6" s="439"/>
      <c r="M6" s="15">
        <v>300</v>
      </c>
      <c r="N6" s="433"/>
      <c r="O6" s="508"/>
      <c r="P6" s="509"/>
      <c r="Q6" s="502" t="s">
        <v>283</v>
      </c>
      <c r="R6" s="6"/>
      <c r="S6" s="508"/>
      <c r="T6" s="66"/>
      <c r="U6" s="470"/>
      <c r="V6" s="6"/>
      <c r="W6" s="6"/>
      <c r="X6" s="508"/>
      <c r="Y6" s="469"/>
      <c r="Z6" s="502"/>
      <c r="AA6" s="469"/>
      <c r="AB6" s="508"/>
      <c r="AC6" s="66"/>
      <c r="AD6" s="470">
        <v>720</v>
      </c>
      <c r="AE6" s="6"/>
      <c r="AF6" s="6"/>
      <c r="AG6" s="508"/>
      <c r="AH6" s="509" t="s">
        <v>282</v>
      </c>
      <c r="AI6" s="6"/>
      <c r="AJ6" s="502"/>
      <c r="AK6" s="508"/>
    </row>
    <row r="7" spans="1:37" x14ac:dyDescent="0.35">
      <c r="A7" s="1478">
        <v>44533</v>
      </c>
      <c r="B7" s="472">
        <v>1</v>
      </c>
      <c r="C7" s="493"/>
      <c r="D7" s="494"/>
      <c r="E7" s="494"/>
      <c r="F7" s="495"/>
      <c r="G7" s="478"/>
      <c r="H7" s="483"/>
      <c r="I7" s="479"/>
      <c r="J7" s="480"/>
      <c r="L7" s="470"/>
      <c r="M7" s="509"/>
      <c r="N7" s="433"/>
      <c r="O7" s="508"/>
      <c r="P7" s="509"/>
      <c r="Q7" s="509"/>
      <c r="R7" s="6"/>
      <c r="S7" s="508"/>
      <c r="T7" s="66"/>
      <c r="U7" s="470"/>
      <c r="V7" s="524"/>
      <c r="W7" s="6">
        <v>20</v>
      </c>
      <c r="X7" s="508"/>
      <c r="Y7" s="509"/>
      <c r="Z7" s="6"/>
      <c r="AA7" s="6" t="s">
        <v>27</v>
      </c>
      <c r="AB7" s="508"/>
      <c r="AC7" s="66"/>
      <c r="AD7" s="470">
        <v>720</v>
      </c>
      <c r="AE7" s="6"/>
      <c r="AF7" s="6"/>
      <c r="AG7" s="508"/>
      <c r="AH7" s="509" t="s">
        <v>282</v>
      </c>
      <c r="AI7" s="6"/>
      <c r="AJ7" s="6"/>
      <c r="AK7" s="508"/>
    </row>
    <row r="8" spans="1:37" ht="42.45" x14ac:dyDescent="0.35">
      <c r="A8" s="1477"/>
      <c r="B8" s="472">
        <v>2</v>
      </c>
      <c r="C8" s="493"/>
      <c r="D8" s="494"/>
      <c r="E8" s="494"/>
      <c r="F8" s="495"/>
      <c r="G8" s="481"/>
      <c r="H8" s="479"/>
      <c r="I8" s="513"/>
      <c r="J8" s="480"/>
      <c r="L8" s="470">
        <v>320</v>
      </c>
      <c r="M8" s="6"/>
      <c r="N8" s="6">
        <v>320</v>
      </c>
      <c r="O8" s="508"/>
      <c r="P8" s="469" t="s">
        <v>284</v>
      </c>
      <c r="Q8" s="6"/>
      <c r="R8" s="502" t="s">
        <v>286</v>
      </c>
      <c r="S8" s="508"/>
      <c r="T8" s="66"/>
      <c r="U8" s="470"/>
      <c r="V8" s="525"/>
      <c r="W8" s="509">
        <v>39</v>
      </c>
      <c r="X8" s="508"/>
      <c r="Y8" s="469"/>
      <c r="Z8" s="6"/>
      <c r="AA8" s="469" t="s">
        <v>285</v>
      </c>
      <c r="AB8" s="508"/>
      <c r="AC8" s="66"/>
      <c r="AD8" s="470">
        <v>57</v>
      </c>
      <c r="AE8" s="6"/>
      <c r="AF8" s="6"/>
      <c r="AG8" s="508"/>
      <c r="AH8" s="509" t="s">
        <v>282</v>
      </c>
      <c r="AI8" s="6"/>
      <c r="AJ8" s="6"/>
      <c r="AK8" s="508"/>
    </row>
    <row r="9" spans="1:37" ht="42.45" x14ac:dyDescent="0.35">
      <c r="A9" s="1478">
        <v>44534</v>
      </c>
      <c r="B9" s="472">
        <v>1</v>
      </c>
      <c r="C9" s="493"/>
      <c r="D9" s="494"/>
      <c r="E9" s="494"/>
      <c r="F9" s="495"/>
      <c r="G9" s="478"/>
      <c r="H9" s="479"/>
      <c r="I9" s="514"/>
      <c r="J9" s="480"/>
      <c r="L9" s="470">
        <v>360</v>
      </c>
      <c r="M9" s="6"/>
      <c r="N9" s="6">
        <v>360</v>
      </c>
      <c r="O9" s="508"/>
      <c r="P9" s="469" t="s">
        <v>284</v>
      </c>
      <c r="Q9" s="6"/>
      <c r="R9" s="502" t="s">
        <v>286</v>
      </c>
      <c r="S9" s="508"/>
      <c r="T9" s="66"/>
      <c r="U9" s="470"/>
      <c r="V9" s="6"/>
      <c r="W9" s="6">
        <v>25</v>
      </c>
      <c r="X9" s="508"/>
      <c r="Y9" s="509"/>
      <c r="Z9" s="6"/>
      <c r="AA9" s="6" t="s">
        <v>27</v>
      </c>
      <c r="AB9" s="508"/>
      <c r="AC9" s="66"/>
      <c r="AD9" s="470"/>
      <c r="AE9" s="6"/>
      <c r="AF9" s="6"/>
      <c r="AG9" s="508"/>
      <c r="AH9" s="509"/>
      <c r="AI9" s="6"/>
      <c r="AJ9" s="6"/>
      <c r="AK9" s="508"/>
    </row>
    <row r="10" spans="1:37" ht="42.45" x14ac:dyDescent="0.35">
      <c r="A10" s="1477"/>
      <c r="B10" s="472">
        <v>2</v>
      </c>
      <c r="C10" s="493"/>
      <c r="D10" s="494"/>
      <c r="E10" s="494">
        <v>25</v>
      </c>
      <c r="F10" s="495"/>
      <c r="G10" s="478"/>
      <c r="H10" s="479"/>
      <c r="I10" s="514" t="s">
        <v>27</v>
      </c>
      <c r="J10" s="480"/>
      <c r="L10" s="470">
        <v>360</v>
      </c>
      <c r="M10" s="6"/>
      <c r="N10" s="6">
        <v>360</v>
      </c>
      <c r="O10" s="508"/>
      <c r="P10" s="469" t="s">
        <v>284</v>
      </c>
      <c r="Q10" s="6"/>
      <c r="R10" s="502" t="s">
        <v>286</v>
      </c>
      <c r="S10" s="508"/>
      <c r="T10" s="66"/>
      <c r="U10" s="470"/>
      <c r="V10" s="6"/>
      <c r="W10" s="6">
        <v>23</v>
      </c>
      <c r="X10" s="508"/>
      <c r="Y10" s="469"/>
      <c r="Z10" s="6"/>
      <c r="AA10" s="6" t="s">
        <v>27</v>
      </c>
      <c r="AB10" s="508"/>
      <c r="AC10" s="66"/>
      <c r="AD10" s="470"/>
      <c r="AE10" s="6"/>
      <c r="AF10" s="6"/>
      <c r="AG10" s="508"/>
      <c r="AH10" s="509"/>
      <c r="AI10" s="6"/>
      <c r="AJ10" s="6"/>
      <c r="AK10" s="508"/>
    </row>
    <row r="11" spans="1:37" ht="42.45" x14ac:dyDescent="0.35">
      <c r="A11" s="1478">
        <v>44535</v>
      </c>
      <c r="B11" s="472">
        <v>1</v>
      </c>
      <c r="C11" s="493"/>
      <c r="D11" s="494"/>
      <c r="E11" s="494"/>
      <c r="F11" s="495"/>
      <c r="G11" s="478"/>
      <c r="H11" s="479"/>
      <c r="I11" s="479"/>
      <c r="J11" s="480"/>
      <c r="L11" s="470">
        <v>360</v>
      </c>
      <c r="M11" s="433"/>
      <c r="N11" s="6">
        <v>360</v>
      </c>
      <c r="O11" s="508"/>
      <c r="P11" s="469" t="s">
        <v>284</v>
      </c>
      <c r="Q11" s="6"/>
      <c r="R11" s="502" t="s">
        <v>286</v>
      </c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</row>
    <row r="12" spans="1:37" ht="42.45" x14ac:dyDescent="0.35">
      <c r="A12" s="1477"/>
      <c r="B12" s="472">
        <v>2</v>
      </c>
      <c r="C12" s="493"/>
      <c r="D12" s="494"/>
      <c r="E12" s="494"/>
      <c r="F12" s="495"/>
      <c r="G12" s="478"/>
      <c r="H12" s="479"/>
      <c r="I12" s="515"/>
      <c r="J12" s="480"/>
      <c r="L12" s="470">
        <v>360</v>
      </c>
      <c r="M12" s="433"/>
      <c r="N12" s="6">
        <v>360</v>
      </c>
      <c r="O12" s="508"/>
      <c r="P12" s="469" t="s">
        <v>284</v>
      </c>
      <c r="Q12" s="6"/>
      <c r="R12" s="502" t="s">
        <v>286</v>
      </c>
      <c r="S12" s="508"/>
      <c r="T12" s="66"/>
      <c r="U12" s="470"/>
      <c r="V12" s="6"/>
      <c r="W12" s="6">
        <v>10</v>
      </c>
      <c r="X12" s="508"/>
      <c r="Y12" s="509"/>
      <c r="Z12" s="6"/>
      <c r="AA12" s="6" t="s">
        <v>27</v>
      </c>
      <c r="AB12" s="508"/>
      <c r="AC12" s="66"/>
      <c r="AD12" s="470"/>
      <c r="AE12" s="6"/>
      <c r="AF12" s="6"/>
      <c r="AG12" s="508"/>
      <c r="AH12" s="509"/>
      <c r="AI12" s="6"/>
      <c r="AJ12" s="6"/>
      <c r="AK12" s="508"/>
    </row>
    <row r="13" spans="1:37" ht="42.45" x14ac:dyDescent="0.35">
      <c r="A13" s="1478">
        <v>44536</v>
      </c>
      <c r="B13" s="472">
        <v>1</v>
      </c>
      <c r="C13" s="493"/>
      <c r="D13" s="494"/>
      <c r="E13" s="494"/>
      <c r="F13" s="495"/>
      <c r="G13" s="478"/>
      <c r="H13" s="479"/>
      <c r="I13" s="515"/>
      <c r="J13" s="480"/>
      <c r="L13" s="516">
        <v>169</v>
      </c>
      <c r="M13" s="15"/>
      <c r="N13" s="15">
        <v>169</v>
      </c>
      <c r="O13" s="508"/>
      <c r="P13" s="469" t="s">
        <v>284</v>
      </c>
      <c r="Q13" s="6"/>
      <c r="R13" s="502" t="s">
        <v>286</v>
      </c>
      <c r="S13" s="508"/>
      <c r="T13" s="66"/>
      <c r="U13" s="470"/>
      <c r="V13" s="6"/>
      <c r="W13" s="6"/>
      <c r="X13" s="508"/>
      <c r="Y13" s="509"/>
      <c r="Z13" s="6"/>
      <c r="AA13" s="502"/>
      <c r="AB13" s="526"/>
      <c r="AC13" s="66"/>
      <c r="AD13" s="470"/>
      <c r="AE13" s="6"/>
      <c r="AF13" s="6"/>
      <c r="AG13" s="508"/>
      <c r="AH13" s="509"/>
      <c r="AI13" s="6"/>
      <c r="AJ13" s="6"/>
      <c r="AK13" s="508"/>
    </row>
    <row r="14" spans="1:37" x14ac:dyDescent="0.35">
      <c r="A14" s="1477"/>
      <c r="B14" s="472">
        <v>2</v>
      </c>
      <c r="C14" s="493"/>
      <c r="D14" s="494"/>
      <c r="E14" s="494"/>
      <c r="F14" s="495"/>
      <c r="G14" s="478"/>
      <c r="H14" s="479"/>
      <c r="I14" s="479"/>
      <c r="J14" s="480"/>
      <c r="L14" s="439"/>
      <c r="M14" s="433"/>
      <c r="N14" s="433"/>
      <c r="O14" s="508"/>
      <c r="P14" s="509"/>
      <c r="Q14" s="6"/>
      <c r="R14" s="6"/>
      <c r="S14" s="508"/>
      <c r="T14" s="66"/>
      <c r="U14" s="470"/>
      <c r="V14" s="6"/>
      <c r="W14" s="6"/>
      <c r="X14" s="508"/>
      <c r="Y14" s="509"/>
      <c r="Z14" s="6"/>
      <c r="AA14" s="6"/>
      <c r="AB14" s="508"/>
      <c r="AC14" s="66"/>
      <c r="AD14" s="470"/>
      <c r="AE14" s="6"/>
      <c r="AF14" s="6"/>
      <c r="AG14" s="508"/>
      <c r="AH14" s="469"/>
      <c r="AI14" s="6"/>
      <c r="AJ14" s="6"/>
      <c r="AK14" s="508"/>
    </row>
    <row r="15" spans="1:37" ht="84.9" x14ac:dyDescent="0.35">
      <c r="A15" s="1478">
        <v>44537</v>
      </c>
      <c r="B15" s="472">
        <v>1</v>
      </c>
      <c r="C15" s="493"/>
      <c r="D15" s="494">
        <v>60</v>
      </c>
      <c r="E15" s="6"/>
      <c r="F15" s="495"/>
      <c r="G15" s="478"/>
      <c r="H15" s="483" t="s">
        <v>287</v>
      </c>
      <c r="I15" s="514"/>
      <c r="J15" s="480"/>
      <c r="L15" s="439"/>
      <c r="M15" s="6">
        <v>62</v>
      </c>
      <c r="N15" s="433"/>
      <c r="O15" s="508"/>
      <c r="P15" s="470"/>
      <c r="Q15" s="483" t="s">
        <v>287</v>
      </c>
      <c r="R15" s="6"/>
      <c r="S15" s="508"/>
      <c r="T15" s="66"/>
      <c r="U15" s="470"/>
      <c r="V15" s="6">
        <v>83</v>
      </c>
      <c r="W15" s="6"/>
      <c r="X15" s="508"/>
      <c r="Y15" s="470"/>
      <c r="Z15" s="483" t="s">
        <v>287</v>
      </c>
      <c r="AA15" s="6"/>
      <c r="AB15" s="508"/>
      <c r="AC15" s="66"/>
      <c r="AD15" s="470"/>
      <c r="AE15" s="6">
        <v>72</v>
      </c>
      <c r="AF15" s="6"/>
      <c r="AG15" s="508"/>
      <c r="AH15" s="470"/>
      <c r="AI15" s="483" t="s">
        <v>287</v>
      </c>
      <c r="AJ15" s="502"/>
      <c r="AK15" s="508"/>
    </row>
    <row r="16" spans="1:37" x14ac:dyDescent="0.35">
      <c r="A16" s="1477"/>
      <c r="B16" s="472">
        <v>2</v>
      </c>
      <c r="C16" s="493"/>
      <c r="D16" s="494"/>
      <c r="E16" s="494"/>
      <c r="F16" s="495"/>
      <c r="G16" s="478"/>
      <c r="H16" s="479"/>
      <c r="I16" s="479"/>
      <c r="J16" s="480"/>
      <c r="L16" s="439"/>
      <c r="M16" s="433"/>
      <c r="N16" s="433"/>
      <c r="O16" s="508"/>
      <c r="P16" s="470"/>
      <c r="Q16" s="6"/>
      <c r="R16" s="6"/>
      <c r="S16" s="508"/>
      <c r="T16" s="66"/>
      <c r="U16" s="470"/>
      <c r="V16" s="6"/>
      <c r="W16" s="6"/>
      <c r="X16" s="508"/>
      <c r="Y16" s="470"/>
      <c r="Z16" s="6"/>
      <c r="AA16" s="6"/>
      <c r="AB16" s="508"/>
      <c r="AC16" s="66"/>
      <c r="AD16" s="470"/>
      <c r="AE16" s="6"/>
      <c r="AF16" s="6"/>
      <c r="AG16" s="508"/>
      <c r="AH16" s="470"/>
      <c r="AI16" s="6"/>
      <c r="AJ16" s="6"/>
      <c r="AK16" s="508"/>
    </row>
    <row r="17" spans="1:37" x14ac:dyDescent="0.35">
      <c r="A17" s="1478">
        <v>44538</v>
      </c>
      <c r="B17" s="472">
        <v>1</v>
      </c>
      <c r="C17" s="493"/>
      <c r="D17" s="494"/>
      <c r="E17" s="494"/>
      <c r="F17" s="495"/>
      <c r="G17" s="478"/>
      <c r="H17" s="479"/>
      <c r="I17" s="479"/>
      <c r="J17" s="480"/>
      <c r="L17" s="439"/>
      <c r="M17" s="433"/>
      <c r="N17" s="433"/>
      <c r="O17" s="508"/>
      <c r="P17" s="470"/>
      <c r="Q17" s="6"/>
      <c r="R17" s="6"/>
      <c r="S17" s="508"/>
      <c r="T17" s="66"/>
      <c r="U17" s="470"/>
      <c r="V17" s="6"/>
      <c r="W17" s="6"/>
      <c r="X17" s="508"/>
      <c r="Y17" s="470"/>
      <c r="Z17" s="6"/>
      <c r="AA17" s="6"/>
      <c r="AB17" s="508"/>
      <c r="AC17" s="66"/>
      <c r="AD17" s="470"/>
      <c r="AE17" s="6"/>
      <c r="AF17" s="6"/>
      <c r="AG17" s="508"/>
      <c r="AH17" s="470"/>
      <c r="AI17" s="6"/>
      <c r="AJ17" s="502"/>
      <c r="AK17" s="508"/>
    </row>
    <row r="18" spans="1:37" x14ac:dyDescent="0.35">
      <c r="A18" s="1477"/>
      <c r="B18" s="472">
        <v>2</v>
      </c>
      <c r="C18" s="493"/>
      <c r="D18" s="494"/>
      <c r="E18" s="494">
        <v>21</v>
      </c>
      <c r="F18" s="495"/>
      <c r="G18" s="478"/>
      <c r="H18" s="483" t="s">
        <v>82</v>
      </c>
      <c r="I18" s="479"/>
      <c r="J18" s="480"/>
      <c r="L18" s="439"/>
      <c r="M18" s="433"/>
      <c r="N18" s="433"/>
      <c r="O18" s="508"/>
      <c r="P18" s="470"/>
      <c r="Q18" s="6"/>
      <c r="R18" s="6"/>
      <c r="S18" s="508"/>
      <c r="T18" s="66"/>
      <c r="U18" s="470"/>
      <c r="V18" s="6"/>
      <c r="W18" s="6"/>
      <c r="X18" s="508"/>
      <c r="Y18" s="470"/>
      <c r="Z18" s="6"/>
      <c r="AA18" s="6"/>
      <c r="AB18" s="508"/>
      <c r="AC18" s="66"/>
      <c r="AD18" s="470"/>
      <c r="AE18" s="6"/>
      <c r="AF18" s="6"/>
      <c r="AG18" s="508"/>
      <c r="AH18" s="470"/>
      <c r="AI18" s="6"/>
      <c r="AJ18" s="502"/>
      <c r="AK18" s="508"/>
    </row>
    <row r="19" spans="1:37" x14ac:dyDescent="0.35">
      <c r="A19" s="1478">
        <v>44539</v>
      </c>
      <c r="B19" s="472">
        <v>1</v>
      </c>
      <c r="D19" s="494"/>
      <c r="E19" s="493"/>
      <c r="F19" s="495"/>
      <c r="G19" s="478"/>
      <c r="H19" s="479"/>
      <c r="I19" s="479"/>
      <c r="J19" s="480"/>
      <c r="L19" s="439"/>
      <c r="M19" s="433"/>
      <c r="N19" s="433"/>
      <c r="O19" s="508"/>
      <c r="P19" s="470"/>
      <c r="Q19" s="6"/>
      <c r="R19" s="6"/>
      <c r="S19" s="508"/>
      <c r="T19" s="66"/>
      <c r="U19" s="470"/>
      <c r="V19" s="6"/>
      <c r="W19" s="6"/>
      <c r="X19" s="508"/>
      <c r="Y19" s="470"/>
      <c r="Z19" s="6"/>
      <c r="AA19" s="6"/>
      <c r="AB19" s="508"/>
      <c r="AC19" s="66"/>
      <c r="AD19" s="470"/>
      <c r="AE19" s="6"/>
      <c r="AF19" s="6"/>
      <c r="AG19" s="508"/>
      <c r="AH19" s="470"/>
      <c r="AI19" s="6"/>
      <c r="AJ19" s="502"/>
      <c r="AK19" s="508"/>
    </row>
    <row r="20" spans="1:37" x14ac:dyDescent="0.35">
      <c r="A20" s="1477"/>
      <c r="B20" s="472">
        <v>2</v>
      </c>
      <c r="C20" s="493"/>
      <c r="D20" s="494"/>
      <c r="E20" s="494"/>
      <c r="F20" s="495"/>
      <c r="G20" s="478"/>
      <c r="H20" s="479"/>
      <c r="I20" s="479"/>
      <c r="J20" s="480"/>
      <c r="L20" s="439"/>
      <c r="M20" s="433"/>
      <c r="N20" s="433"/>
      <c r="O20" s="508"/>
      <c r="P20" s="470"/>
      <c r="Q20" s="6"/>
      <c r="R20" s="6"/>
      <c r="S20" s="508"/>
      <c r="T20" s="66"/>
      <c r="U20" s="470"/>
      <c r="V20" s="6"/>
      <c r="W20" s="6"/>
      <c r="X20" s="508"/>
      <c r="Y20" s="470"/>
      <c r="Z20" s="6"/>
      <c r="AA20" s="6"/>
      <c r="AB20" s="508"/>
      <c r="AC20" s="66"/>
      <c r="AD20" s="470"/>
      <c r="AE20" s="6"/>
      <c r="AF20" s="6"/>
      <c r="AG20" s="508"/>
      <c r="AH20" s="470"/>
      <c r="AI20" s="6"/>
      <c r="AJ20" s="6"/>
      <c r="AK20" s="508"/>
    </row>
    <row r="21" spans="1:37" x14ac:dyDescent="0.35">
      <c r="A21" s="1478">
        <v>44540</v>
      </c>
      <c r="B21" s="472">
        <v>1</v>
      </c>
      <c r="C21" s="493"/>
      <c r="D21" s="494"/>
      <c r="E21" s="494"/>
      <c r="F21" s="495"/>
      <c r="G21" s="478"/>
      <c r="H21" s="479"/>
      <c r="I21" s="479"/>
      <c r="J21" s="480"/>
      <c r="L21" s="439"/>
      <c r="M21" s="433"/>
      <c r="N21" s="433"/>
      <c r="O21" s="508"/>
      <c r="P21" s="470"/>
      <c r="Q21" s="6"/>
      <c r="R21" s="6"/>
      <c r="S21" s="508"/>
      <c r="T21" s="66"/>
      <c r="U21" s="470"/>
      <c r="V21" s="6"/>
      <c r="W21" s="6">
        <v>20</v>
      </c>
      <c r="X21" s="508"/>
      <c r="Y21" s="470"/>
      <c r="Z21" s="6"/>
      <c r="AA21" s="6" t="s">
        <v>27</v>
      </c>
      <c r="AB21" s="508"/>
      <c r="AC21" s="66"/>
      <c r="AD21" s="470"/>
      <c r="AE21" s="6"/>
      <c r="AF21" s="6"/>
      <c r="AG21" s="508"/>
      <c r="AH21" s="470"/>
      <c r="AI21" s="6"/>
      <c r="AJ21" s="6"/>
      <c r="AK21" s="508"/>
    </row>
    <row r="22" spans="1:37" ht="28.3" x14ac:dyDescent="0.35">
      <c r="A22" s="1477"/>
      <c r="B22" s="472">
        <v>2</v>
      </c>
      <c r="C22" s="493"/>
      <c r="D22" s="494"/>
      <c r="E22" s="494"/>
      <c r="F22" s="495"/>
      <c r="G22" s="478"/>
      <c r="H22" s="479"/>
      <c r="I22" s="515"/>
      <c r="J22" s="480"/>
      <c r="L22" s="470">
        <v>513</v>
      </c>
      <c r="M22" s="433"/>
      <c r="N22" s="433"/>
      <c r="O22" s="508"/>
      <c r="P22" s="469" t="s">
        <v>284</v>
      </c>
      <c r="Q22" s="6"/>
      <c r="R22" s="6"/>
      <c r="S22" s="508"/>
      <c r="T22" s="66"/>
      <c r="U22" s="470"/>
      <c r="V22" s="6"/>
      <c r="W22" s="6"/>
      <c r="X22" s="508"/>
      <c r="Y22" s="470"/>
      <c r="Z22" s="6"/>
      <c r="AA22" s="502"/>
      <c r="AB22" s="508"/>
      <c r="AC22" s="66"/>
      <c r="AD22" s="470"/>
      <c r="AE22" s="6"/>
      <c r="AF22" s="6"/>
      <c r="AG22" s="508"/>
      <c r="AH22" s="470"/>
      <c r="AI22" s="6"/>
      <c r="AJ22" s="6"/>
      <c r="AK22" s="508"/>
    </row>
    <row r="23" spans="1:37" x14ac:dyDescent="0.35">
      <c r="A23" s="1478">
        <v>44541</v>
      </c>
      <c r="B23" s="534">
        <v>1</v>
      </c>
      <c r="C23" s="493"/>
      <c r="D23" s="494"/>
      <c r="E23" s="494"/>
      <c r="F23" s="495"/>
      <c r="G23" s="478"/>
      <c r="H23" s="479"/>
      <c r="I23" s="514"/>
      <c r="J23" s="480"/>
      <c r="L23" s="439"/>
      <c r="M23" s="433"/>
      <c r="N23" s="433"/>
      <c r="O23" s="508"/>
      <c r="P23" s="470"/>
      <c r="Q23" s="6"/>
      <c r="R23" s="6"/>
      <c r="S23" s="508"/>
      <c r="T23" s="66"/>
      <c r="U23" s="470"/>
      <c r="V23" s="6"/>
      <c r="W23" s="6"/>
      <c r="X23" s="508"/>
      <c r="Y23" s="470"/>
      <c r="Z23" s="6"/>
      <c r="AA23" s="6"/>
      <c r="AB23" s="508"/>
      <c r="AC23" s="66"/>
      <c r="AD23" s="470"/>
      <c r="AE23" s="6"/>
      <c r="AF23" s="6"/>
      <c r="AG23" s="508"/>
      <c r="AH23" s="465"/>
      <c r="AI23" s="6"/>
      <c r="AJ23" s="6"/>
      <c r="AK23" s="508"/>
    </row>
    <row r="24" spans="1:37" x14ac:dyDescent="0.35">
      <c r="A24" s="1477"/>
      <c r="B24" s="472">
        <v>2</v>
      </c>
      <c r="C24" s="493"/>
      <c r="D24" s="494"/>
      <c r="E24" s="494"/>
      <c r="F24" s="495"/>
      <c r="G24" s="478"/>
      <c r="H24" s="479"/>
      <c r="I24" s="515"/>
      <c r="J24" s="480"/>
      <c r="L24" s="439"/>
      <c r="M24" s="433"/>
      <c r="N24" s="433"/>
      <c r="O24" s="508"/>
      <c r="P24" s="470"/>
      <c r="Q24" s="6"/>
      <c r="R24" s="6"/>
      <c r="S24" s="508"/>
      <c r="T24" s="66"/>
      <c r="U24" s="470"/>
      <c r="V24" s="6"/>
      <c r="W24" s="6"/>
      <c r="X24" s="508"/>
      <c r="Y24" s="470"/>
      <c r="Z24" s="6"/>
      <c r="AA24" s="6"/>
      <c r="AB24" s="508"/>
      <c r="AC24" s="66"/>
      <c r="AD24" s="470"/>
      <c r="AE24" s="6"/>
      <c r="AF24" s="6"/>
      <c r="AG24" s="508"/>
      <c r="AH24" s="470"/>
      <c r="AI24" s="6"/>
      <c r="AJ24" s="6"/>
      <c r="AK24" s="508"/>
    </row>
    <row r="25" spans="1:37" x14ac:dyDescent="0.35">
      <c r="A25" s="1478">
        <v>44542</v>
      </c>
      <c r="B25" s="472">
        <v>1</v>
      </c>
      <c r="C25" s="493"/>
      <c r="D25" s="494"/>
      <c r="E25" s="494"/>
      <c r="F25" s="495"/>
      <c r="G25" s="478"/>
      <c r="H25" s="479"/>
      <c r="I25" s="479"/>
      <c r="J25" s="480"/>
      <c r="L25" s="439"/>
      <c r="M25" s="433"/>
      <c r="N25" s="433"/>
      <c r="O25" s="508"/>
      <c r="P25" s="470"/>
      <c r="Q25" s="6"/>
      <c r="R25" s="6"/>
      <c r="S25" s="508"/>
      <c r="T25" s="66"/>
      <c r="U25" s="470"/>
      <c r="V25" s="6"/>
      <c r="W25" s="6"/>
      <c r="X25" s="508"/>
      <c r="Y25" s="470"/>
      <c r="Z25" s="6"/>
      <c r="AA25" s="6"/>
      <c r="AB25" s="508"/>
      <c r="AC25" s="66"/>
      <c r="AD25" s="470"/>
      <c r="AE25" s="6"/>
      <c r="AF25" s="6"/>
      <c r="AG25" s="508"/>
      <c r="AH25" s="465"/>
      <c r="AI25" s="6"/>
      <c r="AJ25" s="6"/>
      <c r="AK25" s="508"/>
    </row>
    <row r="26" spans="1:37" x14ac:dyDescent="0.35">
      <c r="A26" s="1477"/>
      <c r="B26" s="472">
        <v>2</v>
      </c>
      <c r="C26" s="493"/>
      <c r="D26" s="494"/>
      <c r="E26" s="494"/>
      <c r="F26" s="495"/>
      <c r="G26" s="478"/>
      <c r="H26" s="479"/>
      <c r="I26" s="479"/>
      <c r="J26" s="480"/>
      <c r="L26" s="439"/>
      <c r="M26" s="433"/>
      <c r="N26" s="433"/>
      <c r="O26" s="508"/>
      <c r="P26" s="470"/>
      <c r="Q26" s="6"/>
      <c r="R26" s="6"/>
      <c r="S26" s="508"/>
      <c r="T26" s="66"/>
      <c r="U26" s="470"/>
      <c r="V26" s="6"/>
      <c r="W26" s="6"/>
      <c r="X26" s="508"/>
      <c r="Y26" s="470"/>
      <c r="Z26" s="6"/>
      <c r="AA26" s="6"/>
      <c r="AB26" s="508"/>
      <c r="AC26" s="66"/>
      <c r="AD26" s="470"/>
      <c r="AE26" s="6"/>
      <c r="AF26" s="6"/>
      <c r="AG26" s="508"/>
      <c r="AH26" s="465"/>
      <c r="AI26" s="6"/>
      <c r="AJ26" s="6"/>
      <c r="AK26" s="508"/>
    </row>
    <row r="27" spans="1:37" ht="28.3" x14ac:dyDescent="0.35">
      <c r="A27" s="1478">
        <v>44543</v>
      </c>
      <c r="B27" s="533">
        <v>1</v>
      </c>
      <c r="C27" s="493"/>
      <c r="D27" s="494"/>
      <c r="E27" s="494"/>
      <c r="F27" s="495"/>
      <c r="G27" s="478"/>
      <c r="H27" s="479"/>
      <c r="I27" s="483"/>
      <c r="J27" s="480"/>
      <c r="L27" s="439"/>
      <c r="M27" s="433"/>
      <c r="N27" s="6"/>
      <c r="O27" s="508"/>
      <c r="P27" s="470"/>
      <c r="Q27" s="6"/>
      <c r="R27" s="502"/>
      <c r="S27" s="508"/>
      <c r="T27" s="66"/>
      <c r="U27" s="470"/>
      <c r="V27" s="6"/>
      <c r="W27" s="6"/>
      <c r="X27" s="508"/>
      <c r="Y27" s="509"/>
      <c r="Z27" s="6"/>
      <c r="AA27" s="6"/>
      <c r="AB27" s="508"/>
      <c r="AC27" s="66"/>
      <c r="AD27" s="470">
        <v>15</v>
      </c>
      <c r="AE27" s="6"/>
      <c r="AF27" s="6"/>
      <c r="AG27" s="508"/>
      <c r="AH27" s="465" t="s">
        <v>288</v>
      </c>
      <c r="AI27" s="6"/>
      <c r="AJ27" s="6"/>
      <c r="AK27" s="508"/>
    </row>
    <row r="28" spans="1:37" x14ac:dyDescent="0.35">
      <c r="A28" s="1477"/>
      <c r="B28" s="472">
        <v>2</v>
      </c>
      <c r="C28" s="493"/>
      <c r="D28" s="494"/>
      <c r="E28" s="494"/>
      <c r="F28" s="495"/>
      <c r="G28" s="478"/>
      <c r="H28" s="479"/>
      <c r="I28" s="479"/>
      <c r="J28" s="480"/>
      <c r="L28" s="439"/>
      <c r="M28" s="433"/>
      <c r="N28" s="6"/>
      <c r="O28" s="508"/>
      <c r="P28" s="509"/>
      <c r="Q28" s="6"/>
      <c r="R28" s="502"/>
      <c r="S28" s="508"/>
      <c r="T28" s="66"/>
      <c r="U28" s="470">
        <v>125</v>
      </c>
      <c r="V28" s="6"/>
      <c r="W28" s="6"/>
      <c r="X28" s="508"/>
      <c r="Y28" s="509" t="s">
        <v>45</v>
      </c>
      <c r="Z28" s="6"/>
      <c r="AA28" s="6"/>
      <c r="AB28" s="508"/>
      <c r="AC28" s="66"/>
      <c r="AD28" s="470"/>
      <c r="AE28" s="6"/>
      <c r="AF28" s="6"/>
      <c r="AG28" s="508"/>
      <c r="AH28" s="509"/>
      <c r="AI28" s="6"/>
      <c r="AJ28" s="6"/>
      <c r="AK28" s="508"/>
    </row>
    <row r="29" spans="1:37" x14ac:dyDescent="0.35">
      <c r="A29" s="1478">
        <v>44544</v>
      </c>
      <c r="B29" s="472">
        <v>1</v>
      </c>
      <c r="C29" s="493"/>
      <c r="D29" s="494"/>
      <c r="E29" s="494"/>
      <c r="F29" s="495"/>
      <c r="G29" s="478"/>
      <c r="H29" s="479"/>
      <c r="I29" s="479"/>
      <c r="J29" s="480"/>
      <c r="L29" s="439"/>
      <c r="M29" s="433"/>
      <c r="N29" s="6"/>
      <c r="O29" s="508"/>
      <c r="P29" s="509"/>
      <c r="Q29" s="6"/>
      <c r="R29" s="502"/>
      <c r="S29" s="508"/>
      <c r="T29" s="66"/>
      <c r="U29" s="470"/>
      <c r="V29" s="6"/>
      <c r="W29" s="6"/>
      <c r="X29" s="508"/>
      <c r="Y29" s="509"/>
      <c r="Z29" s="6"/>
      <c r="AA29" s="6"/>
      <c r="AB29" s="508"/>
      <c r="AC29" s="66"/>
      <c r="AD29" s="470"/>
      <c r="AE29" s="6"/>
      <c r="AF29" s="6"/>
      <c r="AG29" s="508"/>
      <c r="AH29" s="509"/>
      <c r="AI29" s="6"/>
      <c r="AJ29" s="6"/>
      <c r="AK29" s="508"/>
    </row>
    <row r="30" spans="1:37" x14ac:dyDescent="0.35">
      <c r="A30" s="1477"/>
      <c r="B30" s="533">
        <v>2</v>
      </c>
      <c r="C30" s="493">
        <v>207</v>
      </c>
      <c r="D30" s="494">
        <v>73</v>
      </c>
      <c r="E30" s="494"/>
      <c r="F30" s="495"/>
      <c r="G30" s="478" t="s">
        <v>45</v>
      </c>
      <c r="H30" s="479" t="s">
        <v>289</v>
      </c>
      <c r="I30" s="479"/>
      <c r="J30" s="480"/>
      <c r="L30" s="470">
        <v>197</v>
      </c>
      <c r="M30" s="468">
        <v>25</v>
      </c>
      <c r="N30" s="468"/>
      <c r="O30" s="508"/>
      <c r="P30" s="509" t="s">
        <v>45</v>
      </c>
      <c r="Q30" s="6" t="s">
        <v>289</v>
      </c>
      <c r="R30" s="6"/>
      <c r="S30" s="508"/>
      <c r="T30" s="66"/>
      <c r="U30" s="470">
        <v>438</v>
      </c>
      <c r="V30" s="6"/>
      <c r="W30" s="6"/>
      <c r="X30" s="508"/>
      <c r="Y30" s="509" t="s">
        <v>45</v>
      </c>
      <c r="Z30" s="6"/>
      <c r="AA30" s="6"/>
      <c r="AB30" s="508"/>
      <c r="AC30" s="66"/>
      <c r="AD30" s="470">
        <v>189</v>
      </c>
      <c r="AE30" s="6"/>
      <c r="AF30" s="6"/>
      <c r="AG30" s="508"/>
      <c r="AH30" s="469" t="s">
        <v>45</v>
      </c>
      <c r="AI30" s="66"/>
      <c r="AJ30" s="6"/>
      <c r="AK30" s="508"/>
    </row>
    <row r="31" spans="1:37" x14ac:dyDescent="0.35">
      <c r="A31" s="1478">
        <v>44545</v>
      </c>
      <c r="B31" s="472">
        <v>1</v>
      </c>
      <c r="C31" s="493"/>
      <c r="D31" s="494"/>
      <c r="E31" s="494"/>
      <c r="F31" s="495"/>
      <c r="G31" s="478"/>
      <c r="H31" s="479"/>
      <c r="I31" s="483"/>
      <c r="J31" s="480"/>
      <c r="L31" s="439"/>
      <c r="M31" s="433"/>
      <c r="N31" s="433"/>
      <c r="O31" s="508"/>
      <c r="P31" s="509"/>
      <c r="Q31" s="6"/>
      <c r="R31" s="6"/>
      <c r="S31" s="508"/>
      <c r="T31" s="66"/>
      <c r="U31" s="470"/>
      <c r="V31" s="6"/>
      <c r="W31" s="6"/>
      <c r="X31" s="508"/>
      <c r="Y31" s="509"/>
      <c r="Z31" s="6"/>
      <c r="AA31" s="6"/>
      <c r="AB31" s="508"/>
      <c r="AC31" s="66"/>
      <c r="AD31" s="470"/>
      <c r="AE31" s="6"/>
      <c r="AF31" s="6"/>
      <c r="AG31" s="508"/>
      <c r="AH31" s="509"/>
      <c r="AI31" s="6"/>
      <c r="AJ31" s="6"/>
      <c r="AK31" s="508"/>
    </row>
    <row r="32" spans="1:37" x14ac:dyDescent="0.35">
      <c r="A32" s="1477"/>
      <c r="B32" s="472">
        <v>2</v>
      </c>
      <c r="C32" s="493"/>
      <c r="D32" s="494"/>
      <c r="E32" s="494"/>
      <c r="F32" s="495"/>
      <c r="G32" s="478"/>
      <c r="H32" s="479"/>
      <c r="I32" s="483"/>
      <c r="J32" s="480"/>
      <c r="L32" s="439"/>
      <c r="M32" s="433"/>
      <c r="N32" s="433"/>
      <c r="O32" s="508"/>
      <c r="P32" s="509"/>
      <c r="Q32" s="6"/>
      <c r="R32" s="6"/>
      <c r="S32" s="508"/>
      <c r="T32" s="66"/>
      <c r="U32" s="470"/>
      <c r="V32" s="6"/>
      <c r="W32" s="6"/>
      <c r="X32" s="508"/>
      <c r="Y32" s="509"/>
      <c r="Z32" s="6"/>
      <c r="AA32" s="6"/>
      <c r="AB32" s="508"/>
      <c r="AC32" s="66"/>
      <c r="AD32" s="470"/>
      <c r="AE32" s="6"/>
      <c r="AF32" s="6"/>
      <c r="AG32" s="508"/>
      <c r="AH32" s="509"/>
      <c r="AI32" s="6"/>
      <c r="AJ32" s="6"/>
      <c r="AK32" s="508"/>
    </row>
    <row r="33" spans="1:37" x14ac:dyDescent="0.35">
      <c r="A33" s="1478">
        <v>44546</v>
      </c>
      <c r="B33" s="472">
        <v>1</v>
      </c>
      <c r="C33" s="493"/>
      <c r="D33" s="494"/>
      <c r="E33" s="494"/>
      <c r="F33" s="495"/>
      <c r="G33" s="478"/>
      <c r="H33" s="479"/>
      <c r="I33" s="483"/>
      <c r="J33" s="480"/>
      <c r="L33" s="439"/>
      <c r="M33" s="433"/>
      <c r="N33" s="433"/>
      <c r="O33" s="508"/>
      <c r="P33" s="509"/>
      <c r="Q33" s="6"/>
      <c r="R33" s="6"/>
      <c r="S33" s="508"/>
      <c r="T33" s="66"/>
      <c r="U33" s="470"/>
      <c r="V33" s="6"/>
      <c r="W33" s="6"/>
      <c r="X33" s="508"/>
      <c r="Y33" s="509"/>
      <c r="Z33" s="6"/>
      <c r="AA33" s="6"/>
      <c r="AB33" s="508"/>
      <c r="AC33" s="66"/>
      <c r="AD33" s="470"/>
      <c r="AE33" s="6"/>
      <c r="AF33" s="6"/>
      <c r="AG33" s="508"/>
      <c r="AH33" s="509"/>
      <c r="AI33" s="502"/>
      <c r="AJ33" s="6"/>
      <c r="AK33" s="508"/>
    </row>
    <row r="34" spans="1:37" ht="42.45" x14ac:dyDescent="0.35">
      <c r="A34" s="1477"/>
      <c r="B34" s="533">
        <v>2</v>
      </c>
      <c r="C34" s="493"/>
      <c r="D34" s="494">
        <v>55</v>
      </c>
      <c r="E34" s="494"/>
      <c r="F34" s="495"/>
      <c r="G34" s="478"/>
      <c r="H34" s="479" t="s">
        <v>289</v>
      </c>
      <c r="I34" s="479"/>
      <c r="J34" s="480"/>
      <c r="L34" s="439"/>
      <c r="M34" s="433">
        <v>48</v>
      </c>
      <c r="N34" s="433"/>
      <c r="O34" s="508"/>
      <c r="P34" s="509"/>
      <c r="Q34" s="6" t="s">
        <v>289</v>
      </c>
      <c r="R34" s="6"/>
      <c r="S34" s="508"/>
      <c r="T34" s="66"/>
      <c r="U34" s="470"/>
      <c r="V34" s="6">
        <v>81</v>
      </c>
      <c r="W34" s="6"/>
      <c r="X34" s="508"/>
      <c r="Y34" s="6"/>
      <c r="Z34" s="502" t="s">
        <v>290</v>
      </c>
      <c r="AA34" s="6"/>
      <c r="AB34" s="508"/>
      <c r="AC34" s="66"/>
      <c r="AD34" s="470"/>
      <c r="AE34" s="6">
        <v>32</v>
      </c>
      <c r="AF34" s="6"/>
      <c r="AG34" s="508"/>
      <c r="AH34" s="509"/>
      <c r="AI34" s="6" t="s">
        <v>289</v>
      </c>
      <c r="AJ34" s="6"/>
      <c r="AK34" s="508"/>
    </row>
    <row r="35" spans="1:37" x14ac:dyDescent="0.35">
      <c r="A35" s="1478">
        <v>44547</v>
      </c>
      <c r="B35" s="472">
        <v>1</v>
      </c>
      <c r="C35" s="493"/>
      <c r="D35" s="494"/>
      <c r="E35" s="494"/>
      <c r="F35" s="495"/>
      <c r="G35" s="478"/>
      <c r="H35" s="479"/>
      <c r="I35" s="483"/>
      <c r="J35" s="480"/>
      <c r="L35" s="439"/>
      <c r="M35" s="433"/>
      <c r="N35" s="433"/>
      <c r="O35" s="508"/>
      <c r="P35" s="509"/>
      <c r="Q35" s="6"/>
      <c r="R35" s="515"/>
      <c r="S35" s="508"/>
      <c r="T35" s="66"/>
      <c r="U35" s="470"/>
      <c r="V35" s="6"/>
      <c r="W35" s="6">
        <v>41</v>
      </c>
      <c r="X35" s="508"/>
      <c r="Y35" s="509"/>
      <c r="Z35" s="502"/>
      <c r="AA35" s="6" t="s">
        <v>27</v>
      </c>
      <c r="AB35" s="508"/>
      <c r="AC35" s="66"/>
      <c r="AD35" s="470"/>
      <c r="AE35" s="6"/>
      <c r="AF35" s="6"/>
      <c r="AG35" s="508"/>
      <c r="AH35" s="509"/>
      <c r="AI35" s="515"/>
      <c r="AJ35" s="515"/>
      <c r="AK35" s="508"/>
    </row>
    <row r="36" spans="1:37" ht="84.9" x14ac:dyDescent="0.35">
      <c r="A36" s="1477"/>
      <c r="B36" s="472">
        <v>2</v>
      </c>
      <c r="C36" s="493"/>
      <c r="D36" s="493">
        <v>82</v>
      </c>
      <c r="E36" s="494"/>
      <c r="F36" s="495"/>
      <c r="G36" s="481"/>
      <c r="H36" s="515" t="s">
        <v>291</v>
      </c>
      <c r="I36" s="479"/>
      <c r="J36" s="480"/>
      <c r="L36" s="519"/>
      <c r="M36" s="6">
        <v>85</v>
      </c>
      <c r="N36" s="433"/>
      <c r="O36" s="508"/>
      <c r="P36" s="465"/>
      <c r="Q36" s="515" t="s">
        <v>292</v>
      </c>
      <c r="R36" s="6"/>
      <c r="S36" s="508"/>
      <c r="T36" s="66"/>
      <c r="U36" s="470"/>
      <c r="V36" s="6"/>
      <c r="W36" s="6"/>
      <c r="X36" s="508"/>
      <c r="Y36" s="509"/>
      <c r="Z36" s="502"/>
      <c r="AA36" s="469"/>
      <c r="AB36" s="508"/>
      <c r="AC36" s="66"/>
      <c r="AD36" s="470"/>
      <c r="AE36" s="6">
        <v>101</v>
      </c>
      <c r="AF36" s="6"/>
      <c r="AG36" s="508"/>
      <c r="AH36" s="509"/>
      <c r="AI36" s="502" t="s">
        <v>293</v>
      </c>
      <c r="AJ36" s="469"/>
      <c r="AK36" s="508"/>
    </row>
    <row r="37" spans="1:37" x14ac:dyDescent="0.35">
      <c r="A37" s="1478">
        <v>44548</v>
      </c>
      <c r="B37" s="533">
        <v>1</v>
      </c>
      <c r="C37" s="493"/>
      <c r="D37" s="494"/>
      <c r="E37" s="494"/>
      <c r="F37" s="495"/>
      <c r="G37" s="478"/>
      <c r="H37" s="479"/>
      <c r="I37" s="479"/>
      <c r="J37" s="480"/>
      <c r="L37" s="439"/>
      <c r="M37" s="433"/>
      <c r="N37" s="433"/>
      <c r="O37" s="508"/>
      <c r="P37" s="509"/>
      <c r="Q37" s="6"/>
      <c r="R37" s="6"/>
      <c r="S37" s="508"/>
      <c r="T37" s="66"/>
      <c r="U37" s="470"/>
      <c r="V37" s="6"/>
      <c r="W37" s="6"/>
      <c r="X37" s="508"/>
      <c r="Y37" s="509"/>
      <c r="Z37" s="502"/>
      <c r="AA37" s="6"/>
      <c r="AB37" s="508"/>
      <c r="AC37" s="66"/>
      <c r="AD37" s="470"/>
      <c r="AE37" s="6"/>
      <c r="AF37" s="6"/>
      <c r="AG37" s="508"/>
      <c r="AH37" s="509"/>
      <c r="AI37" s="6"/>
      <c r="AJ37" s="6"/>
      <c r="AK37" s="508"/>
    </row>
    <row r="38" spans="1:37" ht="28.3" x14ac:dyDescent="0.35">
      <c r="A38" s="1477"/>
      <c r="B38" s="472">
        <v>2</v>
      </c>
      <c r="C38" s="493"/>
      <c r="D38" s="494"/>
      <c r="E38" s="494"/>
      <c r="F38" s="495"/>
      <c r="G38" s="478"/>
      <c r="H38" s="479"/>
      <c r="I38" s="479"/>
      <c r="J38" s="480"/>
      <c r="L38" s="470">
        <v>275</v>
      </c>
      <c r="M38" s="433"/>
      <c r="N38" s="433"/>
      <c r="O38" s="508"/>
      <c r="P38" s="469" t="s">
        <v>284</v>
      </c>
      <c r="Q38" s="6"/>
      <c r="R38" s="6"/>
      <c r="S38" s="508"/>
      <c r="T38" s="66"/>
      <c r="U38" s="470"/>
      <c r="V38" s="6"/>
      <c r="W38" s="6"/>
      <c r="X38" s="508"/>
      <c r="Y38" s="509"/>
      <c r="Z38" s="6"/>
      <c r="AA38" s="6"/>
      <c r="AB38" s="508"/>
      <c r="AC38" s="66"/>
      <c r="AD38" s="470"/>
      <c r="AE38" s="6"/>
      <c r="AF38" s="6"/>
      <c r="AG38" s="508"/>
      <c r="AH38" s="509"/>
      <c r="AI38" s="6"/>
      <c r="AJ38" s="6"/>
      <c r="AK38" s="508"/>
    </row>
    <row r="39" spans="1:37" x14ac:dyDescent="0.35">
      <c r="A39" s="1478">
        <v>44549</v>
      </c>
      <c r="B39" s="472">
        <v>1</v>
      </c>
      <c r="C39" s="493"/>
      <c r="D39" s="494"/>
      <c r="E39" s="494"/>
      <c r="F39" s="495"/>
      <c r="G39" s="478"/>
      <c r="H39" s="479"/>
      <c r="I39" s="483"/>
      <c r="J39" s="480"/>
      <c r="L39" s="439"/>
      <c r="M39" s="433"/>
      <c r="N39" s="433"/>
      <c r="O39" s="508"/>
      <c r="P39" s="509"/>
      <c r="Q39" s="6"/>
      <c r="R39" s="6"/>
      <c r="S39" s="508"/>
      <c r="T39" s="66"/>
      <c r="U39" s="470"/>
      <c r="V39" s="6"/>
      <c r="W39" s="6"/>
      <c r="X39" s="508"/>
      <c r="Y39" s="509"/>
      <c r="Z39" s="6"/>
      <c r="AA39" s="6"/>
      <c r="AB39" s="508"/>
      <c r="AC39" s="66"/>
      <c r="AD39" s="470"/>
      <c r="AE39" s="6"/>
      <c r="AF39" s="6"/>
      <c r="AG39" s="508"/>
      <c r="AH39" s="509"/>
      <c r="AI39" s="6"/>
      <c r="AJ39" s="6"/>
      <c r="AK39" s="508"/>
    </row>
    <row r="40" spans="1:37" x14ac:dyDescent="0.35">
      <c r="A40" s="1477"/>
      <c r="B40" s="472">
        <v>2</v>
      </c>
      <c r="C40" s="493"/>
      <c r="D40" s="494"/>
      <c r="E40" s="494"/>
      <c r="F40" s="495"/>
      <c r="G40" s="478"/>
      <c r="H40" s="479"/>
      <c r="I40" s="483"/>
      <c r="J40" s="480"/>
      <c r="L40" s="439"/>
      <c r="M40" s="433"/>
      <c r="N40" s="433"/>
      <c r="O40" s="508"/>
      <c r="P40" s="509"/>
      <c r="Q40" s="6"/>
      <c r="R40" s="6"/>
      <c r="S40" s="508"/>
      <c r="T40" s="66"/>
      <c r="U40" s="470"/>
      <c r="V40" s="6"/>
      <c r="W40" s="6">
        <v>10</v>
      </c>
      <c r="X40" s="508"/>
      <c r="Y40" s="509"/>
      <c r="Z40" s="6"/>
      <c r="AA40" s="6" t="s">
        <v>27</v>
      </c>
      <c r="AB40" s="508"/>
      <c r="AC40" s="66"/>
      <c r="AD40" s="470"/>
      <c r="AE40" s="6"/>
      <c r="AF40" s="6"/>
      <c r="AG40" s="508"/>
      <c r="AH40" s="509"/>
      <c r="AI40" s="6"/>
      <c r="AJ40" s="6"/>
      <c r="AK40" s="508"/>
    </row>
    <row r="41" spans="1:37" ht="28.3" x14ac:dyDescent="0.35">
      <c r="A41" s="1478">
        <v>44550</v>
      </c>
      <c r="B41" s="472">
        <v>1</v>
      </c>
      <c r="C41" s="493"/>
      <c r="D41" s="494"/>
      <c r="E41" s="494"/>
      <c r="F41" s="495"/>
      <c r="G41" s="478"/>
      <c r="H41" s="479"/>
      <c r="I41" s="479"/>
      <c r="J41" s="480"/>
      <c r="L41" s="439"/>
      <c r="M41" s="433"/>
      <c r="N41" s="433"/>
      <c r="O41" s="508"/>
      <c r="P41" s="509"/>
      <c r="Q41" s="6"/>
      <c r="R41" s="6"/>
      <c r="S41" s="508"/>
      <c r="T41" s="66"/>
      <c r="U41" s="470"/>
      <c r="V41" s="6"/>
      <c r="W41" s="6">
        <v>20</v>
      </c>
      <c r="X41" s="508"/>
      <c r="Y41" s="509"/>
      <c r="Z41" s="502"/>
      <c r="AA41" s="502" t="s">
        <v>82</v>
      </c>
      <c r="AB41" s="508"/>
      <c r="AC41" s="66"/>
      <c r="AD41" s="470"/>
      <c r="AE41" s="6"/>
      <c r="AF41" s="6"/>
      <c r="AG41" s="508"/>
      <c r="AH41" s="509"/>
      <c r="AI41" s="6"/>
      <c r="AJ41" s="6"/>
      <c r="AK41" s="508"/>
    </row>
    <row r="42" spans="1:37" x14ac:dyDescent="0.35">
      <c r="A42" s="1477"/>
      <c r="B42" s="472">
        <v>2</v>
      </c>
      <c r="C42" s="493"/>
      <c r="D42" s="494"/>
      <c r="E42" s="494"/>
      <c r="F42" s="495"/>
      <c r="G42" s="478"/>
      <c r="H42" s="479"/>
      <c r="I42" s="479"/>
      <c r="J42" s="434"/>
      <c r="L42" s="439"/>
      <c r="M42" s="433"/>
      <c r="N42" s="433"/>
      <c r="O42" s="508"/>
      <c r="P42" s="509"/>
      <c r="Q42" s="6"/>
      <c r="R42" s="6"/>
      <c r="S42" s="508"/>
      <c r="T42" s="66"/>
      <c r="U42" s="470"/>
      <c r="V42" s="6"/>
      <c r="W42" s="6"/>
      <c r="X42" s="508"/>
      <c r="Y42" s="509"/>
      <c r="Z42" s="6"/>
      <c r="AA42" s="6"/>
      <c r="AB42" s="508"/>
      <c r="AC42" s="66"/>
      <c r="AD42" s="470"/>
      <c r="AE42" s="6"/>
      <c r="AF42" s="6"/>
      <c r="AG42" s="508"/>
      <c r="AH42" s="509"/>
      <c r="AI42" s="6"/>
      <c r="AJ42" s="6"/>
      <c r="AK42" s="508"/>
    </row>
    <row r="43" spans="1:37" ht="42.45" x14ac:dyDescent="0.35">
      <c r="A43" s="1478">
        <v>44551</v>
      </c>
      <c r="B43" s="472">
        <v>1</v>
      </c>
      <c r="C43" s="493"/>
      <c r="D43" s="494"/>
      <c r="E43" s="494">
        <v>25</v>
      </c>
      <c r="F43" s="495"/>
      <c r="G43" s="478"/>
      <c r="H43" s="479"/>
      <c r="I43" s="483" t="s">
        <v>294</v>
      </c>
      <c r="J43" s="480"/>
      <c r="L43" s="439"/>
      <c r="M43" s="433"/>
      <c r="N43" s="433"/>
      <c r="O43" s="508"/>
      <c r="P43" s="509"/>
      <c r="Q43" s="6"/>
      <c r="R43" s="6"/>
      <c r="S43" s="508"/>
      <c r="T43" s="66"/>
      <c r="U43" s="470"/>
      <c r="V43" s="6"/>
      <c r="W43" s="6">
        <v>18</v>
      </c>
      <c r="X43" s="508"/>
      <c r="Y43" s="509"/>
      <c r="Z43" s="6"/>
      <c r="AA43" s="6" t="s">
        <v>27</v>
      </c>
      <c r="AB43" s="508"/>
      <c r="AC43" s="66"/>
      <c r="AD43" s="470"/>
      <c r="AE43" s="6"/>
      <c r="AF43" s="6"/>
      <c r="AG43" s="508"/>
      <c r="AH43" s="509"/>
      <c r="AI43" s="6"/>
      <c r="AJ43" s="6"/>
      <c r="AK43" s="508"/>
    </row>
    <row r="44" spans="1:37" x14ac:dyDescent="0.35">
      <c r="A44" s="1477"/>
      <c r="B44" s="472">
        <v>2</v>
      </c>
      <c r="C44" s="493"/>
      <c r="D44" s="494"/>
      <c r="E44" s="494"/>
      <c r="F44" s="495"/>
      <c r="G44" s="481"/>
      <c r="H44" s="479"/>
      <c r="I44" s="479"/>
      <c r="J44" s="480"/>
      <c r="L44" s="439"/>
      <c r="M44" s="433"/>
      <c r="N44" s="433"/>
      <c r="O44" s="508"/>
      <c r="P44" s="509"/>
      <c r="Q44" s="6"/>
      <c r="R44" s="6"/>
      <c r="S44" s="508"/>
      <c r="T44" s="66"/>
      <c r="U44" s="470"/>
      <c r="V44" s="6"/>
      <c r="W44" s="6"/>
      <c r="X44" s="508"/>
      <c r="Y44" s="509"/>
      <c r="Z44" s="6"/>
      <c r="AA44" s="6"/>
      <c r="AB44" s="508"/>
      <c r="AC44" s="66"/>
      <c r="AD44" s="470"/>
      <c r="AE44" s="6"/>
      <c r="AF44" s="6"/>
      <c r="AG44" s="508"/>
      <c r="AH44" s="509"/>
      <c r="AI44" s="6"/>
      <c r="AJ44" s="6"/>
      <c r="AK44" s="508"/>
    </row>
    <row r="45" spans="1:37" ht="42.45" x14ac:dyDescent="0.35">
      <c r="A45" s="1478">
        <v>44552</v>
      </c>
      <c r="B45" s="472">
        <v>1</v>
      </c>
      <c r="C45" s="493"/>
      <c r="D45" s="494"/>
      <c r="E45" s="494">
        <v>51</v>
      </c>
      <c r="F45" s="495"/>
      <c r="G45" s="478"/>
      <c r="H45" s="479"/>
      <c r="I45" s="6" t="s">
        <v>27</v>
      </c>
      <c r="J45" s="480"/>
      <c r="L45" s="439"/>
      <c r="M45" s="6">
        <v>15</v>
      </c>
      <c r="N45" s="433"/>
      <c r="O45" s="508"/>
      <c r="P45" s="509"/>
      <c r="Q45" s="502" t="s">
        <v>295</v>
      </c>
      <c r="R45" s="6"/>
      <c r="S45" s="508"/>
      <c r="T45" s="66"/>
      <c r="U45" s="470"/>
      <c r="V45" s="6"/>
      <c r="W45" s="6">
        <v>16</v>
      </c>
      <c r="X45" s="508"/>
      <c r="Y45" s="509"/>
      <c r="Z45" s="6"/>
      <c r="AA45" s="6" t="s">
        <v>27</v>
      </c>
      <c r="AB45" s="508"/>
      <c r="AC45" s="66"/>
      <c r="AD45" s="470"/>
      <c r="AE45" s="6"/>
      <c r="AF45" s="6"/>
      <c r="AG45" s="508"/>
      <c r="AH45" s="509"/>
      <c r="AI45" s="6"/>
      <c r="AJ45" s="6"/>
      <c r="AK45" s="508"/>
    </row>
    <row r="46" spans="1:37" ht="28.3" x14ac:dyDescent="0.35">
      <c r="A46" s="1477"/>
      <c r="B46" s="472">
        <v>2</v>
      </c>
      <c r="C46" s="493"/>
      <c r="D46" s="494"/>
      <c r="E46" s="494">
        <v>20</v>
      </c>
      <c r="F46" s="495"/>
      <c r="G46" s="478"/>
      <c r="H46" s="479"/>
      <c r="I46" s="483" t="s">
        <v>296</v>
      </c>
      <c r="J46" s="480"/>
      <c r="L46" s="439"/>
      <c r="M46" s="433"/>
      <c r="N46" s="433"/>
      <c r="O46" s="508"/>
      <c r="P46" s="509"/>
      <c r="Q46" s="6"/>
      <c r="R46" s="6"/>
      <c r="S46" s="508"/>
      <c r="T46" s="66"/>
      <c r="U46" s="470"/>
      <c r="V46" s="6"/>
      <c r="W46" s="6"/>
      <c r="X46" s="508"/>
      <c r="Y46" s="509"/>
      <c r="Z46" s="6"/>
      <c r="AA46" s="6"/>
      <c r="AB46" s="508"/>
      <c r="AC46" s="66"/>
      <c r="AD46" s="470"/>
      <c r="AE46" s="6"/>
      <c r="AF46" s="6">
        <v>15</v>
      </c>
      <c r="AG46" s="508"/>
      <c r="AH46" s="509"/>
      <c r="AI46" s="6"/>
      <c r="AJ46" s="483" t="s">
        <v>296</v>
      </c>
      <c r="AK46" s="508"/>
    </row>
    <row r="47" spans="1:37" x14ac:dyDescent="0.35">
      <c r="A47" s="1478">
        <v>44553</v>
      </c>
      <c r="B47" s="472">
        <v>1</v>
      </c>
      <c r="C47" s="493"/>
      <c r="D47" s="494"/>
      <c r="E47" s="494"/>
      <c r="F47" s="495"/>
      <c r="G47" s="478"/>
      <c r="H47" s="479"/>
      <c r="I47" s="479"/>
      <c r="J47" s="480"/>
      <c r="L47" s="439"/>
      <c r="M47" s="433"/>
      <c r="N47" s="433"/>
      <c r="O47" s="508"/>
      <c r="P47" s="509"/>
      <c r="Q47" s="6"/>
      <c r="R47" s="6"/>
      <c r="S47" s="508"/>
      <c r="T47" s="66"/>
      <c r="U47" s="470"/>
      <c r="V47" s="6"/>
      <c r="W47" s="6"/>
      <c r="X47" s="508"/>
      <c r="Y47" s="509"/>
      <c r="Z47" s="6"/>
      <c r="AA47" s="502"/>
      <c r="AB47" s="508"/>
      <c r="AC47" s="66"/>
      <c r="AD47" s="470"/>
      <c r="AE47" s="6"/>
      <c r="AF47" s="6"/>
      <c r="AG47" s="508"/>
      <c r="AH47" s="509"/>
      <c r="AI47" s="6"/>
      <c r="AJ47" s="6"/>
      <c r="AK47" s="508"/>
    </row>
    <row r="48" spans="1:37" x14ac:dyDescent="0.35">
      <c r="A48" s="1477"/>
      <c r="B48" s="472">
        <v>2</v>
      </c>
      <c r="C48" s="493"/>
      <c r="D48" s="494"/>
      <c r="E48" s="494"/>
      <c r="F48" s="495"/>
      <c r="G48" s="478"/>
      <c r="H48" s="483"/>
      <c r="I48" s="479"/>
      <c r="J48" s="480"/>
      <c r="L48" s="439"/>
      <c r="M48" s="433"/>
      <c r="N48" s="433"/>
      <c r="O48" s="508"/>
      <c r="P48" s="509"/>
      <c r="Q48" s="515"/>
      <c r="R48" s="6"/>
      <c r="S48" s="508"/>
      <c r="T48" s="66"/>
      <c r="U48" s="470"/>
      <c r="V48" s="6"/>
      <c r="W48" s="6"/>
      <c r="X48" s="508"/>
      <c r="Y48" s="509"/>
      <c r="Z48" s="6"/>
      <c r="AA48" s="6"/>
      <c r="AB48" s="508"/>
      <c r="AC48" s="66"/>
      <c r="AD48" s="470"/>
      <c r="AE48" s="6"/>
      <c r="AF48" s="6"/>
      <c r="AG48" s="508"/>
      <c r="AH48" s="509"/>
      <c r="AI48" s="6"/>
      <c r="AJ48" s="6"/>
      <c r="AK48" s="508"/>
    </row>
    <row r="49" spans="1:37" ht="42.45" x14ac:dyDescent="0.35">
      <c r="A49" s="1478">
        <v>44554</v>
      </c>
      <c r="B49" s="472">
        <v>1</v>
      </c>
      <c r="C49" s="493"/>
      <c r="D49" s="494"/>
      <c r="E49" s="494"/>
      <c r="F49" s="495"/>
      <c r="G49" s="478"/>
      <c r="H49" s="479"/>
      <c r="I49" s="479"/>
      <c r="J49" s="482"/>
      <c r="L49" s="439"/>
      <c r="M49" s="433"/>
      <c r="N49" s="433"/>
      <c r="O49" s="508"/>
      <c r="P49" s="509"/>
      <c r="Q49" s="6"/>
      <c r="R49" s="6"/>
      <c r="S49" s="526"/>
      <c r="T49" s="66"/>
      <c r="U49" s="470"/>
      <c r="V49" s="6">
        <v>293</v>
      </c>
      <c r="W49" s="6">
        <v>17</v>
      </c>
      <c r="X49" s="508"/>
      <c r="Y49" s="509"/>
      <c r="Z49" s="502" t="s">
        <v>297</v>
      </c>
      <c r="AA49" s="502" t="s">
        <v>24</v>
      </c>
      <c r="AB49" s="526"/>
      <c r="AC49" s="66"/>
      <c r="AD49" s="470"/>
      <c r="AE49" s="6"/>
      <c r="AF49" s="6"/>
      <c r="AG49" s="508"/>
      <c r="AH49" s="509"/>
      <c r="AI49" s="6"/>
      <c r="AJ49" s="6"/>
      <c r="AK49" s="526"/>
    </row>
    <row r="50" spans="1:37" ht="56.6" x14ac:dyDescent="0.35">
      <c r="A50" s="1477"/>
      <c r="B50" s="472">
        <v>2</v>
      </c>
      <c r="C50" s="493"/>
      <c r="D50" s="494"/>
      <c r="E50" s="494"/>
      <c r="F50" s="495"/>
      <c r="G50" s="481"/>
      <c r="H50" s="479"/>
      <c r="I50" s="479"/>
      <c r="J50" s="480"/>
      <c r="L50" s="439"/>
      <c r="M50" s="433"/>
      <c r="N50" s="433"/>
      <c r="O50" s="508"/>
      <c r="P50" s="509"/>
      <c r="Q50" s="6"/>
      <c r="R50" s="6"/>
      <c r="S50" s="508"/>
      <c r="T50" s="66"/>
      <c r="U50" s="470"/>
      <c r="V50" s="6">
        <v>310</v>
      </c>
      <c r="W50" s="6"/>
      <c r="X50" s="508"/>
      <c r="Y50" s="469"/>
      <c r="Z50" s="502" t="s">
        <v>298</v>
      </c>
      <c r="AA50" s="6"/>
      <c r="AB50" s="508"/>
      <c r="AC50" s="66"/>
      <c r="AD50" s="470">
        <v>40</v>
      </c>
      <c r="AE50" s="6">
        <v>48</v>
      </c>
      <c r="AF50" s="6">
        <v>40</v>
      </c>
      <c r="AG50" s="508"/>
      <c r="AH50" s="509"/>
      <c r="AI50" s="6"/>
      <c r="AJ50" s="6"/>
      <c r="AK50" s="508"/>
    </row>
    <row r="51" spans="1:37" x14ac:dyDescent="0.35">
      <c r="A51" s="1478">
        <v>44555</v>
      </c>
      <c r="B51" s="472">
        <v>1</v>
      </c>
      <c r="C51" s="493"/>
      <c r="D51" s="494"/>
      <c r="E51" s="494"/>
      <c r="F51" s="495"/>
      <c r="G51" s="478"/>
      <c r="H51" s="479"/>
      <c r="I51" s="479"/>
      <c r="J51" s="480"/>
      <c r="L51" s="439"/>
      <c r="M51" s="433"/>
      <c r="N51" s="433"/>
      <c r="O51" s="508"/>
      <c r="P51" s="509"/>
      <c r="Q51" s="6"/>
      <c r="R51" s="6"/>
      <c r="S51" s="508"/>
      <c r="T51" s="66"/>
      <c r="U51" s="470"/>
      <c r="V51" s="6"/>
      <c r="W51" s="6"/>
      <c r="X51" s="508"/>
      <c r="Y51" s="469"/>
      <c r="Z51" s="6"/>
      <c r="AA51" s="6"/>
      <c r="AB51" s="508"/>
      <c r="AC51" s="66"/>
      <c r="AD51" s="470"/>
      <c r="AE51" s="6"/>
      <c r="AF51" s="6"/>
      <c r="AG51" s="508"/>
      <c r="AH51" s="509"/>
      <c r="AI51" s="6"/>
      <c r="AJ51" s="6"/>
      <c r="AK51" s="508"/>
    </row>
    <row r="52" spans="1:37" x14ac:dyDescent="0.35">
      <c r="A52" s="1477"/>
      <c r="B52" s="472">
        <v>2</v>
      </c>
      <c r="C52" s="493"/>
      <c r="D52" s="494"/>
      <c r="E52" s="494"/>
      <c r="F52" s="495"/>
      <c r="G52" s="478"/>
      <c r="H52" s="479"/>
      <c r="I52" s="479"/>
      <c r="J52" s="482"/>
      <c r="L52" s="439"/>
      <c r="M52" s="433"/>
      <c r="N52" s="433"/>
      <c r="O52" s="508"/>
      <c r="P52" s="509"/>
      <c r="Q52" s="6"/>
      <c r="R52" s="6"/>
      <c r="S52" s="527"/>
      <c r="T52" s="66"/>
      <c r="U52" s="470"/>
      <c r="V52" s="6"/>
      <c r="W52" s="6"/>
      <c r="X52" s="508"/>
      <c r="Y52" s="469"/>
      <c r="Z52" s="502"/>
      <c r="AA52" s="6"/>
      <c r="AB52" s="527"/>
      <c r="AC52" s="66"/>
      <c r="AD52" s="470"/>
      <c r="AE52" s="6"/>
      <c r="AF52" s="6"/>
      <c r="AG52" s="508"/>
      <c r="AH52" s="509"/>
      <c r="AI52" s="6"/>
      <c r="AJ52" s="6"/>
      <c r="AK52" s="527"/>
    </row>
    <row r="53" spans="1:37" x14ac:dyDescent="0.35">
      <c r="A53" s="1478">
        <v>44556</v>
      </c>
      <c r="B53" s="472">
        <v>1</v>
      </c>
      <c r="C53" s="493"/>
      <c r="D53" s="494"/>
      <c r="E53" s="494"/>
      <c r="F53" s="495"/>
      <c r="G53" s="478"/>
      <c r="H53" s="479"/>
      <c r="I53" s="479"/>
      <c r="J53" s="480"/>
      <c r="L53" s="439"/>
      <c r="M53" s="433"/>
      <c r="N53" s="433"/>
      <c r="O53" s="508"/>
      <c r="P53" s="509"/>
      <c r="Q53" s="6"/>
      <c r="R53" s="6"/>
      <c r="S53" s="508"/>
      <c r="T53" s="66"/>
      <c r="U53" s="470"/>
      <c r="V53" s="6"/>
      <c r="W53" s="6"/>
      <c r="X53" s="508"/>
      <c r="Y53" s="509"/>
      <c r="Z53" s="6"/>
      <c r="AA53" s="6"/>
      <c r="AB53" s="508"/>
      <c r="AC53" s="66"/>
      <c r="AD53" s="470"/>
      <c r="AE53" s="6"/>
      <c r="AF53" s="6"/>
      <c r="AG53" s="508"/>
      <c r="AH53" s="509"/>
      <c r="AI53" s="6"/>
      <c r="AJ53" s="6"/>
      <c r="AK53" s="508"/>
    </row>
    <row r="54" spans="1:37" ht="60" customHeight="1" x14ac:dyDescent="0.35">
      <c r="A54" s="1477"/>
      <c r="B54" s="500">
        <v>2</v>
      </c>
      <c r="C54" s="493"/>
      <c r="D54" s="494"/>
      <c r="E54" s="494"/>
      <c r="F54" s="495"/>
      <c r="G54" s="478"/>
      <c r="H54" s="479"/>
      <c r="I54" s="479"/>
      <c r="J54" s="480"/>
      <c r="L54" s="439"/>
      <c r="M54" s="433"/>
      <c r="N54" s="433"/>
      <c r="O54" s="508"/>
      <c r="P54" s="509"/>
      <c r="Q54" s="6"/>
      <c r="R54" s="6"/>
      <c r="S54" s="508"/>
      <c r="T54" s="66"/>
      <c r="U54" s="470"/>
      <c r="V54" s="6"/>
      <c r="W54" s="6"/>
      <c r="X54" s="508"/>
      <c r="Y54" s="509"/>
      <c r="Z54" s="502"/>
      <c r="AA54" s="6"/>
      <c r="AB54" s="508"/>
      <c r="AC54" s="66"/>
      <c r="AD54" s="470"/>
      <c r="AE54" s="6"/>
      <c r="AF54" s="6"/>
      <c r="AG54" s="508"/>
      <c r="AH54" s="509"/>
      <c r="AI54" s="6"/>
      <c r="AJ54" s="6"/>
      <c r="AK54" s="508"/>
    </row>
    <row r="55" spans="1:37" x14ac:dyDescent="0.35">
      <c r="A55" s="1478">
        <v>44557</v>
      </c>
      <c r="B55" s="472">
        <v>1</v>
      </c>
      <c r="C55" s="493"/>
      <c r="D55" s="494"/>
      <c r="E55" s="494"/>
      <c r="F55" s="495"/>
      <c r="G55" s="478"/>
      <c r="H55" s="479"/>
      <c r="I55" s="483"/>
      <c r="J55" s="480"/>
      <c r="L55" s="439"/>
      <c r="M55" s="433"/>
      <c r="N55" s="433"/>
      <c r="O55" s="508"/>
      <c r="P55" s="509"/>
      <c r="Q55" s="6"/>
      <c r="R55" s="6"/>
      <c r="S55" s="508"/>
      <c r="T55" s="66"/>
      <c r="U55" s="470"/>
      <c r="V55" s="6"/>
      <c r="W55" s="6">
        <v>10</v>
      </c>
      <c r="X55" s="508"/>
      <c r="Y55" s="509"/>
      <c r="Z55" s="6"/>
      <c r="AA55" s="6" t="s">
        <v>27</v>
      </c>
      <c r="AB55" s="508"/>
      <c r="AC55" s="66"/>
      <c r="AD55" s="470"/>
      <c r="AE55" s="6"/>
      <c r="AF55" s="6"/>
      <c r="AG55" s="508"/>
      <c r="AH55" s="509"/>
      <c r="AI55" s="6"/>
      <c r="AJ55" s="6"/>
      <c r="AK55" s="508"/>
    </row>
    <row r="56" spans="1:37" ht="56.6" x14ac:dyDescent="0.35">
      <c r="A56" s="1477"/>
      <c r="B56" s="500">
        <v>2</v>
      </c>
      <c r="C56" s="493"/>
      <c r="D56" s="494"/>
      <c r="E56" s="494"/>
      <c r="F56" s="495"/>
      <c r="G56" s="478"/>
      <c r="H56" s="479"/>
      <c r="I56" s="479"/>
      <c r="J56" s="480"/>
      <c r="L56" s="439"/>
      <c r="M56" s="433"/>
      <c r="N56" s="433"/>
      <c r="O56" s="508"/>
      <c r="P56" s="509"/>
      <c r="Q56" s="6"/>
      <c r="R56" s="6"/>
      <c r="S56" s="508"/>
      <c r="T56" s="66"/>
      <c r="U56" s="470"/>
      <c r="V56" s="6"/>
      <c r="W56" s="6">
        <v>15</v>
      </c>
      <c r="X56" s="508"/>
      <c r="Y56" s="469"/>
      <c r="Z56" s="502"/>
      <c r="AA56" s="6" t="s">
        <v>27</v>
      </c>
      <c r="AB56" s="508"/>
      <c r="AC56" s="66"/>
      <c r="AD56" s="470"/>
      <c r="AE56" s="6">
        <v>32</v>
      </c>
      <c r="AF56" s="6"/>
      <c r="AG56" s="508"/>
      <c r="AH56" s="509"/>
      <c r="AI56" s="502" t="s">
        <v>299</v>
      </c>
      <c r="AJ56" s="6"/>
      <c r="AK56" s="508"/>
    </row>
    <row r="57" spans="1:37" ht="52.5" customHeight="1" x14ac:dyDescent="0.35">
      <c r="A57" s="1478">
        <v>44558</v>
      </c>
      <c r="B57" s="472">
        <v>1</v>
      </c>
      <c r="C57" s="493"/>
      <c r="D57" s="494"/>
      <c r="E57" s="494"/>
      <c r="F57" s="495"/>
      <c r="G57" s="478"/>
      <c r="H57" s="479"/>
      <c r="I57" s="483"/>
      <c r="J57" s="480"/>
      <c r="L57" s="439"/>
      <c r="M57" s="433"/>
      <c r="N57" s="433"/>
      <c r="O57" s="508"/>
      <c r="P57" s="509"/>
      <c r="Q57" s="6"/>
      <c r="R57" s="502"/>
      <c r="S57" s="508"/>
      <c r="T57" s="66"/>
      <c r="U57" s="470"/>
      <c r="V57" s="6"/>
      <c r="W57" s="6"/>
      <c r="X57" s="508"/>
      <c r="Y57" s="469"/>
      <c r="Z57" s="502"/>
      <c r="AA57" s="6"/>
      <c r="AB57" s="508"/>
      <c r="AC57" s="66"/>
      <c r="AD57" s="470"/>
      <c r="AE57" s="6"/>
      <c r="AF57" s="6"/>
      <c r="AG57" s="508"/>
      <c r="AH57" s="509"/>
      <c r="AI57" s="6"/>
      <c r="AJ57" s="6"/>
      <c r="AK57" s="508"/>
    </row>
    <row r="58" spans="1:37" x14ac:dyDescent="0.35">
      <c r="A58" s="1477"/>
      <c r="B58" s="500">
        <v>2</v>
      </c>
      <c r="C58" s="493"/>
      <c r="D58" s="494"/>
      <c r="E58" s="494"/>
      <c r="F58" s="495"/>
      <c r="G58" s="478"/>
      <c r="H58" s="479"/>
      <c r="I58" s="479"/>
      <c r="J58" s="480"/>
      <c r="L58" s="439"/>
      <c r="M58" s="433"/>
      <c r="N58" s="433"/>
      <c r="O58" s="508"/>
      <c r="P58" s="509"/>
      <c r="Q58" s="6"/>
      <c r="R58" s="6"/>
      <c r="S58" s="508"/>
      <c r="T58" s="66"/>
      <c r="U58" s="470"/>
      <c r="V58" s="6"/>
      <c r="W58" s="6"/>
      <c r="X58" s="508"/>
      <c r="Y58" s="509"/>
      <c r="Z58" s="502"/>
      <c r="AA58" s="6"/>
      <c r="AB58" s="508"/>
      <c r="AC58" s="66"/>
      <c r="AD58" s="470"/>
      <c r="AE58" s="6"/>
      <c r="AF58" s="6"/>
      <c r="AG58" s="508"/>
      <c r="AH58" s="509"/>
      <c r="AI58" s="6"/>
      <c r="AJ58" s="6"/>
      <c r="AK58" s="508"/>
    </row>
    <row r="59" spans="1:37" x14ac:dyDescent="0.35">
      <c r="A59" s="1478">
        <v>44559</v>
      </c>
      <c r="B59" s="472">
        <v>1</v>
      </c>
      <c r="C59" s="493"/>
      <c r="D59" s="494"/>
      <c r="E59" s="494">
        <v>15</v>
      </c>
      <c r="F59" s="495"/>
      <c r="G59" s="478"/>
      <c r="H59" s="479"/>
      <c r="I59" s="6" t="s">
        <v>27</v>
      </c>
      <c r="J59" s="480"/>
      <c r="L59" s="439"/>
      <c r="M59" s="433"/>
      <c r="N59" s="433"/>
      <c r="O59" s="508"/>
      <c r="P59" s="509"/>
      <c r="Q59" s="502"/>
      <c r="R59" s="6"/>
      <c r="S59" s="508"/>
      <c r="T59" s="66"/>
      <c r="U59" s="470"/>
      <c r="V59" s="6"/>
      <c r="W59" s="6">
        <v>15</v>
      </c>
      <c r="X59" s="508"/>
      <c r="Y59" s="509"/>
      <c r="Z59" s="6"/>
      <c r="AA59" s="6" t="s">
        <v>27</v>
      </c>
      <c r="AB59" s="508"/>
      <c r="AC59" s="66"/>
      <c r="AD59" s="470"/>
      <c r="AE59" s="6"/>
      <c r="AF59" s="6"/>
      <c r="AG59" s="508"/>
      <c r="AH59" s="469"/>
      <c r="AI59" s="6"/>
      <c r="AJ59" s="6"/>
      <c r="AK59" s="508"/>
    </row>
    <row r="60" spans="1:37" ht="56.6" x14ac:dyDescent="0.35">
      <c r="A60" s="1477"/>
      <c r="B60" s="500">
        <v>2</v>
      </c>
      <c r="C60" s="493">
        <v>13</v>
      </c>
      <c r="D60" s="494"/>
      <c r="E60" s="494"/>
      <c r="F60" s="495"/>
      <c r="G60" s="481" t="s">
        <v>300</v>
      </c>
      <c r="H60" s="483"/>
      <c r="I60" s="479"/>
      <c r="J60" s="480"/>
      <c r="L60" s="439"/>
      <c r="M60" s="433"/>
      <c r="N60" s="433"/>
      <c r="O60" s="508"/>
      <c r="P60" s="509"/>
      <c r="Q60" s="6"/>
      <c r="R60" s="6"/>
      <c r="S60" s="508"/>
      <c r="T60" s="66"/>
      <c r="U60" s="470"/>
      <c r="V60" s="6"/>
      <c r="W60" s="6"/>
      <c r="X60" s="508"/>
      <c r="Y60" s="509"/>
      <c r="Z60" s="502"/>
      <c r="AA60" s="6"/>
      <c r="AB60" s="508"/>
      <c r="AC60" s="66"/>
      <c r="AD60" s="470"/>
      <c r="AE60" s="6"/>
      <c r="AF60" s="6"/>
      <c r="AG60" s="508"/>
      <c r="AH60" s="509"/>
      <c r="AI60" s="6"/>
      <c r="AJ60" s="6"/>
      <c r="AK60" s="508"/>
    </row>
    <row r="61" spans="1:37" x14ac:dyDescent="0.35">
      <c r="A61" s="1478">
        <v>44560</v>
      </c>
      <c r="B61" s="472">
        <v>1</v>
      </c>
      <c r="C61" s="493"/>
      <c r="D61" s="494"/>
      <c r="E61" s="494"/>
      <c r="F61" s="495"/>
      <c r="G61" s="478"/>
      <c r="H61" s="479"/>
      <c r="I61" s="479"/>
      <c r="J61" s="480"/>
      <c r="L61" s="439"/>
      <c r="M61" s="433"/>
      <c r="N61" s="433"/>
      <c r="O61" s="508"/>
      <c r="P61" s="509"/>
      <c r="Q61" s="6"/>
      <c r="R61" s="6"/>
      <c r="S61" s="508"/>
      <c r="T61" s="66"/>
      <c r="U61" s="470"/>
      <c r="V61" s="6"/>
      <c r="W61" s="6"/>
      <c r="X61" s="508"/>
      <c r="Y61" s="509"/>
      <c r="Z61" s="6"/>
      <c r="AA61" s="6"/>
      <c r="AB61" s="508"/>
      <c r="AC61" s="66"/>
      <c r="AD61" s="470"/>
      <c r="AE61" s="6"/>
      <c r="AF61" s="6"/>
      <c r="AG61" s="508"/>
      <c r="AH61" s="509"/>
      <c r="AI61" s="6"/>
      <c r="AJ61" s="6"/>
      <c r="AK61" s="508"/>
    </row>
    <row r="62" spans="1:37" ht="56.6" x14ac:dyDescent="0.35">
      <c r="A62" s="1477"/>
      <c r="B62" s="500">
        <v>2</v>
      </c>
      <c r="C62" s="493">
        <v>25</v>
      </c>
      <c r="D62" s="494"/>
      <c r="E62" s="494"/>
      <c r="F62" s="495"/>
      <c r="G62" s="481" t="s">
        <v>300</v>
      </c>
      <c r="H62" s="479"/>
      <c r="I62" s="479"/>
      <c r="J62" s="480"/>
      <c r="L62" s="439"/>
      <c r="M62" s="433"/>
      <c r="N62" s="433"/>
      <c r="O62" s="508"/>
      <c r="P62" s="509"/>
      <c r="Q62" s="6"/>
      <c r="R62" s="6"/>
      <c r="S62" s="508"/>
      <c r="T62" s="66"/>
      <c r="U62" s="470"/>
      <c r="V62" s="6"/>
      <c r="W62" s="6"/>
      <c r="X62" s="508"/>
      <c r="Y62" s="509"/>
      <c r="Z62" s="6"/>
      <c r="AA62" s="6"/>
      <c r="AB62" s="508"/>
      <c r="AC62" s="66"/>
      <c r="AD62" s="470"/>
      <c r="AE62" s="6"/>
      <c r="AF62" s="6"/>
      <c r="AG62" s="508"/>
      <c r="AH62" s="509"/>
      <c r="AI62" s="6"/>
      <c r="AJ62" s="6"/>
      <c r="AK62" s="508"/>
    </row>
    <row r="63" spans="1:37" x14ac:dyDescent="0.35">
      <c r="A63" s="1478">
        <v>44561</v>
      </c>
      <c r="B63" s="472">
        <v>1</v>
      </c>
      <c r="C63" s="493"/>
      <c r="D63" s="494"/>
      <c r="E63" s="494"/>
      <c r="F63" s="495"/>
      <c r="G63" s="478"/>
      <c r="H63" s="479"/>
      <c r="I63" s="479"/>
      <c r="J63" s="480"/>
      <c r="L63" s="439"/>
      <c r="M63" s="433"/>
      <c r="N63" s="433"/>
      <c r="O63" s="508"/>
      <c r="P63" s="509"/>
      <c r="Q63" s="6"/>
      <c r="R63" s="6"/>
      <c r="S63" s="508"/>
      <c r="T63" s="66"/>
      <c r="U63" s="470"/>
      <c r="V63" s="6"/>
      <c r="W63" s="6"/>
      <c r="X63" s="508"/>
      <c r="Y63" s="509"/>
      <c r="Z63" s="6"/>
      <c r="AA63" s="6"/>
      <c r="AB63" s="508"/>
      <c r="AC63" s="66"/>
      <c r="AD63" s="470"/>
      <c r="AE63" s="6"/>
      <c r="AF63" s="6"/>
      <c r="AG63" s="508"/>
      <c r="AH63" s="509"/>
      <c r="AI63" s="6"/>
      <c r="AJ63" s="6"/>
      <c r="AK63" s="508"/>
    </row>
    <row r="64" spans="1:37" ht="56.6" x14ac:dyDescent="0.35">
      <c r="A64" s="1477"/>
      <c r="B64" s="472">
        <v>2</v>
      </c>
      <c r="C64" s="496">
        <v>87</v>
      </c>
      <c r="D64" s="497"/>
      <c r="E64" s="497"/>
      <c r="F64" s="498">
        <v>41</v>
      </c>
      <c r="G64" s="537" t="s">
        <v>302</v>
      </c>
      <c r="H64" s="485"/>
      <c r="I64" s="485"/>
      <c r="J64" s="535" t="s">
        <v>301</v>
      </c>
      <c r="L64" s="440"/>
      <c r="M64" s="436"/>
      <c r="N64" s="436"/>
      <c r="O64" s="528">
        <v>36</v>
      </c>
      <c r="P64" s="529"/>
      <c r="Q64" s="530"/>
      <c r="R64" s="530"/>
      <c r="S64" s="536" t="s">
        <v>301</v>
      </c>
      <c r="T64" s="66"/>
      <c r="U64" s="531"/>
      <c r="V64" s="530"/>
      <c r="W64" s="530"/>
      <c r="X64" s="528">
        <v>44</v>
      </c>
      <c r="Y64" s="532"/>
      <c r="Z64" s="530"/>
      <c r="AA64" s="530"/>
      <c r="AB64" s="536" t="s">
        <v>301</v>
      </c>
      <c r="AC64" s="66"/>
      <c r="AD64" s="531"/>
      <c r="AE64" s="530"/>
      <c r="AF64" s="530"/>
      <c r="AG64" s="528">
        <v>43</v>
      </c>
      <c r="AH64" s="529"/>
      <c r="AI64" s="530"/>
      <c r="AJ64" s="530"/>
      <c r="AK64" s="536" t="s">
        <v>301</v>
      </c>
    </row>
    <row r="65" spans="1:33" x14ac:dyDescent="0.35">
      <c r="A65" s="423" t="s">
        <v>225</v>
      </c>
      <c r="C65" s="423">
        <f>SUM(C3:C64)</f>
        <v>332</v>
      </c>
      <c r="D65" s="423">
        <f>SUM(D3:D64)</f>
        <v>355</v>
      </c>
      <c r="E65" s="423">
        <f>SUM(E3:E64)</f>
        <v>157</v>
      </c>
      <c r="F65" s="423">
        <f>SUM(F3:F64)</f>
        <v>41</v>
      </c>
      <c r="L65" s="423">
        <f>SUM(L3:L64)</f>
        <v>2914</v>
      </c>
      <c r="M65" s="423">
        <f>SUM(M3:M64)</f>
        <v>535</v>
      </c>
      <c r="N65" s="423">
        <f>SUM(N3:N64)</f>
        <v>1929</v>
      </c>
      <c r="O65" s="423">
        <f>SUM(O3:O64)</f>
        <v>36</v>
      </c>
      <c r="U65" s="423">
        <f>SUM(U3:U64)</f>
        <v>563</v>
      </c>
      <c r="V65" s="423">
        <f>SUM(V3:V64)</f>
        <v>767</v>
      </c>
      <c r="W65" s="423">
        <f>SUM(W3:W64)</f>
        <v>299</v>
      </c>
      <c r="X65" s="423">
        <f>SUM(X3:X64)</f>
        <v>44</v>
      </c>
      <c r="AD65" s="423">
        <f>SUM(AD3:AD64)</f>
        <v>1953</v>
      </c>
      <c r="AE65" s="423">
        <f>SUM(AE3:AE64)</f>
        <v>495</v>
      </c>
      <c r="AF65" s="423">
        <f>SUM(AF3:AF64)</f>
        <v>55</v>
      </c>
      <c r="AG65" s="423">
        <f>SUM(AG3:AG64)</f>
        <v>43</v>
      </c>
    </row>
    <row r="73" spans="1:33" ht="14.6" thickBot="1" x14ac:dyDescent="0.4"/>
    <row r="74" spans="1:33" ht="14.6" thickBot="1" x14ac:dyDescent="0.4">
      <c r="C74" s="1467" t="s">
        <v>199</v>
      </c>
      <c r="D74" s="1468"/>
      <c r="E74" s="1469" t="s">
        <v>200</v>
      </c>
      <c r="F74" s="1470"/>
      <c r="G74" s="1467" t="s">
        <v>201</v>
      </c>
      <c r="H74" s="1468"/>
      <c r="I74" s="1467" t="s">
        <v>204</v>
      </c>
      <c r="J74" s="1468"/>
    </row>
    <row r="75" spans="1:33" ht="14.6" thickBot="1" x14ac:dyDescent="0.4">
      <c r="C75" s="455" t="s">
        <v>222</v>
      </c>
      <c r="D75" s="447" t="s">
        <v>223</v>
      </c>
      <c r="E75" s="459" t="s">
        <v>222</v>
      </c>
      <c r="F75" s="451" t="s">
        <v>223</v>
      </c>
      <c r="G75" s="455" t="s">
        <v>222</v>
      </c>
      <c r="H75" s="447" t="s">
        <v>223</v>
      </c>
      <c r="I75" s="455" t="s">
        <v>222</v>
      </c>
      <c r="J75" s="447" t="s">
        <v>223</v>
      </c>
    </row>
    <row r="76" spans="1:33" x14ac:dyDescent="0.35">
      <c r="B76" s="460" t="s">
        <v>218</v>
      </c>
      <c r="C76" s="456">
        <f>C65</f>
        <v>332</v>
      </c>
      <c r="D76" s="448">
        <f>C76/60</f>
        <v>5.5333333333333332</v>
      </c>
      <c r="E76" s="456">
        <f>D65</f>
        <v>355</v>
      </c>
      <c r="F76" s="452">
        <f>E76/60</f>
        <v>5.916666666666667</v>
      </c>
      <c r="G76" s="456">
        <f>E65</f>
        <v>157</v>
      </c>
      <c r="H76" s="448">
        <f>G76/60</f>
        <v>2.6166666666666667</v>
      </c>
      <c r="I76" s="456">
        <f>F65</f>
        <v>41</v>
      </c>
      <c r="J76" s="448">
        <f>I76/60</f>
        <v>0.68333333333333335</v>
      </c>
    </row>
    <row r="77" spans="1:33" x14ac:dyDescent="0.35">
      <c r="B77" s="460" t="s">
        <v>219</v>
      </c>
      <c r="C77" s="457">
        <f>L65</f>
        <v>2914</v>
      </c>
      <c r="D77" s="449">
        <f t="shared" ref="D77:F79" si="0">C77/60</f>
        <v>48.56666666666667</v>
      </c>
      <c r="E77" s="457">
        <f>M65</f>
        <v>535</v>
      </c>
      <c r="F77" s="453">
        <f t="shared" si="0"/>
        <v>8.9166666666666661</v>
      </c>
      <c r="G77" s="457">
        <f>N65</f>
        <v>1929</v>
      </c>
      <c r="H77" s="449">
        <f t="shared" ref="H77:J79" si="1">G77/60</f>
        <v>32.15</v>
      </c>
      <c r="I77" s="457">
        <f>O65</f>
        <v>36</v>
      </c>
      <c r="J77" s="449">
        <f t="shared" si="1"/>
        <v>0.6</v>
      </c>
    </row>
    <row r="78" spans="1:33" x14ac:dyDescent="0.35">
      <c r="B78" s="460" t="s">
        <v>220</v>
      </c>
      <c r="C78" s="457">
        <f>U65</f>
        <v>563</v>
      </c>
      <c r="D78" s="449">
        <f t="shared" si="0"/>
        <v>9.3833333333333329</v>
      </c>
      <c r="E78" s="457">
        <f>V65</f>
        <v>767</v>
      </c>
      <c r="F78" s="453">
        <f t="shared" si="0"/>
        <v>12.783333333333333</v>
      </c>
      <c r="G78" s="457">
        <f>W65</f>
        <v>299</v>
      </c>
      <c r="H78" s="449">
        <f t="shared" si="1"/>
        <v>4.9833333333333334</v>
      </c>
      <c r="I78" s="457">
        <f>X65</f>
        <v>44</v>
      </c>
      <c r="J78" s="449">
        <f t="shared" si="1"/>
        <v>0.73333333333333328</v>
      </c>
    </row>
    <row r="79" spans="1:33" ht="14.6" thickBot="1" x14ac:dyDescent="0.4">
      <c r="B79" s="460" t="s">
        <v>221</v>
      </c>
      <c r="C79" s="458">
        <f>AD65</f>
        <v>1953</v>
      </c>
      <c r="D79" s="450">
        <f t="shared" si="0"/>
        <v>32.549999999999997</v>
      </c>
      <c r="E79" s="458">
        <f>AE65</f>
        <v>495</v>
      </c>
      <c r="F79" s="454">
        <f t="shared" si="0"/>
        <v>8.25</v>
      </c>
      <c r="G79" s="458">
        <f>AF65</f>
        <v>55</v>
      </c>
      <c r="H79" s="450">
        <f t="shared" si="1"/>
        <v>0.91666666666666663</v>
      </c>
      <c r="I79" s="458">
        <f>AG65</f>
        <v>43</v>
      </c>
      <c r="J79" s="450">
        <f t="shared" si="1"/>
        <v>0.71666666666666667</v>
      </c>
    </row>
    <row r="80" spans="1:33" ht="14.6" thickBot="1" x14ac:dyDescent="0.4"/>
    <row r="81" spans="2:10" ht="14.6" thickBot="1" x14ac:dyDescent="0.4">
      <c r="B81" s="461" t="s">
        <v>217</v>
      </c>
      <c r="C81" s="462"/>
      <c r="D81" s="463">
        <f>SUM(D76:D80)</f>
        <v>96.033333333333331</v>
      </c>
      <c r="E81" s="462"/>
      <c r="F81" s="463">
        <f>SUM(F76:F80)</f>
        <v>35.866666666666667</v>
      </c>
      <c r="G81" s="462"/>
      <c r="H81" s="463">
        <f>SUM(H76:H80)</f>
        <v>40.666666666666664</v>
      </c>
      <c r="I81" s="462"/>
      <c r="J81" s="464">
        <f>SUM(J76:J80)</f>
        <v>2.7333333333333334</v>
      </c>
    </row>
  </sheetData>
  <mergeCells count="43">
    <mergeCell ref="I74:J74"/>
    <mergeCell ref="A59:A60"/>
    <mergeCell ref="A61:A62"/>
    <mergeCell ref="A63:A64"/>
    <mergeCell ref="C74:D74"/>
    <mergeCell ref="E74:F74"/>
    <mergeCell ref="G74:H74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D1:AG1"/>
    <mergeCell ref="AH1:AK1"/>
    <mergeCell ref="A3:A4"/>
    <mergeCell ref="A5:A6"/>
    <mergeCell ref="A7:A8"/>
    <mergeCell ref="U1:X1"/>
    <mergeCell ref="Y1:AB1"/>
    <mergeCell ref="A9:A10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81"/>
  <sheetViews>
    <sheetView zoomScale="70" zoomScaleNormal="70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G81" sqref="G81"/>
    </sheetView>
  </sheetViews>
  <sheetFormatPr defaultColWidth="8.84375" defaultRowHeight="14.15" x14ac:dyDescent="0.35"/>
  <cols>
    <col min="1" max="1" width="14.53515625" style="423" customWidth="1"/>
    <col min="2" max="2" width="15.69140625" style="65" customWidth="1"/>
    <col min="3" max="3" width="10.69140625" style="423" customWidth="1"/>
    <col min="4" max="5" width="10.3046875" style="423" customWidth="1"/>
    <col min="6" max="6" width="10.84375" style="423" customWidth="1"/>
    <col min="7" max="7" width="17.69140625" style="423" bestFit="1" customWidth="1"/>
    <col min="8" max="8" width="16.84375" style="423" customWidth="1"/>
    <col min="9" max="9" width="16.15234375" style="423" customWidth="1"/>
    <col min="10" max="10" width="17.3046875" style="423" bestFit="1" customWidth="1"/>
    <col min="11" max="11" width="8.84375" style="423"/>
    <col min="12" max="13" width="9.69140625" style="423" customWidth="1"/>
    <col min="14" max="15" width="9.84375" style="423" customWidth="1"/>
    <col min="16" max="16" width="16.84375" style="423" customWidth="1"/>
    <col min="17" max="17" width="17.3046875" style="423" customWidth="1"/>
    <col min="18" max="18" width="21.69140625" style="423" customWidth="1"/>
    <col min="19" max="19" width="15.3046875" style="423" bestFit="1" customWidth="1"/>
    <col min="20" max="21" width="8.84375" style="423"/>
    <col min="22" max="22" width="15.3828125" style="423" customWidth="1"/>
    <col min="23" max="23" width="8.84375" style="423"/>
    <col min="24" max="24" width="9.3828125" style="423" bestFit="1" customWidth="1"/>
    <col min="25" max="26" width="17.15234375" style="423" customWidth="1"/>
    <col min="27" max="27" width="16.69140625" style="423" customWidth="1"/>
    <col min="28" max="28" width="15.3046875" style="423" customWidth="1"/>
    <col min="29" max="33" width="8.84375" style="423"/>
    <col min="34" max="34" width="17.69140625" style="423" bestFit="1" customWidth="1"/>
    <col min="35" max="35" width="15" style="423" bestFit="1" customWidth="1"/>
    <col min="36" max="36" width="15.84375" style="423" customWidth="1"/>
    <col min="37" max="37" width="15.3046875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202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203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14.6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28.75" thickTop="1" x14ac:dyDescent="0.35">
      <c r="A3" s="1478">
        <v>44197</v>
      </c>
      <c r="B3" s="501">
        <v>1</v>
      </c>
      <c r="C3" s="490"/>
      <c r="D3" s="491"/>
      <c r="E3" s="491">
        <v>14</v>
      </c>
      <c r="F3" s="492"/>
      <c r="G3" s="478"/>
      <c r="H3" s="479"/>
      <c r="I3" s="515"/>
      <c r="J3" s="477"/>
      <c r="L3" s="441"/>
      <c r="M3" s="522">
        <v>47</v>
      </c>
      <c r="N3" s="442"/>
      <c r="O3" s="520"/>
      <c r="P3" s="521"/>
      <c r="Q3" s="538" t="s">
        <v>303</v>
      </c>
      <c r="R3" s="522"/>
      <c r="S3" s="520"/>
      <c r="T3" s="66"/>
      <c r="U3" s="507"/>
      <c r="V3" s="522"/>
      <c r="W3" s="522"/>
      <c r="X3" s="508"/>
      <c r="Y3" s="469"/>
      <c r="Z3" s="521"/>
      <c r="AA3" s="522"/>
      <c r="AB3" s="520"/>
      <c r="AC3" s="66"/>
      <c r="AD3" s="507"/>
      <c r="AE3" s="522"/>
      <c r="AF3" s="522"/>
      <c r="AG3" s="520"/>
      <c r="AH3" s="521"/>
      <c r="AI3" s="522"/>
      <c r="AJ3" s="522"/>
      <c r="AK3" s="520"/>
    </row>
    <row r="4" spans="1:37" ht="42.45" x14ac:dyDescent="0.35">
      <c r="A4" s="1477"/>
      <c r="B4" s="472">
        <v>2</v>
      </c>
      <c r="C4" s="493">
        <v>650</v>
      </c>
      <c r="D4" s="494"/>
      <c r="E4" s="494"/>
      <c r="F4" s="495"/>
      <c r="G4" s="481" t="s">
        <v>305</v>
      </c>
      <c r="H4" s="502"/>
      <c r="I4" s="479"/>
      <c r="J4" s="480"/>
      <c r="L4" s="439"/>
      <c r="M4" s="433"/>
      <c r="N4" s="433"/>
      <c r="O4" s="508"/>
      <c r="P4" s="509"/>
      <c r="Q4" s="6"/>
      <c r="R4" s="6"/>
      <c r="S4" s="508"/>
      <c r="T4" s="66"/>
      <c r="U4" s="470">
        <v>10</v>
      </c>
      <c r="V4" s="502"/>
      <c r="W4" s="6"/>
      <c r="X4" s="508"/>
      <c r="Y4" s="469"/>
      <c r="Z4" s="6"/>
      <c r="AA4" s="469"/>
      <c r="AB4" s="508"/>
      <c r="AC4" s="66"/>
      <c r="AD4" s="470"/>
      <c r="AE4" s="6"/>
      <c r="AF4" s="6">
        <v>6</v>
      </c>
      <c r="AG4" s="508"/>
      <c r="AH4" s="509"/>
      <c r="AI4" s="6"/>
      <c r="AJ4" s="6" t="s">
        <v>304</v>
      </c>
      <c r="AK4" s="508"/>
    </row>
    <row r="5" spans="1:37" x14ac:dyDescent="0.35">
      <c r="A5" s="1478">
        <v>44198</v>
      </c>
      <c r="B5" s="472">
        <v>1</v>
      </c>
      <c r="C5" s="493"/>
      <c r="D5" s="494"/>
      <c r="E5" s="494">
        <v>33</v>
      </c>
      <c r="F5" s="495"/>
      <c r="G5" s="478"/>
      <c r="H5" s="479"/>
      <c r="I5" s="479" t="s">
        <v>97</v>
      </c>
      <c r="J5" s="480"/>
      <c r="L5" s="439"/>
      <c r="M5" s="433"/>
      <c r="N5" s="433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469"/>
      <c r="AB5" s="508"/>
      <c r="AC5" s="66"/>
      <c r="AD5" s="470"/>
      <c r="AE5" s="6"/>
      <c r="AF5" s="6"/>
      <c r="AG5" s="508"/>
      <c r="AH5" s="509"/>
      <c r="AI5" s="6"/>
      <c r="AJ5" s="6"/>
      <c r="AK5" s="508"/>
    </row>
    <row r="6" spans="1:37" x14ac:dyDescent="0.35">
      <c r="A6" s="1477"/>
      <c r="B6" s="472">
        <v>2</v>
      </c>
      <c r="C6" s="493"/>
      <c r="D6" s="494"/>
      <c r="E6" s="494">
        <v>10</v>
      </c>
      <c r="F6" s="495"/>
      <c r="G6" s="478"/>
      <c r="H6" s="479"/>
      <c r="I6" s="479" t="s">
        <v>152</v>
      </c>
      <c r="J6" s="480"/>
      <c r="L6" s="439"/>
      <c r="M6" s="15"/>
      <c r="N6" s="433"/>
      <c r="O6" s="508"/>
      <c r="P6" s="509"/>
      <c r="Q6" s="502"/>
      <c r="R6" s="6"/>
      <c r="S6" s="508"/>
      <c r="T6" s="66"/>
      <c r="U6" s="470"/>
      <c r="V6" s="6"/>
      <c r="W6" s="6"/>
      <c r="X6" s="508"/>
      <c r="Y6" s="469"/>
      <c r="Z6" s="502"/>
      <c r="AA6" s="469"/>
      <c r="AB6" s="508"/>
      <c r="AC6" s="66"/>
      <c r="AD6" s="470"/>
      <c r="AE6" s="6"/>
      <c r="AF6" s="6">
        <v>10</v>
      </c>
      <c r="AG6" s="508"/>
      <c r="AH6" s="509"/>
      <c r="AI6" s="6"/>
      <c r="AJ6" s="502" t="s">
        <v>152</v>
      </c>
      <c r="AK6" s="508"/>
    </row>
    <row r="7" spans="1:37" x14ac:dyDescent="0.35">
      <c r="A7" s="1478">
        <v>44199</v>
      </c>
      <c r="B7" s="472">
        <v>1</v>
      </c>
      <c r="C7" s="493"/>
      <c r="D7" s="494"/>
      <c r="E7" s="494"/>
      <c r="F7" s="495"/>
      <c r="G7" s="478"/>
      <c r="H7" s="483"/>
      <c r="I7" s="479"/>
      <c r="J7" s="480"/>
      <c r="L7" s="470"/>
      <c r="M7" s="509"/>
      <c r="N7" s="433"/>
      <c r="O7" s="508"/>
      <c r="P7" s="509"/>
      <c r="Q7" s="509"/>
      <c r="R7" s="6"/>
      <c r="S7" s="508"/>
      <c r="T7" s="66"/>
      <c r="U7" s="470"/>
      <c r="V7" s="524"/>
      <c r="W7" s="6">
        <v>10</v>
      </c>
      <c r="X7" s="508"/>
      <c r="Y7" s="509"/>
      <c r="Z7" s="6"/>
      <c r="AA7" s="6" t="s">
        <v>152</v>
      </c>
      <c r="AB7" s="508"/>
      <c r="AC7" s="66"/>
      <c r="AD7" s="470"/>
      <c r="AE7" s="6"/>
      <c r="AF7" s="6"/>
      <c r="AG7" s="508"/>
      <c r="AH7" s="509"/>
      <c r="AI7" s="6"/>
      <c r="AJ7" s="6"/>
      <c r="AK7" s="508"/>
    </row>
    <row r="8" spans="1:37" ht="42.45" x14ac:dyDescent="0.35">
      <c r="A8" s="1477"/>
      <c r="B8" s="472">
        <v>2</v>
      </c>
      <c r="C8" s="493">
        <v>91</v>
      </c>
      <c r="D8" s="494">
        <v>82</v>
      </c>
      <c r="E8" s="494"/>
      <c r="F8" s="495"/>
      <c r="G8" s="481" t="s">
        <v>306</v>
      </c>
      <c r="H8" s="483" t="s">
        <v>307</v>
      </c>
      <c r="I8" s="513"/>
      <c r="J8" s="480"/>
      <c r="L8" s="470"/>
      <c r="M8" s="6"/>
      <c r="N8" s="6"/>
      <c r="O8" s="508"/>
      <c r="P8" s="469"/>
      <c r="Q8" s="6"/>
      <c r="R8" s="502"/>
      <c r="S8" s="508"/>
      <c r="T8" s="66"/>
      <c r="U8" s="470"/>
      <c r="V8" s="525"/>
      <c r="W8" s="509">
        <v>4</v>
      </c>
      <c r="X8" s="508"/>
      <c r="Y8" s="469"/>
      <c r="Z8" s="6"/>
      <c r="AA8" s="469" t="s">
        <v>304</v>
      </c>
      <c r="AB8" s="508"/>
      <c r="AC8" s="66"/>
      <c r="AD8" s="470"/>
      <c r="AE8" s="6"/>
      <c r="AF8" s="6"/>
      <c r="AG8" s="508"/>
      <c r="AH8" s="509"/>
      <c r="AI8" s="6"/>
      <c r="AJ8" s="6"/>
      <c r="AK8" s="508"/>
    </row>
    <row r="9" spans="1:37" x14ac:dyDescent="0.35">
      <c r="A9" s="1478">
        <v>44200</v>
      </c>
      <c r="B9" s="472">
        <v>1</v>
      </c>
      <c r="C9" s="493"/>
      <c r="D9" s="494"/>
      <c r="E9" s="494"/>
      <c r="F9" s="495"/>
      <c r="G9" s="478"/>
      <c r="H9" s="479"/>
      <c r="I9" s="514"/>
      <c r="J9" s="480"/>
      <c r="L9" s="470"/>
      <c r="M9" s="6"/>
      <c r="N9" s="6"/>
      <c r="O9" s="508"/>
      <c r="P9" s="469"/>
      <c r="Q9" s="6"/>
      <c r="R9" s="502"/>
      <c r="S9" s="508"/>
      <c r="T9" s="66"/>
      <c r="U9" s="470"/>
      <c r="V9" s="6"/>
      <c r="W9" s="6">
        <v>3</v>
      </c>
      <c r="X9" s="508"/>
      <c r="Y9" s="509"/>
      <c r="Z9" s="6"/>
      <c r="AA9" s="6" t="s">
        <v>152</v>
      </c>
      <c r="AB9" s="508"/>
      <c r="AC9" s="66"/>
      <c r="AD9" s="470"/>
      <c r="AE9" s="6"/>
      <c r="AF9" s="6"/>
      <c r="AG9" s="508"/>
      <c r="AH9" s="509"/>
      <c r="AI9" s="6"/>
      <c r="AJ9" s="6"/>
      <c r="AK9" s="508"/>
    </row>
    <row r="10" spans="1:37" x14ac:dyDescent="0.35">
      <c r="A10" s="1477"/>
      <c r="B10" s="472">
        <v>2</v>
      </c>
      <c r="C10" s="493"/>
      <c r="D10" s="494"/>
      <c r="E10" s="494"/>
      <c r="F10" s="495"/>
      <c r="G10" s="478"/>
      <c r="H10" s="479"/>
      <c r="I10" s="514"/>
      <c r="J10" s="480"/>
      <c r="L10" s="470"/>
      <c r="M10" s="6"/>
      <c r="N10" s="6"/>
      <c r="O10" s="508"/>
      <c r="P10" s="469"/>
      <c r="Q10" s="6"/>
      <c r="R10" s="502"/>
      <c r="S10" s="508"/>
      <c r="T10" s="66"/>
      <c r="U10" s="470"/>
      <c r="V10" s="6"/>
      <c r="W10" s="6"/>
      <c r="X10" s="508"/>
      <c r="Y10" s="469"/>
      <c r="Z10" s="6"/>
      <c r="AA10" s="6"/>
      <c r="AB10" s="508"/>
      <c r="AC10" s="66"/>
      <c r="AD10" s="470">
        <v>70</v>
      </c>
      <c r="AE10" s="6"/>
      <c r="AF10" s="6"/>
      <c r="AG10" s="508"/>
      <c r="AH10" s="509" t="s">
        <v>113</v>
      </c>
      <c r="AI10" s="6"/>
      <c r="AJ10" s="6"/>
      <c r="AK10" s="508"/>
    </row>
    <row r="11" spans="1:37" x14ac:dyDescent="0.35">
      <c r="A11" s="1478">
        <v>44201</v>
      </c>
      <c r="B11" s="472">
        <v>1</v>
      </c>
      <c r="C11" s="493"/>
      <c r="D11" s="494"/>
      <c r="E11" s="494"/>
      <c r="F11" s="495"/>
      <c r="G11" s="478"/>
      <c r="H11" s="479"/>
      <c r="I11" s="479"/>
      <c r="J11" s="480"/>
      <c r="L11" s="470"/>
      <c r="M11" s="433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</row>
    <row r="12" spans="1:37" x14ac:dyDescent="0.35">
      <c r="A12" s="1477"/>
      <c r="B12" s="472">
        <v>2</v>
      </c>
      <c r="C12" s="493"/>
      <c r="D12" s="494"/>
      <c r="E12" s="494">
        <v>45</v>
      </c>
      <c r="F12" s="495"/>
      <c r="G12" s="478"/>
      <c r="H12" s="479"/>
      <c r="I12" s="515" t="s">
        <v>97</v>
      </c>
      <c r="J12" s="480"/>
      <c r="L12" s="470"/>
      <c r="M12" s="433"/>
      <c r="N12" s="6"/>
      <c r="O12" s="508"/>
      <c r="P12" s="469"/>
      <c r="Q12" s="6"/>
      <c r="R12" s="502"/>
      <c r="S12" s="508"/>
      <c r="T12" s="66"/>
      <c r="U12" s="470"/>
      <c r="V12" s="6"/>
      <c r="W12" s="6"/>
      <c r="X12" s="508"/>
      <c r="Y12" s="509"/>
      <c r="Z12" s="6"/>
      <c r="AA12" s="6"/>
      <c r="AB12" s="508"/>
      <c r="AC12" s="66"/>
      <c r="AD12" s="470"/>
      <c r="AE12" s="6"/>
      <c r="AF12" s="6">
        <v>5</v>
      </c>
      <c r="AG12" s="508"/>
      <c r="AH12" s="509"/>
      <c r="AI12" s="6"/>
      <c r="AJ12" s="6" t="s">
        <v>304</v>
      </c>
      <c r="AK12" s="508"/>
    </row>
    <row r="13" spans="1:37" x14ac:dyDescent="0.35">
      <c r="A13" s="1478">
        <v>44202</v>
      </c>
      <c r="B13" s="472">
        <v>1</v>
      </c>
      <c r="C13" s="493"/>
      <c r="D13" s="494"/>
      <c r="E13" s="494"/>
      <c r="F13" s="495"/>
      <c r="G13" s="478"/>
      <c r="H13" s="479"/>
      <c r="I13" s="515"/>
      <c r="J13" s="480"/>
      <c r="L13" s="516"/>
      <c r="M13" s="15"/>
      <c r="N13" s="15"/>
      <c r="O13" s="508"/>
      <c r="P13" s="469"/>
      <c r="Q13" s="6"/>
      <c r="R13" s="502"/>
      <c r="S13" s="508"/>
      <c r="T13" s="66"/>
      <c r="U13" s="470"/>
      <c r="V13" s="6"/>
      <c r="W13" s="6"/>
      <c r="X13" s="508"/>
      <c r="Y13" s="509"/>
      <c r="Z13" s="6"/>
      <c r="AA13" s="502"/>
      <c r="AB13" s="526"/>
      <c r="AC13" s="66"/>
      <c r="AD13" s="470"/>
      <c r="AE13" s="6"/>
      <c r="AF13" s="6"/>
      <c r="AG13" s="508"/>
      <c r="AH13" s="509"/>
      <c r="AI13" s="6"/>
      <c r="AJ13" s="6"/>
      <c r="AK13" s="508"/>
    </row>
    <row r="14" spans="1:37" x14ac:dyDescent="0.35">
      <c r="A14" s="1477"/>
      <c r="B14" s="472">
        <v>2</v>
      </c>
      <c r="C14" s="493">
        <v>348</v>
      </c>
      <c r="D14" s="494"/>
      <c r="E14" s="494"/>
      <c r="F14" s="495"/>
      <c r="G14" s="478" t="s">
        <v>308</v>
      </c>
      <c r="H14" s="479"/>
      <c r="I14" s="479"/>
      <c r="J14" s="480"/>
      <c r="L14" s="439"/>
      <c r="M14" s="433"/>
      <c r="N14" s="433"/>
      <c r="O14" s="508"/>
      <c r="P14" s="509"/>
      <c r="Q14" s="6"/>
      <c r="R14" s="6"/>
      <c r="S14" s="508"/>
      <c r="T14" s="66"/>
      <c r="U14" s="470"/>
      <c r="V14" s="6"/>
      <c r="W14" s="6"/>
      <c r="X14" s="508"/>
      <c r="Y14" s="509"/>
      <c r="Z14" s="6"/>
      <c r="AA14" s="6"/>
      <c r="AB14" s="508"/>
      <c r="AC14" s="66"/>
      <c r="AD14" s="470"/>
      <c r="AE14" s="6"/>
      <c r="AF14" s="6"/>
      <c r="AG14" s="508"/>
      <c r="AH14" s="469"/>
      <c r="AI14" s="6"/>
      <c r="AJ14" s="6"/>
      <c r="AK14" s="508"/>
    </row>
    <row r="15" spans="1:37" ht="28.3" x14ac:dyDescent="0.35">
      <c r="A15" s="1478">
        <v>44203</v>
      </c>
      <c r="B15" s="472">
        <v>1</v>
      </c>
      <c r="C15" s="493"/>
      <c r="D15" s="494"/>
      <c r="E15" s="6">
        <v>35</v>
      </c>
      <c r="F15" s="495"/>
      <c r="G15" s="478"/>
      <c r="H15" s="483"/>
      <c r="I15" s="515" t="s">
        <v>309</v>
      </c>
      <c r="J15" s="480"/>
      <c r="L15" s="439"/>
      <c r="M15" s="6"/>
      <c r="N15" s="433"/>
      <c r="O15" s="508"/>
      <c r="P15" s="470"/>
      <c r="Q15" s="483"/>
      <c r="R15" s="6"/>
      <c r="S15" s="508"/>
      <c r="T15" s="66"/>
      <c r="U15" s="470"/>
      <c r="V15" s="6"/>
      <c r="W15" s="6"/>
      <c r="X15" s="508"/>
      <c r="Y15" s="470"/>
      <c r="Z15" s="483"/>
      <c r="AA15" s="6"/>
      <c r="AB15" s="508"/>
      <c r="AC15" s="66"/>
      <c r="AD15" s="470"/>
      <c r="AE15" s="6"/>
      <c r="AF15" s="6"/>
      <c r="AG15" s="508"/>
      <c r="AH15" s="470"/>
      <c r="AI15" s="483"/>
      <c r="AJ15" s="502"/>
      <c r="AK15" s="508"/>
    </row>
    <row r="16" spans="1:37" x14ac:dyDescent="0.35">
      <c r="A16" s="1477"/>
      <c r="B16" s="472">
        <v>2</v>
      </c>
      <c r="C16" s="493"/>
      <c r="D16" s="494">
        <v>6</v>
      </c>
      <c r="E16" s="494"/>
      <c r="F16" s="495"/>
      <c r="G16" s="478"/>
      <c r="H16" s="479" t="s">
        <v>310</v>
      </c>
      <c r="I16" s="479"/>
      <c r="J16" s="480"/>
      <c r="L16" s="439"/>
      <c r="M16" s="433"/>
      <c r="N16" s="433"/>
      <c r="O16" s="508"/>
      <c r="P16" s="470"/>
      <c r="Q16" s="6"/>
      <c r="R16" s="6"/>
      <c r="S16" s="508"/>
      <c r="T16" s="66"/>
      <c r="U16" s="470"/>
      <c r="V16" s="6">
        <v>6</v>
      </c>
      <c r="W16" s="6">
        <v>10</v>
      </c>
      <c r="X16" s="508"/>
      <c r="Y16" s="479"/>
      <c r="Z16" s="479" t="s">
        <v>310</v>
      </c>
      <c r="AA16" s="6" t="s">
        <v>152</v>
      </c>
      <c r="AB16" s="508"/>
      <c r="AC16" s="66"/>
      <c r="AD16" s="470"/>
      <c r="AE16" s="6">
        <v>6</v>
      </c>
      <c r="AF16" s="6"/>
      <c r="AG16" s="508"/>
      <c r="AH16" s="470"/>
      <c r="AI16" s="6" t="s">
        <v>310</v>
      </c>
      <c r="AJ16" s="6"/>
      <c r="AK16" s="508"/>
    </row>
    <row r="17" spans="1:37" x14ac:dyDescent="0.35">
      <c r="A17" s="1478">
        <v>44204</v>
      </c>
      <c r="B17" s="472">
        <v>1</v>
      </c>
      <c r="C17" s="493"/>
      <c r="D17" s="494"/>
      <c r="E17" s="494">
        <v>46</v>
      </c>
      <c r="F17" s="495"/>
      <c r="G17" s="478"/>
      <c r="H17" s="479"/>
      <c r="I17" s="479" t="s">
        <v>152</v>
      </c>
      <c r="J17" s="480"/>
      <c r="L17" s="516">
        <v>57</v>
      </c>
      <c r="M17" s="433"/>
      <c r="N17" s="433"/>
      <c r="O17" s="508"/>
      <c r="P17" s="470" t="s">
        <v>113</v>
      </c>
      <c r="Q17" s="6"/>
      <c r="R17" s="6"/>
      <c r="S17" s="508"/>
      <c r="T17" s="66"/>
      <c r="U17" s="470"/>
      <c r="V17" s="6"/>
      <c r="W17" s="6">
        <v>10</v>
      </c>
      <c r="X17" s="508"/>
      <c r="Y17" s="470"/>
      <c r="Z17" s="6"/>
      <c r="AA17" s="6" t="s">
        <v>152</v>
      </c>
      <c r="AB17" s="508"/>
      <c r="AC17" s="66"/>
      <c r="AD17" s="470"/>
      <c r="AE17" s="6"/>
      <c r="AF17" s="6"/>
      <c r="AG17" s="508"/>
      <c r="AH17" s="470"/>
      <c r="AI17" s="6"/>
      <c r="AJ17" s="502"/>
      <c r="AK17" s="508"/>
    </row>
    <row r="18" spans="1:37" x14ac:dyDescent="0.35">
      <c r="A18" s="1477"/>
      <c r="B18" s="472">
        <v>2</v>
      </c>
      <c r="C18" s="493"/>
      <c r="D18" s="494"/>
      <c r="E18" s="494">
        <v>5</v>
      </c>
      <c r="F18" s="495"/>
      <c r="G18" s="478"/>
      <c r="H18" s="483"/>
      <c r="I18" s="479" t="s">
        <v>152</v>
      </c>
      <c r="J18" s="480"/>
      <c r="L18" s="439"/>
      <c r="M18" s="433"/>
      <c r="N18" s="433"/>
      <c r="O18" s="508"/>
      <c r="P18" s="470"/>
      <c r="Q18" s="6"/>
      <c r="R18" s="6"/>
      <c r="S18" s="508"/>
      <c r="T18" s="66"/>
      <c r="U18" s="470"/>
      <c r="V18" s="6"/>
      <c r="W18" s="6">
        <v>21</v>
      </c>
      <c r="X18" s="508"/>
      <c r="Y18" s="470"/>
      <c r="Z18" s="6"/>
      <c r="AA18" s="6" t="s">
        <v>152</v>
      </c>
      <c r="AB18" s="508"/>
      <c r="AC18" s="66"/>
      <c r="AD18" s="470"/>
      <c r="AE18" s="6"/>
      <c r="AF18" s="6">
        <v>9</v>
      </c>
      <c r="AG18" s="508"/>
      <c r="AH18" s="470"/>
      <c r="AI18" s="6"/>
      <c r="AJ18" s="502" t="s">
        <v>152</v>
      </c>
      <c r="AK18" s="508"/>
    </row>
    <row r="19" spans="1:37" ht="44.25" customHeight="1" x14ac:dyDescent="0.35">
      <c r="A19" s="1478">
        <v>44205</v>
      </c>
      <c r="B19" s="472">
        <v>1</v>
      </c>
      <c r="D19" s="494"/>
      <c r="E19" s="494"/>
      <c r="F19" s="495"/>
      <c r="G19" s="478"/>
      <c r="H19" s="479"/>
      <c r="I19" s="479"/>
      <c r="J19" s="480"/>
      <c r="L19" s="439"/>
      <c r="M19" s="433"/>
      <c r="N19" s="433"/>
      <c r="O19" s="508"/>
      <c r="P19" s="470"/>
      <c r="Q19" s="6"/>
      <c r="R19" s="6"/>
      <c r="S19" s="508"/>
      <c r="T19" s="66"/>
      <c r="U19" s="470"/>
      <c r="V19" s="6">
        <v>125</v>
      </c>
      <c r="W19" s="6"/>
      <c r="X19" s="508"/>
      <c r="Y19" s="470"/>
      <c r="Z19" s="502" t="s">
        <v>311</v>
      </c>
      <c r="AA19" s="6"/>
      <c r="AB19" s="508"/>
      <c r="AC19" s="66"/>
      <c r="AD19" s="470"/>
      <c r="AE19" s="6"/>
      <c r="AF19" s="6"/>
      <c r="AG19" s="508"/>
      <c r="AH19" s="470"/>
      <c r="AI19" s="6"/>
      <c r="AJ19" s="502"/>
      <c r="AK19" s="508"/>
    </row>
    <row r="20" spans="1:37" ht="75" customHeight="1" x14ac:dyDescent="0.35">
      <c r="A20" s="1477"/>
      <c r="B20" s="472">
        <v>2</v>
      </c>
      <c r="C20" s="493"/>
      <c r="D20" s="494">
        <v>15</v>
      </c>
      <c r="E20" s="494"/>
      <c r="F20" s="495"/>
      <c r="G20" s="478"/>
      <c r="H20" s="515" t="s">
        <v>312</v>
      </c>
      <c r="I20" s="479"/>
      <c r="J20" s="480"/>
      <c r="L20" s="439"/>
      <c r="M20" s="433"/>
      <c r="N20" s="433"/>
      <c r="O20" s="508"/>
      <c r="P20" s="470"/>
      <c r="Q20" s="6"/>
      <c r="R20" s="6"/>
      <c r="S20" s="508"/>
      <c r="T20" s="66"/>
      <c r="U20" s="470"/>
      <c r="V20" s="214">
        <f>10+59</f>
        <v>69</v>
      </c>
      <c r="W20" s="6"/>
      <c r="X20" s="508"/>
      <c r="Y20" s="470"/>
      <c r="Z20" s="502" t="s">
        <v>314</v>
      </c>
      <c r="AA20" s="6"/>
      <c r="AB20" s="508"/>
      <c r="AC20" s="66"/>
      <c r="AD20" s="470"/>
      <c r="AE20" s="6"/>
      <c r="AF20" s="6"/>
      <c r="AG20" s="508"/>
      <c r="AH20" s="470"/>
      <c r="AI20" s="6"/>
      <c r="AJ20" s="6"/>
      <c r="AK20" s="508"/>
    </row>
    <row r="21" spans="1:37" ht="52.5" customHeight="1" x14ac:dyDescent="0.35">
      <c r="A21" s="1478">
        <v>44206</v>
      </c>
      <c r="B21" s="472">
        <v>1</v>
      </c>
      <c r="C21" s="493">
        <v>495</v>
      </c>
      <c r="D21" s="494"/>
      <c r="E21" s="494"/>
      <c r="F21" s="495"/>
      <c r="G21" s="1485" t="s">
        <v>313</v>
      </c>
      <c r="H21" s="479"/>
      <c r="I21" s="479"/>
      <c r="J21" s="480"/>
      <c r="L21" s="439"/>
      <c r="M21" s="433"/>
      <c r="N21" s="433"/>
      <c r="O21" s="508"/>
      <c r="P21" s="470"/>
      <c r="Q21" s="6"/>
      <c r="R21" s="6"/>
      <c r="S21" s="508"/>
      <c r="T21" s="66"/>
      <c r="U21" s="470"/>
      <c r="V21" s="6"/>
      <c r="W21" s="6"/>
      <c r="X21" s="508"/>
      <c r="Y21" s="470"/>
      <c r="Z21" s="6"/>
      <c r="AA21" s="6"/>
      <c r="AB21" s="508"/>
      <c r="AC21" s="66"/>
      <c r="AD21" s="470"/>
      <c r="AE21" s="6"/>
      <c r="AF21" s="6"/>
      <c r="AG21" s="508"/>
      <c r="AH21" s="470"/>
      <c r="AI21" s="6"/>
      <c r="AJ21" s="6"/>
      <c r="AK21" s="508"/>
    </row>
    <row r="22" spans="1:37" ht="20.25" customHeight="1" x14ac:dyDescent="0.35">
      <c r="A22" s="1477"/>
      <c r="B22" s="472">
        <v>2</v>
      </c>
      <c r="C22" s="493">
        <v>172</v>
      </c>
      <c r="D22" s="494"/>
      <c r="E22" s="494"/>
      <c r="F22" s="495"/>
      <c r="G22" s="1486"/>
      <c r="H22" s="479"/>
      <c r="I22" s="515"/>
      <c r="J22" s="480"/>
      <c r="L22" s="470"/>
      <c r="M22" s="433"/>
      <c r="N22" s="433"/>
      <c r="O22" s="508"/>
      <c r="P22" s="469"/>
      <c r="Q22" s="6"/>
      <c r="R22" s="6"/>
      <c r="S22" s="508"/>
      <c r="T22" s="66"/>
      <c r="U22" s="470"/>
      <c r="V22" s="6"/>
      <c r="W22" s="6"/>
      <c r="X22" s="508"/>
      <c r="Y22" s="470"/>
      <c r="Z22" s="6"/>
      <c r="AA22" s="502"/>
      <c r="AB22" s="508"/>
      <c r="AC22" s="66"/>
      <c r="AD22" s="470"/>
      <c r="AE22" s="6"/>
      <c r="AF22" s="6"/>
      <c r="AG22" s="508"/>
      <c r="AH22" s="470"/>
      <c r="AI22" s="6"/>
      <c r="AJ22" s="6"/>
      <c r="AK22" s="508"/>
    </row>
    <row r="23" spans="1:37" x14ac:dyDescent="0.35">
      <c r="A23" s="1478">
        <v>44207</v>
      </c>
      <c r="B23" s="534">
        <v>1</v>
      </c>
      <c r="C23" s="493"/>
      <c r="D23" s="494"/>
      <c r="E23" s="494"/>
      <c r="F23" s="495"/>
      <c r="G23" s="478"/>
      <c r="H23" s="479"/>
      <c r="I23" s="514"/>
      <c r="J23" s="480"/>
      <c r="L23" s="439"/>
      <c r="M23" s="433"/>
      <c r="N23" s="433"/>
      <c r="O23" s="508"/>
      <c r="P23" s="470"/>
      <c r="Q23" s="6"/>
      <c r="R23" s="6"/>
      <c r="S23" s="508"/>
      <c r="T23" s="66"/>
      <c r="U23" s="470"/>
      <c r="V23" s="6"/>
      <c r="W23" s="6"/>
      <c r="X23" s="508"/>
      <c r="Y23" s="470"/>
      <c r="Z23" s="6"/>
      <c r="AA23" s="6"/>
      <c r="AB23" s="508"/>
      <c r="AC23" s="66"/>
      <c r="AD23" s="470"/>
      <c r="AE23" s="6"/>
      <c r="AF23" s="6"/>
      <c r="AG23" s="508"/>
      <c r="AH23" s="465"/>
      <c r="AI23" s="6"/>
      <c r="AJ23" s="6"/>
      <c r="AK23" s="508"/>
    </row>
    <row r="24" spans="1:37" x14ac:dyDescent="0.35">
      <c r="A24" s="1477"/>
      <c r="B24" s="472">
        <v>2</v>
      </c>
      <c r="C24" s="493"/>
      <c r="D24" s="494"/>
      <c r="E24" s="494"/>
      <c r="F24" s="495"/>
      <c r="G24" s="478"/>
      <c r="H24" s="479"/>
      <c r="I24" s="515"/>
      <c r="J24" s="480"/>
      <c r="L24" s="439"/>
      <c r="M24" s="433"/>
      <c r="N24" s="433"/>
      <c r="O24" s="508"/>
      <c r="P24" s="470"/>
      <c r="Q24" s="6"/>
      <c r="R24" s="6"/>
      <c r="S24" s="508"/>
      <c r="T24" s="66"/>
      <c r="U24" s="470"/>
      <c r="V24" s="6"/>
      <c r="W24" s="6"/>
      <c r="X24" s="508"/>
      <c r="Y24" s="470"/>
      <c r="Z24" s="6"/>
      <c r="AA24" s="6"/>
      <c r="AB24" s="508"/>
      <c r="AC24" s="66"/>
      <c r="AD24" s="470"/>
      <c r="AE24" s="6"/>
      <c r="AF24" s="6"/>
      <c r="AG24" s="508"/>
      <c r="AH24" s="470"/>
      <c r="AI24" s="6"/>
      <c r="AJ24" s="6"/>
      <c r="AK24" s="508"/>
    </row>
    <row r="25" spans="1:37" ht="30" customHeight="1" x14ac:dyDescent="0.35">
      <c r="A25" s="1478">
        <v>44208</v>
      </c>
      <c r="B25" s="472">
        <v>1</v>
      </c>
      <c r="C25" s="493"/>
      <c r="D25" s="494"/>
      <c r="E25" s="494"/>
      <c r="F25" s="495"/>
      <c r="G25" s="478"/>
      <c r="H25" s="479"/>
      <c r="I25" s="479"/>
      <c r="J25" s="480"/>
      <c r="L25" s="439"/>
      <c r="M25" s="433"/>
      <c r="N25" s="433"/>
      <c r="O25" s="508"/>
      <c r="P25" s="470"/>
      <c r="Q25" s="6"/>
      <c r="R25" s="6"/>
      <c r="S25" s="508"/>
      <c r="T25" s="66"/>
      <c r="U25" s="470"/>
      <c r="V25" s="6"/>
      <c r="W25" s="6"/>
      <c r="X25" s="508"/>
      <c r="Y25" s="470"/>
      <c r="Z25" s="6"/>
      <c r="AA25" s="6"/>
      <c r="AB25" s="508"/>
      <c r="AC25" s="66"/>
      <c r="AD25" s="470">
        <v>88</v>
      </c>
      <c r="AE25" s="6"/>
      <c r="AF25" s="6"/>
      <c r="AG25" s="508"/>
      <c r="AH25" s="1487" t="s">
        <v>315</v>
      </c>
      <c r="AI25" s="6"/>
      <c r="AJ25" s="6"/>
      <c r="AK25" s="508"/>
    </row>
    <row r="26" spans="1:37" x14ac:dyDescent="0.35">
      <c r="A26" s="1477"/>
      <c r="B26" s="472">
        <v>2</v>
      </c>
      <c r="C26" s="493"/>
      <c r="D26" s="494"/>
      <c r="E26" s="494"/>
      <c r="F26" s="495"/>
      <c r="G26" s="478"/>
      <c r="H26" s="479"/>
      <c r="I26" s="479"/>
      <c r="J26" s="480"/>
      <c r="L26" s="439"/>
      <c r="M26" s="433"/>
      <c r="N26" s="433"/>
      <c r="O26" s="508"/>
      <c r="P26" s="470"/>
      <c r="Q26" s="6"/>
      <c r="R26" s="6"/>
      <c r="S26" s="508"/>
      <c r="T26" s="66"/>
      <c r="U26" s="470"/>
      <c r="V26" s="6"/>
      <c r="W26" s="6"/>
      <c r="X26" s="508"/>
      <c r="Y26" s="470"/>
      <c r="Z26" s="6"/>
      <c r="AA26" s="6"/>
      <c r="AB26" s="508"/>
      <c r="AC26" s="66"/>
      <c r="AD26" s="470">
        <v>35</v>
      </c>
      <c r="AE26" s="6"/>
      <c r="AF26" s="6"/>
      <c r="AG26" s="508"/>
      <c r="AH26" s="1488"/>
      <c r="AI26" s="6"/>
      <c r="AJ26" s="6"/>
      <c r="AK26" s="508"/>
    </row>
    <row r="27" spans="1:37" x14ac:dyDescent="0.35">
      <c r="A27" s="1478">
        <v>44209</v>
      </c>
      <c r="B27" s="533">
        <v>1</v>
      </c>
      <c r="C27" s="493"/>
      <c r="D27" s="494"/>
      <c r="E27" s="494"/>
      <c r="F27" s="495"/>
      <c r="G27" s="478"/>
      <c r="H27" s="479"/>
      <c r="I27" s="483"/>
      <c r="J27" s="480"/>
      <c r="L27" s="439"/>
      <c r="M27" s="433"/>
      <c r="N27" s="6"/>
      <c r="O27" s="508"/>
      <c r="P27" s="470"/>
      <c r="Q27" s="6"/>
      <c r="R27" s="502"/>
      <c r="S27" s="508"/>
      <c r="T27" s="66"/>
      <c r="U27" s="470"/>
      <c r="V27" s="6"/>
      <c r="W27" s="6"/>
      <c r="X27" s="508"/>
      <c r="Y27" s="509"/>
      <c r="Z27" s="6"/>
      <c r="AA27" s="6"/>
      <c r="AB27" s="508"/>
      <c r="AC27" s="66"/>
      <c r="AD27" s="470"/>
      <c r="AE27" s="6"/>
      <c r="AF27" s="6"/>
      <c r="AG27" s="508"/>
      <c r="AH27" s="465"/>
      <c r="AI27" s="6"/>
      <c r="AJ27" s="6"/>
      <c r="AK27" s="508"/>
    </row>
    <row r="28" spans="1:37" x14ac:dyDescent="0.35">
      <c r="A28" s="1477"/>
      <c r="B28" s="472">
        <v>2</v>
      </c>
      <c r="C28" s="493"/>
      <c r="D28" s="494"/>
      <c r="E28" s="494"/>
      <c r="F28" s="495"/>
      <c r="G28" s="478"/>
      <c r="H28" s="479"/>
      <c r="I28" s="479"/>
      <c r="J28" s="480"/>
      <c r="L28" s="439"/>
      <c r="M28" s="433"/>
      <c r="N28" s="6"/>
      <c r="O28" s="508"/>
      <c r="P28" s="509"/>
      <c r="Q28" s="6"/>
      <c r="R28" s="502"/>
      <c r="S28" s="508"/>
      <c r="T28" s="66"/>
      <c r="U28" s="470"/>
      <c r="V28" s="6"/>
      <c r="W28" s="6"/>
      <c r="X28" s="508"/>
      <c r="Y28" s="509"/>
      <c r="Z28" s="6"/>
      <c r="AA28" s="6"/>
      <c r="AB28" s="508"/>
      <c r="AC28" s="66"/>
      <c r="AD28" s="470"/>
      <c r="AE28" s="6"/>
      <c r="AF28" s="6"/>
      <c r="AG28" s="508"/>
      <c r="AH28" s="509"/>
      <c r="AI28" s="6"/>
      <c r="AJ28" s="6"/>
      <c r="AK28" s="508"/>
    </row>
    <row r="29" spans="1:37" x14ac:dyDescent="0.35">
      <c r="A29" s="1478">
        <v>44210</v>
      </c>
      <c r="B29" s="472">
        <v>1</v>
      </c>
      <c r="C29" s="493"/>
      <c r="D29" s="494"/>
      <c r="E29" s="494"/>
      <c r="F29" s="495"/>
      <c r="G29" s="478"/>
      <c r="H29" s="479"/>
      <c r="I29" s="479"/>
      <c r="J29" s="480"/>
      <c r="L29" s="439"/>
      <c r="M29" s="433"/>
      <c r="N29" s="6"/>
      <c r="O29" s="508"/>
      <c r="P29" s="509"/>
      <c r="Q29" s="6"/>
      <c r="R29" s="502"/>
      <c r="S29" s="508"/>
      <c r="T29" s="66"/>
      <c r="U29" s="470"/>
      <c r="V29" s="6"/>
      <c r="W29" s="6"/>
      <c r="X29" s="508"/>
      <c r="Y29" s="509"/>
      <c r="Z29" s="6"/>
      <c r="AA29" s="6"/>
      <c r="AB29" s="508"/>
      <c r="AC29" s="66"/>
      <c r="AD29" s="470"/>
      <c r="AE29" s="6"/>
      <c r="AF29" s="6"/>
      <c r="AG29" s="508"/>
      <c r="AH29" s="509"/>
      <c r="AI29" s="6"/>
      <c r="AJ29" s="6"/>
      <c r="AK29" s="508"/>
    </row>
    <row r="30" spans="1:37" x14ac:dyDescent="0.35">
      <c r="A30" s="1477"/>
      <c r="B30" s="533">
        <v>2</v>
      </c>
      <c r="C30" s="493"/>
      <c r="D30" s="494"/>
      <c r="E30" s="494"/>
      <c r="F30" s="495"/>
      <c r="G30" s="478"/>
      <c r="H30" s="479"/>
      <c r="I30" s="479"/>
      <c r="J30" s="480"/>
      <c r="L30" s="470"/>
      <c r="M30" s="468"/>
      <c r="N30" s="468"/>
      <c r="O30" s="508"/>
      <c r="P30" s="509"/>
      <c r="Q30" s="6"/>
      <c r="R30" s="6"/>
      <c r="S30" s="508"/>
      <c r="T30" s="66"/>
      <c r="U30" s="470"/>
      <c r="V30" s="6"/>
      <c r="W30" s="6"/>
      <c r="X30" s="508"/>
      <c r="Y30" s="509"/>
      <c r="Z30" s="6"/>
      <c r="AA30" s="6"/>
      <c r="AB30" s="508"/>
      <c r="AC30" s="66"/>
      <c r="AD30" s="470"/>
      <c r="AE30" s="6"/>
      <c r="AF30" s="6"/>
      <c r="AG30" s="508"/>
      <c r="AH30" s="469"/>
      <c r="AI30" s="66"/>
      <c r="AJ30" s="6"/>
      <c r="AK30" s="508"/>
    </row>
    <row r="31" spans="1:37" x14ac:dyDescent="0.35">
      <c r="A31" s="1478">
        <v>44211</v>
      </c>
      <c r="B31" s="472">
        <v>1</v>
      </c>
      <c r="C31" s="493"/>
      <c r="D31" s="494"/>
      <c r="E31" s="494"/>
      <c r="F31" s="495"/>
      <c r="G31" s="478"/>
      <c r="H31" s="479"/>
      <c r="I31" s="483"/>
      <c r="J31" s="480"/>
      <c r="L31" s="439"/>
      <c r="M31" s="433"/>
      <c r="N31" s="433"/>
      <c r="O31" s="508"/>
      <c r="P31" s="509"/>
      <c r="Q31" s="6"/>
      <c r="R31" s="6"/>
      <c r="S31" s="508"/>
      <c r="T31" s="66"/>
      <c r="U31" s="470"/>
      <c r="V31" s="6"/>
      <c r="W31" s="6">
        <v>10</v>
      </c>
      <c r="X31" s="508"/>
      <c r="Y31" s="509"/>
      <c r="Z31" s="6"/>
      <c r="AA31" s="6" t="s">
        <v>97</v>
      </c>
      <c r="AB31" s="508"/>
      <c r="AC31" s="66"/>
      <c r="AD31" s="470"/>
      <c r="AE31" s="6"/>
      <c r="AF31" s="6"/>
      <c r="AG31" s="508"/>
      <c r="AH31" s="509"/>
      <c r="AI31" s="6"/>
      <c r="AJ31" s="6"/>
      <c r="AK31" s="508"/>
    </row>
    <row r="32" spans="1:37" ht="45" customHeight="1" x14ac:dyDescent="0.35">
      <c r="A32" s="1477"/>
      <c r="B32" s="472">
        <v>2</v>
      </c>
      <c r="C32" s="493"/>
      <c r="D32" s="494"/>
      <c r="E32" s="494"/>
      <c r="F32" s="495">
        <v>480</v>
      </c>
      <c r="G32" s="478"/>
      <c r="H32" s="479"/>
      <c r="I32" s="483"/>
      <c r="J32" s="1489" t="s">
        <v>316</v>
      </c>
      <c r="L32" s="439"/>
      <c r="M32" s="433"/>
      <c r="N32" s="433"/>
      <c r="O32" s="508"/>
      <c r="P32" s="509"/>
      <c r="Q32" s="6"/>
      <c r="R32" s="6"/>
      <c r="S32" s="508"/>
      <c r="T32" s="66"/>
      <c r="U32" s="470"/>
      <c r="V32" s="6"/>
      <c r="W32" s="6"/>
      <c r="X32" s="508"/>
      <c r="Y32" s="509"/>
      <c r="Z32" s="6"/>
      <c r="AA32" s="6"/>
      <c r="AB32" s="508"/>
      <c r="AC32" s="66"/>
      <c r="AD32" s="470"/>
      <c r="AE32" s="6"/>
      <c r="AF32" s="6"/>
      <c r="AG32" s="508"/>
      <c r="AH32" s="509"/>
      <c r="AI32" s="6"/>
      <c r="AJ32" s="6"/>
      <c r="AK32" s="508"/>
    </row>
    <row r="33" spans="1:37" x14ac:dyDescent="0.35">
      <c r="A33" s="1478">
        <v>44212</v>
      </c>
      <c r="B33" s="472">
        <v>1</v>
      </c>
      <c r="C33" s="493"/>
      <c r="D33" s="494"/>
      <c r="E33" s="494"/>
      <c r="F33" s="495">
        <v>95</v>
      </c>
      <c r="G33" s="478"/>
      <c r="H33" s="479"/>
      <c r="I33" s="483"/>
      <c r="J33" s="1490"/>
      <c r="L33" s="439"/>
      <c r="M33" s="433"/>
      <c r="N33" s="433"/>
      <c r="O33" s="508"/>
      <c r="P33" s="509"/>
      <c r="Q33" s="6"/>
      <c r="R33" s="6"/>
      <c r="S33" s="508"/>
      <c r="T33" s="66"/>
      <c r="U33" s="470"/>
      <c r="V33" s="6"/>
      <c r="W33" s="6"/>
      <c r="X33" s="508"/>
      <c r="Y33" s="509"/>
      <c r="Z33" s="6"/>
      <c r="AA33" s="6"/>
      <c r="AB33" s="508"/>
      <c r="AC33" s="66"/>
      <c r="AD33" s="470"/>
      <c r="AE33" s="6"/>
      <c r="AF33" s="6"/>
      <c r="AG33" s="508"/>
      <c r="AH33" s="509"/>
      <c r="AI33" s="502"/>
      <c r="AJ33" s="6"/>
      <c r="AK33" s="508"/>
    </row>
    <row r="34" spans="1:37" ht="28.3" x14ac:dyDescent="0.35">
      <c r="A34" s="1477"/>
      <c r="B34" s="533">
        <v>2</v>
      </c>
      <c r="C34" s="494"/>
      <c r="D34" s="494">
        <v>20</v>
      </c>
      <c r="E34" s="494"/>
      <c r="F34" s="495"/>
      <c r="G34" s="478"/>
      <c r="H34" s="483" t="s">
        <v>317</v>
      </c>
      <c r="I34" s="479"/>
      <c r="J34" s="480"/>
      <c r="L34" s="439"/>
      <c r="M34" s="6">
        <v>18</v>
      </c>
      <c r="N34" s="433"/>
      <c r="O34" s="508"/>
      <c r="P34" s="509"/>
      <c r="Q34" s="483" t="s">
        <v>317</v>
      </c>
      <c r="R34" s="6"/>
      <c r="S34" s="508"/>
      <c r="T34" s="66"/>
      <c r="U34" s="470"/>
      <c r="V34" s="6"/>
      <c r="W34" s="6"/>
      <c r="X34" s="508"/>
      <c r="Y34" s="6"/>
      <c r="Z34" s="502"/>
      <c r="AA34" s="6"/>
      <c r="AB34" s="508"/>
      <c r="AC34" s="66"/>
      <c r="AD34" s="470"/>
      <c r="AE34" s="6"/>
      <c r="AF34" s="6"/>
      <c r="AG34" s="508"/>
      <c r="AH34" s="509"/>
      <c r="AI34" s="6"/>
      <c r="AJ34" s="6"/>
      <c r="AK34" s="508"/>
    </row>
    <row r="35" spans="1:37" x14ac:dyDescent="0.35">
      <c r="A35" s="1478">
        <v>44213</v>
      </c>
      <c r="B35" s="472">
        <v>1</v>
      </c>
      <c r="C35" s="494"/>
      <c r="D35" s="494"/>
      <c r="E35" s="494">
        <v>15</v>
      </c>
      <c r="F35" s="495"/>
      <c r="G35" s="478"/>
      <c r="H35" s="479"/>
      <c r="I35" s="483" t="s">
        <v>152</v>
      </c>
      <c r="J35" s="480"/>
      <c r="L35" s="439"/>
      <c r="M35" s="6">
        <v>50</v>
      </c>
      <c r="N35" s="433"/>
      <c r="O35" s="508"/>
      <c r="P35" s="465"/>
      <c r="Q35" s="539" t="s">
        <v>96</v>
      </c>
      <c r="R35" s="515"/>
      <c r="S35" s="508"/>
      <c r="T35" s="66"/>
      <c r="U35" s="470"/>
      <c r="V35" s="6"/>
      <c r="W35" s="6">
        <v>25</v>
      </c>
      <c r="X35" s="508"/>
      <c r="Y35" s="509"/>
      <c r="Z35" s="502"/>
      <c r="AA35" s="6" t="s">
        <v>152</v>
      </c>
      <c r="AB35" s="508"/>
      <c r="AC35" s="66"/>
      <c r="AD35" s="470"/>
      <c r="AE35" s="6"/>
      <c r="AF35" s="6"/>
      <c r="AG35" s="508"/>
      <c r="AH35" s="509"/>
      <c r="AI35" s="515"/>
      <c r="AJ35" s="515"/>
      <c r="AK35" s="508"/>
    </row>
    <row r="36" spans="1:37" ht="42.45" x14ac:dyDescent="0.35">
      <c r="A36" s="1477"/>
      <c r="B36" s="472">
        <v>2</v>
      </c>
      <c r="C36" s="494"/>
      <c r="D36" s="494">
        <v>13</v>
      </c>
      <c r="E36" s="494"/>
      <c r="F36" s="495"/>
      <c r="G36" s="481"/>
      <c r="H36" s="515" t="s">
        <v>317</v>
      </c>
      <c r="I36" s="479"/>
      <c r="J36" s="480"/>
      <c r="L36" s="519"/>
      <c r="M36" s="6">
        <f>70+17</f>
        <v>87</v>
      </c>
      <c r="N36" s="433"/>
      <c r="O36" s="508"/>
      <c r="P36" s="465"/>
      <c r="Q36" s="539" t="s">
        <v>318</v>
      </c>
      <c r="R36" s="6"/>
      <c r="S36" s="508"/>
      <c r="T36" s="66"/>
      <c r="U36" s="470"/>
      <c r="V36" s="6"/>
      <c r="W36" s="6"/>
      <c r="X36" s="508"/>
      <c r="Y36" s="509"/>
      <c r="Z36" s="502"/>
      <c r="AA36" s="469"/>
      <c r="AB36" s="508"/>
      <c r="AC36" s="66"/>
      <c r="AD36" s="470"/>
      <c r="AE36" s="6"/>
      <c r="AF36" s="6"/>
      <c r="AG36" s="508"/>
      <c r="AH36" s="509"/>
      <c r="AI36" s="502"/>
      <c r="AJ36" s="469"/>
      <c r="AK36" s="508"/>
    </row>
    <row r="37" spans="1:37" ht="28.3" x14ac:dyDescent="0.35">
      <c r="A37" s="1478">
        <v>44214</v>
      </c>
      <c r="B37" s="533">
        <v>1</v>
      </c>
      <c r="C37" s="494"/>
      <c r="D37" s="494"/>
      <c r="E37" s="494">
        <v>10</v>
      </c>
      <c r="F37" s="495"/>
      <c r="G37" s="478"/>
      <c r="H37" s="479"/>
      <c r="I37" s="483" t="s">
        <v>319</v>
      </c>
      <c r="J37" s="480"/>
      <c r="L37" s="439"/>
      <c r="M37" s="433"/>
      <c r="N37" s="433"/>
      <c r="O37" s="508"/>
      <c r="P37" s="509"/>
      <c r="Q37" s="6"/>
      <c r="R37" s="6"/>
      <c r="S37" s="508"/>
      <c r="T37" s="66"/>
      <c r="U37" s="470"/>
      <c r="V37" s="6"/>
      <c r="W37" s="6">
        <v>10</v>
      </c>
      <c r="X37" s="508"/>
      <c r="Y37" s="509"/>
      <c r="Z37" s="502"/>
      <c r="AA37" s="6" t="s">
        <v>152</v>
      </c>
      <c r="AB37" s="508"/>
      <c r="AC37" s="66"/>
      <c r="AD37" s="470"/>
      <c r="AE37" s="6"/>
      <c r="AF37" s="6"/>
      <c r="AG37" s="508"/>
      <c r="AH37" s="509"/>
      <c r="AI37" s="6"/>
      <c r="AJ37" s="6"/>
      <c r="AK37" s="508"/>
    </row>
    <row r="38" spans="1:37" x14ac:dyDescent="0.35">
      <c r="A38" s="1477"/>
      <c r="B38" s="472">
        <v>2</v>
      </c>
      <c r="C38" s="493"/>
      <c r="D38" s="494"/>
      <c r="E38" s="494">
        <v>25</v>
      </c>
      <c r="F38" s="495"/>
      <c r="G38" s="478"/>
      <c r="H38" s="479"/>
      <c r="I38" s="479" t="s">
        <v>152</v>
      </c>
      <c r="J38" s="480"/>
      <c r="L38" s="470"/>
      <c r="M38" s="433"/>
      <c r="N38" s="433"/>
      <c r="O38" s="508"/>
      <c r="P38" s="469"/>
      <c r="Q38" s="6"/>
      <c r="R38" s="6"/>
      <c r="S38" s="508"/>
      <c r="T38" s="66"/>
      <c r="U38" s="470"/>
      <c r="V38" s="6"/>
      <c r="W38" s="6">
        <v>9</v>
      </c>
      <c r="X38" s="508"/>
      <c r="Y38" s="509"/>
      <c r="Z38" s="6"/>
      <c r="AA38" s="6" t="s">
        <v>152</v>
      </c>
      <c r="AB38" s="508"/>
      <c r="AC38" s="66"/>
      <c r="AD38" s="470"/>
      <c r="AE38" s="6"/>
      <c r="AF38" s="6"/>
      <c r="AG38" s="508"/>
      <c r="AH38" s="509"/>
      <c r="AI38" s="6"/>
      <c r="AJ38" s="6"/>
      <c r="AK38" s="508"/>
    </row>
    <row r="39" spans="1:37" x14ac:dyDescent="0.35">
      <c r="A39" s="1478">
        <v>44215</v>
      </c>
      <c r="B39" s="472">
        <v>1</v>
      </c>
      <c r="C39" s="493"/>
      <c r="D39" s="494"/>
      <c r="E39" s="494"/>
      <c r="F39" s="495"/>
      <c r="G39" s="478"/>
      <c r="H39" s="479"/>
      <c r="I39" s="483"/>
      <c r="J39" s="480"/>
      <c r="L39" s="439"/>
      <c r="M39" s="433"/>
      <c r="N39" s="433"/>
      <c r="O39" s="508"/>
      <c r="P39" s="509"/>
      <c r="Q39" s="6"/>
      <c r="R39" s="6"/>
      <c r="S39" s="508"/>
      <c r="T39" s="66"/>
      <c r="U39" s="470"/>
      <c r="V39" s="6"/>
      <c r="W39" s="6">
        <v>30</v>
      </c>
      <c r="X39" s="508"/>
      <c r="Y39" s="509"/>
      <c r="Z39" s="6"/>
      <c r="AA39" s="6" t="s">
        <v>152</v>
      </c>
      <c r="AB39" s="508"/>
      <c r="AC39" s="66"/>
      <c r="AD39" s="470"/>
      <c r="AE39" s="6"/>
      <c r="AF39" s="6"/>
      <c r="AG39" s="508"/>
      <c r="AH39" s="509"/>
      <c r="AI39" s="6"/>
      <c r="AJ39" s="6"/>
      <c r="AK39" s="508"/>
    </row>
    <row r="40" spans="1:37" x14ac:dyDescent="0.35">
      <c r="A40" s="1477"/>
      <c r="B40" s="472">
        <v>2</v>
      </c>
      <c r="C40" s="493"/>
      <c r="D40" s="494"/>
      <c r="E40" s="494">
        <v>50</v>
      </c>
      <c r="F40" s="495"/>
      <c r="G40" s="478"/>
      <c r="H40" s="479"/>
      <c r="I40" s="483" t="s">
        <v>152</v>
      </c>
      <c r="J40" s="480"/>
      <c r="L40" s="439"/>
      <c r="M40" s="433"/>
      <c r="N40" s="433"/>
      <c r="O40" s="508"/>
      <c r="P40" s="509"/>
      <c r="Q40" s="6"/>
      <c r="R40" s="6"/>
      <c r="S40" s="508"/>
      <c r="T40" s="66"/>
      <c r="U40" s="470">
        <v>17</v>
      </c>
      <c r="V40" s="6"/>
      <c r="W40" s="6">
        <v>16</v>
      </c>
      <c r="X40" s="508"/>
      <c r="Y40" s="509" t="s">
        <v>207</v>
      </c>
      <c r="Z40" s="6"/>
      <c r="AA40" s="6" t="s">
        <v>152</v>
      </c>
      <c r="AB40" s="508"/>
      <c r="AC40" s="66"/>
      <c r="AD40" s="470"/>
      <c r="AE40" s="6"/>
      <c r="AF40" s="6"/>
      <c r="AG40" s="508"/>
      <c r="AH40" s="509"/>
      <c r="AI40" s="6"/>
      <c r="AJ40" s="6"/>
      <c r="AK40" s="508"/>
    </row>
    <row r="41" spans="1:37" x14ac:dyDescent="0.35">
      <c r="A41" s="1478">
        <v>44216</v>
      </c>
      <c r="B41" s="472">
        <v>1</v>
      </c>
      <c r="C41" s="493"/>
      <c r="D41" s="494"/>
      <c r="E41" s="494">
        <v>31</v>
      </c>
      <c r="F41" s="495"/>
      <c r="G41" s="478"/>
      <c r="H41" s="479"/>
      <c r="I41" s="479" t="s">
        <v>152</v>
      </c>
      <c r="J41" s="480"/>
      <c r="L41" s="439"/>
      <c r="M41" s="433"/>
      <c r="N41" s="433"/>
      <c r="O41" s="508"/>
      <c r="P41" s="509"/>
      <c r="Q41" s="6"/>
      <c r="R41" s="6"/>
      <c r="S41" s="508"/>
      <c r="T41" s="66"/>
      <c r="U41" s="470"/>
      <c r="V41" s="6"/>
      <c r="W41" s="6">
        <v>19</v>
      </c>
      <c r="X41" s="508"/>
      <c r="Y41" s="509"/>
      <c r="Z41" s="502"/>
      <c r="AA41" s="502" t="s">
        <v>152</v>
      </c>
      <c r="AB41" s="508"/>
      <c r="AC41" s="66"/>
      <c r="AD41" s="470"/>
      <c r="AE41" s="6"/>
      <c r="AF41" s="6"/>
      <c r="AG41" s="508"/>
      <c r="AH41" s="509"/>
      <c r="AI41" s="6"/>
      <c r="AJ41" s="6"/>
      <c r="AK41" s="508"/>
    </row>
    <row r="42" spans="1:37" x14ac:dyDescent="0.35">
      <c r="A42" s="1477"/>
      <c r="B42" s="472">
        <v>2</v>
      </c>
      <c r="C42" s="493"/>
      <c r="D42" s="494"/>
      <c r="E42" s="494">
        <v>10</v>
      </c>
      <c r="F42" s="495"/>
      <c r="G42" s="478"/>
      <c r="H42" s="479"/>
      <c r="I42" s="479" t="s">
        <v>304</v>
      </c>
      <c r="J42" s="434"/>
      <c r="L42" s="439"/>
      <c r="M42" s="433"/>
      <c r="N42" s="433"/>
      <c r="O42" s="508"/>
      <c r="P42" s="509"/>
      <c r="Q42" s="6"/>
      <c r="R42" s="6"/>
      <c r="S42" s="508"/>
      <c r="T42" s="66"/>
      <c r="U42" s="470"/>
      <c r="V42" s="6"/>
      <c r="W42" s="6"/>
      <c r="X42" s="508"/>
      <c r="Y42" s="509"/>
      <c r="Z42" s="6"/>
      <c r="AA42" s="6"/>
      <c r="AB42" s="508"/>
      <c r="AC42" s="66"/>
      <c r="AD42" s="470"/>
      <c r="AE42" s="6"/>
      <c r="AF42" s="6">
        <v>10</v>
      </c>
      <c r="AG42" s="508">
        <v>35</v>
      </c>
      <c r="AH42" s="509"/>
      <c r="AI42" s="6"/>
      <c r="AJ42" s="6" t="s">
        <v>152</v>
      </c>
      <c r="AK42" s="508" t="s">
        <v>320</v>
      </c>
    </row>
    <row r="43" spans="1:37" x14ac:dyDescent="0.35">
      <c r="A43" s="1478">
        <v>44217</v>
      </c>
      <c r="B43" s="472">
        <v>1</v>
      </c>
      <c r="C43" s="493"/>
      <c r="D43" s="494"/>
      <c r="E43" s="494"/>
      <c r="F43" s="495"/>
      <c r="G43" s="478"/>
      <c r="H43" s="479"/>
      <c r="I43" s="483"/>
      <c r="J43" s="480"/>
      <c r="L43" s="439"/>
      <c r="M43" s="433"/>
      <c r="N43" s="433"/>
      <c r="O43" s="508"/>
      <c r="P43" s="509"/>
      <c r="Q43" s="6"/>
      <c r="R43" s="6"/>
      <c r="S43" s="508"/>
      <c r="T43" s="66"/>
      <c r="U43" s="470"/>
      <c r="V43" s="6"/>
      <c r="W43" s="6"/>
      <c r="X43" s="508"/>
      <c r="Y43" s="509"/>
      <c r="Z43" s="6"/>
      <c r="AA43" s="6"/>
      <c r="AB43" s="508"/>
      <c r="AC43" s="66"/>
      <c r="AD43" s="470"/>
      <c r="AE43" s="6"/>
      <c r="AF43" s="6"/>
      <c r="AG43" s="508"/>
      <c r="AH43" s="509"/>
      <c r="AI43" s="6"/>
      <c r="AJ43" s="6"/>
      <c r="AK43" s="508"/>
    </row>
    <row r="44" spans="1:37" x14ac:dyDescent="0.35">
      <c r="A44" s="1477"/>
      <c r="B44" s="472">
        <v>2</v>
      </c>
      <c r="C44" s="493"/>
      <c r="D44" s="494"/>
      <c r="E44" s="494"/>
      <c r="F44" s="495"/>
      <c r="G44" s="481"/>
      <c r="H44" s="479"/>
      <c r="I44" s="479"/>
      <c r="J44" s="480"/>
      <c r="L44" s="439"/>
      <c r="M44" s="433"/>
      <c r="N44" s="433"/>
      <c r="O44" s="508"/>
      <c r="P44" s="509"/>
      <c r="Q44" s="6"/>
      <c r="R44" s="6"/>
      <c r="S44" s="508"/>
      <c r="T44" s="66"/>
      <c r="U44" s="470"/>
      <c r="V44" s="6"/>
      <c r="W44" s="6"/>
      <c r="X44" s="508"/>
      <c r="Y44" s="509"/>
      <c r="Z44" s="6"/>
      <c r="AA44" s="6"/>
      <c r="AB44" s="508"/>
      <c r="AC44" s="66"/>
      <c r="AD44" s="470"/>
      <c r="AE44" s="6"/>
      <c r="AF44" s="6"/>
      <c r="AG44" s="508"/>
      <c r="AH44" s="509"/>
      <c r="AI44" s="6"/>
      <c r="AJ44" s="6"/>
      <c r="AK44" s="508"/>
    </row>
    <row r="45" spans="1:37" x14ac:dyDescent="0.35">
      <c r="A45" s="1478">
        <v>44218</v>
      </c>
      <c r="B45" s="472">
        <v>1</v>
      </c>
      <c r="C45" s="493"/>
      <c r="D45" s="494"/>
      <c r="E45" s="494"/>
      <c r="F45" s="495"/>
      <c r="G45" s="478"/>
      <c r="H45" s="479"/>
      <c r="I45" s="6"/>
      <c r="J45" s="480"/>
      <c r="L45" s="439"/>
      <c r="M45" s="6"/>
      <c r="N45" s="433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09"/>
      <c r="Z45" s="6"/>
      <c r="AA45" s="6"/>
      <c r="AB45" s="508"/>
      <c r="AC45" s="66"/>
      <c r="AD45" s="470"/>
      <c r="AE45" s="6"/>
      <c r="AF45" s="6"/>
      <c r="AG45" s="508"/>
      <c r="AH45" s="509"/>
      <c r="AI45" s="6"/>
      <c r="AJ45" s="6"/>
      <c r="AK45" s="508"/>
    </row>
    <row r="46" spans="1:37" x14ac:dyDescent="0.35">
      <c r="A46" s="1477"/>
      <c r="B46" s="472">
        <v>2</v>
      </c>
      <c r="C46" s="493"/>
      <c r="D46" s="494"/>
      <c r="E46" s="494">
        <v>25</v>
      </c>
      <c r="F46" s="495"/>
      <c r="G46" s="478"/>
      <c r="H46" s="479"/>
      <c r="I46" s="483" t="s">
        <v>152</v>
      </c>
      <c r="J46" s="480"/>
      <c r="L46" s="439"/>
      <c r="M46" s="433"/>
      <c r="N46" s="433"/>
      <c r="O46" s="508"/>
      <c r="P46" s="509"/>
      <c r="Q46" s="6"/>
      <c r="R46" s="6"/>
      <c r="S46" s="508"/>
      <c r="T46" s="66"/>
      <c r="U46" s="470"/>
      <c r="V46" s="6"/>
      <c r="W46" s="6"/>
      <c r="X46" s="508"/>
      <c r="Y46" s="509"/>
      <c r="Z46" s="6"/>
      <c r="AA46" s="6"/>
      <c r="AB46" s="508"/>
      <c r="AC46" s="66"/>
      <c r="AD46" s="470"/>
      <c r="AE46" s="6"/>
      <c r="AF46" s="6"/>
      <c r="AG46" s="508"/>
      <c r="AH46" s="509"/>
      <c r="AI46" s="6"/>
      <c r="AJ46" s="483"/>
      <c r="AK46" s="508"/>
    </row>
    <row r="47" spans="1:37" x14ac:dyDescent="0.35">
      <c r="A47" s="1478">
        <v>44219</v>
      </c>
      <c r="B47" s="472">
        <v>1</v>
      </c>
      <c r="C47" s="493"/>
      <c r="D47" s="494"/>
      <c r="E47" s="494"/>
      <c r="F47" s="495"/>
      <c r="G47" s="478"/>
      <c r="H47" s="479"/>
      <c r="I47" s="479"/>
      <c r="J47" s="480"/>
      <c r="L47" s="439"/>
      <c r="M47" s="433"/>
      <c r="N47" s="433"/>
      <c r="O47" s="508"/>
      <c r="P47" s="509"/>
      <c r="Q47" s="6"/>
      <c r="R47" s="6"/>
      <c r="S47" s="508"/>
      <c r="T47" s="66"/>
      <c r="U47" s="470"/>
      <c r="V47" s="6"/>
      <c r="W47" s="6"/>
      <c r="X47" s="508"/>
      <c r="Y47" s="509"/>
      <c r="Z47" s="6"/>
      <c r="AA47" s="502"/>
      <c r="AB47" s="508"/>
      <c r="AC47" s="66"/>
      <c r="AD47" s="470"/>
      <c r="AE47" s="6"/>
      <c r="AF47" s="6"/>
      <c r="AG47" s="508"/>
      <c r="AH47" s="509"/>
      <c r="AI47" s="6"/>
      <c r="AJ47" s="6"/>
      <c r="AK47" s="508"/>
    </row>
    <row r="48" spans="1:37" x14ac:dyDescent="0.35">
      <c r="A48" s="1477"/>
      <c r="B48" s="472">
        <v>2</v>
      </c>
      <c r="C48" s="493"/>
      <c r="D48" s="494"/>
      <c r="E48" s="494">
        <v>14</v>
      </c>
      <c r="F48" s="495"/>
      <c r="G48" s="478"/>
      <c r="H48" s="483"/>
      <c r="I48" s="479" t="s">
        <v>152</v>
      </c>
      <c r="J48" s="480"/>
      <c r="L48" s="439"/>
      <c r="M48" s="433"/>
      <c r="N48" s="433"/>
      <c r="O48" s="508"/>
      <c r="P48" s="509"/>
      <c r="Q48" s="515"/>
      <c r="R48" s="6"/>
      <c r="S48" s="508"/>
      <c r="T48" s="66"/>
      <c r="U48" s="470"/>
      <c r="V48" s="6"/>
      <c r="W48" s="6"/>
      <c r="X48" s="508"/>
      <c r="Y48" s="509"/>
      <c r="Z48" s="6"/>
      <c r="AA48" s="6"/>
      <c r="AB48" s="508"/>
      <c r="AC48" s="66"/>
      <c r="AD48" s="470"/>
      <c r="AE48" s="6"/>
      <c r="AF48" s="6"/>
      <c r="AG48" s="508"/>
      <c r="AH48" s="509"/>
      <c r="AI48" s="6"/>
      <c r="AJ48" s="6"/>
      <c r="AK48" s="508"/>
    </row>
    <row r="49" spans="1:37" x14ac:dyDescent="0.35">
      <c r="A49" s="1478">
        <v>44220</v>
      </c>
      <c r="B49" s="472">
        <v>1</v>
      </c>
      <c r="C49" s="493"/>
      <c r="D49" s="494"/>
      <c r="E49" s="494">
        <v>15</v>
      </c>
      <c r="F49" s="495"/>
      <c r="G49" s="478"/>
      <c r="H49" s="479"/>
      <c r="I49" s="479" t="s">
        <v>304</v>
      </c>
      <c r="J49" s="482"/>
      <c r="L49" s="439"/>
      <c r="M49" s="433"/>
      <c r="N49" s="433"/>
      <c r="O49" s="508"/>
      <c r="P49" s="509"/>
      <c r="Q49" s="6"/>
      <c r="R49" s="6"/>
      <c r="S49" s="526"/>
      <c r="T49" s="66"/>
      <c r="U49" s="470"/>
      <c r="V49" s="6"/>
      <c r="W49" s="6">
        <v>27</v>
      </c>
      <c r="X49" s="508"/>
      <c r="Y49" s="509"/>
      <c r="Z49" s="502"/>
      <c r="AA49" s="502" t="s">
        <v>152</v>
      </c>
      <c r="AB49" s="526"/>
      <c r="AC49" s="66"/>
      <c r="AD49" s="470"/>
      <c r="AE49" s="6"/>
      <c r="AF49" s="6"/>
      <c r="AG49" s="508"/>
      <c r="AH49" s="509"/>
      <c r="AI49" s="6"/>
      <c r="AJ49" s="6"/>
      <c r="AK49" s="526"/>
    </row>
    <row r="50" spans="1:37" ht="75" customHeight="1" x14ac:dyDescent="0.35">
      <c r="A50" s="1477"/>
      <c r="B50" s="472">
        <v>2</v>
      </c>
      <c r="C50" s="493"/>
      <c r="D50" s="494">
        <v>24</v>
      </c>
      <c r="E50" s="494"/>
      <c r="F50" s="495"/>
      <c r="G50" s="481"/>
      <c r="H50" s="479" t="s">
        <v>322</v>
      </c>
      <c r="I50" s="479"/>
      <c r="J50" s="480"/>
      <c r="L50" s="439"/>
      <c r="M50" s="6">
        <v>14</v>
      </c>
      <c r="N50" s="6">
        <v>55</v>
      </c>
      <c r="O50" s="508"/>
      <c r="P50" s="509"/>
      <c r="Q50" s="502" t="s">
        <v>323</v>
      </c>
      <c r="R50" s="502" t="s">
        <v>321</v>
      </c>
      <c r="S50" s="508"/>
      <c r="T50" s="66"/>
      <c r="U50" s="470"/>
      <c r="V50" s="6"/>
      <c r="W50" s="6">
        <v>13</v>
      </c>
      <c r="X50" s="508"/>
      <c r="Y50" s="469"/>
      <c r="Z50" s="502"/>
      <c r="AA50" s="6" t="s">
        <v>152</v>
      </c>
      <c r="AB50" s="508"/>
      <c r="AC50" s="66"/>
      <c r="AD50" s="470"/>
      <c r="AE50" s="6"/>
      <c r="AF50" s="6"/>
      <c r="AG50" s="508"/>
      <c r="AH50" s="509"/>
      <c r="AI50" s="6"/>
      <c r="AJ50" s="6"/>
      <c r="AK50" s="508"/>
    </row>
    <row r="51" spans="1:37" x14ac:dyDescent="0.35">
      <c r="A51" s="1478">
        <v>44221</v>
      </c>
      <c r="B51" s="472">
        <v>1</v>
      </c>
      <c r="C51" s="493"/>
      <c r="D51" s="494"/>
      <c r="E51" s="494"/>
      <c r="F51" s="495"/>
      <c r="G51" s="478"/>
      <c r="H51" s="479"/>
      <c r="I51" s="479"/>
      <c r="J51" s="480"/>
      <c r="L51" s="439"/>
      <c r="M51" s="433"/>
      <c r="N51" s="433"/>
      <c r="O51" s="508"/>
      <c r="P51" s="509"/>
      <c r="Q51" s="6"/>
      <c r="R51" s="6"/>
      <c r="S51" s="508"/>
      <c r="T51" s="66"/>
      <c r="U51" s="470"/>
      <c r="V51" s="6"/>
      <c r="W51" s="6"/>
      <c r="X51" s="508"/>
      <c r="Y51" s="469"/>
      <c r="Z51" s="6"/>
      <c r="AA51" s="6"/>
      <c r="AB51" s="508"/>
      <c r="AC51" s="66"/>
      <c r="AD51" s="470"/>
      <c r="AE51" s="6"/>
      <c r="AF51" s="6"/>
      <c r="AG51" s="508"/>
      <c r="AH51" s="509"/>
      <c r="AI51" s="6"/>
      <c r="AJ51" s="6"/>
      <c r="AK51" s="508"/>
    </row>
    <row r="52" spans="1:37" x14ac:dyDescent="0.35">
      <c r="A52" s="1477"/>
      <c r="B52" s="472">
        <v>2</v>
      </c>
      <c r="C52" s="493"/>
      <c r="D52" s="494"/>
      <c r="E52" s="494">
        <v>10</v>
      </c>
      <c r="F52" s="495"/>
      <c r="G52" s="478"/>
      <c r="H52" s="479" t="s">
        <v>325</v>
      </c>
      <c r="I52" s="479"/>
      <c r="J52" s="482"/>
      <c r="L52" s="439"/>
      <c r="M52" s="433"/>
      <c r="N52" s="433"/>
      <c r="O52" s="508"/>
      <c r="P52" s="509"/>
      <c r="Q52" s="6"/>
      <c r="R52" s="6"/>
      <c r="S52" s="527"/>
      <c r="T52" s="66"/>
      <c r="U52" s="470"/>
      <c r="V52" s="6"/>
      <c r="W52" s="6"/>
      <c r="X52" s="508"/>
      <c r="Y52" s="469"/>
      <c r="Z52" s="502"/>
      <c r="AA52" s="6"/>
      <c r="AB52" s="527"/>
      <c r="AC52" s="66"/>
      <c r="AD52" s="470"/>
      <c r="AE52" s="6"/>
      <c r="AF52" s="6"/>
      <c r="AG52" s="508"/>
      <c r="AH52" s="509"/>
      <c r="AI52" s="6"/>
      <c r="AJ52" s="6"/>
      <c r="AK52" s="527"/>
    </row>
    <row r="53" spans="1:37" x14ac:dyDescent="0.35">
      <c r="A53" s="1478">
        <v>44222</v>
      </c>
      <c r="B53" s="472">
        <v>1</v>
      </c>
      <c r="C53" s="493"/>
      <c r="D53" s="494"/>
      <c r="E53" s="494">
        <v>10</v>
      </c>
      <c r="F53" s="495"/>
      <c r="G53" s="478"/>
      <c r="H53" s="479" t="s">
        <v>152</v>
      </c>
      <c r="I53" s="479"/>
      <c r="J53" s="480"/>
      <c r="L53" s="439"/>
      <c r="M53" s="433"/>
      <c r="N53" s="433"/>
      <c r="O53" s="508"/>
      <c r="P53" s="509"/>
      <c r="Q53" s="6"/>
      <c r="R53" s="6"/>
      <c r="S53" s="508"/>
      <c r="T53" s="66"/>
      <c r="U53" s="470"/>
      <c r="V53" s="6"/>
      <c r="W53" s="6"/>
      <c r="X53" s="508"/>
      <c r="Y53" s="509"/>
      <c r="Z53" s="6"/>
      <c r="AA53" s="6"/>
      <c r="AB53" s="508"/>
      <c r="AC53" s="66"/>
      <c r="AD53" s="470"/>
      <c r="AE53" s="6"/>
      <c r="AF53" s="6"/>
      <c r="AG53" s="508"/>
      <c r="AH53" s="509"/>
      <c r="AI53" s="6"/>
      <c r="AJ53" s="6"/>
      <c r="AK53" s="508"/>
    </row>
    <row r="54" spans="1:37" ht="60" customHeight="1" x14ac:dyDescent="0.35">
      <c r="A54" s="1477"/>
      <c r="B54" s="500">
        <v>2</v>
      </c>
      <c r="C54" s="493"/>
      <c r="D54" s="494"/>
      <c r="E54" s="494"/>
      <c r="F54" s="495"/>
      <c r="G54" s="478"/>
      <c r="H54" s="479"/>
      <c r="I54" s="479"/>
      <c r="J54" s="480"/>
      <c r="L54" s="439"/>
      <c r="M54" s="433"/>
      <c r="N54" s="433"/>
      <c r="O54" s="508"/>
      <c r="P54" s="509"/>
      <c r="Q54" s="6"/>
      <c r="R54" s="6"/>
      <c r="S54" s="508"/>
      <c r="T54" s="66"/>
      <c r="U54" s="470"/>
      <c r="V54" s="6"/>
      <c r="W54" s="6"/>
      <c r="X54" s="508"/>
      <c r="Y54" s="509"/>
      <c r="Z54" s="502"/>
      <c r="AA54" s="6"/>
      <c r="AB54" s="508"/>
      <c r="AC54" s="66"/>
      <c r="AD54" s="470"/>
      <c r="AE54" s="6"/>
      <c r="AF54" s="6"/>
      <c r="AG54" s="508"/>
      <c r="AH54" s="509"/>
      <c r="AI54" s="6"/>
      <c r="AJ54" s="6"/>
      <c r="AK54" s="508"/>
    </row>
    <row r="55" spans="1:37" x14ac:dyDescent="0.35">
      <c r="A55" s="1478">
        <v>44223</v>
      </c>
      <c r="B55" s="472">
        <v>1</v>
      </c>
      <c r="C55" s="493"/>
      <c r="D55" s="494"/>
      <c r="E55" s="494"/>
      <c r="F55" s="495"/>
      <c r="G55" s="478"/>
      <c r="H55" s="479"/>
      <c r="I55" s="483"/>
      <c r="J55" s="480"/>
      <c r="L55" s="439"/>
      <c r="M55" s="433"/>
      <c r="N55" s="433"/>
      <c r="O55" s="508"/>
      <c r="P55" s="509"/>
      <c r="Q55" s="6"/>
      <c r="R55" s="6"/>
      <c r="S55" s="508"/>
      <c r="T55" s="66"/>
      <c r="U55" s="470"/>
      <c r="V55" s="6"/>
      <c r="W55" s="6"/>
      <c r="X55" s="508"/>
      <c r="Y55" s="509"/>
      <c r="Z55" s="6"/>
      <c r="AA55" s="6"/>
      <c r="AB55" s="508"/>
      <c r="AC55" s="66"/>
      <c r="AD55" s="470"/>
      <c r="AE55" s="6"/>
      <c r="AF55" s="6"/>
      <c r="AG55" s="508"/>
      <c r="AH55" s="509"/>
      <c r="AI55" s="6"/>
      <c r="AJ55" s="6"/>
      <c r="AK55" s="508"/>
    </row>
    <row r="56" spans="1:37" x14ac:dyDescent="0.35">
      <c r="A56" s="1477"/>
      <c r="B56" s="500">
        <v>2</v>
      </c>
      <c r="C56" s="493"/>
      <c r="D56" s="494"/>
      <c r="E56" s="494"/>
      <c r="F56" s="495"/>
      <c r="G56" s="478"/>
      <c r="H56" s="479"/>
      <c r="I56" s="479"/>
      <c r="J56" s="480"/>
      <c r="L56" s="439"/>
      <c r="M56" s="433"/>
      <c r="N56" s="433"/>
      <c r="O56" s="508"/>
      <c r="P56" s="509"/>
      <c r="Q56" s="6"/>
      <c r="R56" s="6"/>
      <c r="S56" s="508"/>
      <c r="T56" s="66"/>
      <c r="U56" s="470"/>
      <c r="V56" s="6"/>
      <c r="W56" s="6">
        <v>10</v>
      </c>
      <c r="X56" s="508"/>
      <c r="Y56" s="469"/>
      <c r="Z56" s="502"/>
      <c r="AA56" s="479" t="s">
        <v>325</v>
      </c>
      <c r="AB56" s="508"/>
      <c r="AC56" s="66"/>
      <c r="AD56" s="470"/>
      <c r="AE56" s="6"/>
      <c r="AF56" s="6">
        <v>22</v>
      </c>
      <c r="AG56" s="508"/>
      <c r="AH56" s="509"/>
      <c r="AI56" s="502"/>
      <c r="AJ56" s="479" t="s">
        <v>325</v>
      </c>
      <c r="AK56" s="508"/>
    </row>
    <row r="57" spans="1:37" ht="62.25" customHeight="1" x14ac:dyDescent="0.35">
      <c r="A57" s="1478">
        <v>44224</v>
      </c>
      <c r="B57" s="472">
        <v>1</v>
      </c>
      <c r="C57" s="493"/>
      <c r="D57" s="494"/>
      <c r="E57" s="494"/>
      <c r="F57" s="495"/>
      <c r="G57" s="478"/>
      <c r="H57" s="479"/>
      <c r="I57" s="483"/>
      <c r="J57" s="480"/>
      <c r="L57" s="439"/>
      <c r="M57" s="433"/>
      <c r="N57" s="433"/>
      <c r="O57" s="508"/>
      <c r="P57" s="509"/>
      <c r="Q57" s="6"/>
      <c r="R57" s="502"/>
      <c r="S57" s="508"/>
      <c r="T57" s="66"/>
      <c r="U57" s="470"/>
      <c r="V57" s="6"/>
      <c r="W57" s="6">
        <v>36</v>
      </c>
      <c r="X57" s="508"/>
      <c r="Y57" s="469"/>
      <c r="Z57" s="502"/>
      <c r="AA57" s="502" t="s">
        <v>324</v>
      </c>
      <c r="AB57" s="508"/>
      <c r="AC57" s="66"/>
      <c r="AD57" s="470"/>
      <c r="AE57" s="6"/>
      <c r="AF57" s="6">
        <v>30</v>
      </c>
      <c r="AG57" s="508"/>
      <c r="AH57" s="509"/>
      <c r="AI57" s="6"/>
      <c r="AJ57" s="483" t="s">
        <v>326</v>
      </c>
      <c r="AK57" s="508"/>
    </row>
    <row r="58" spans="1:37" x14ac:dyDescent="0.35">
      <c r="A58" s="1477"/>
      <c r="B58" s="500">
        <v>2</v>
      </c>
      <c r="C58" s="493"/>
      <c r="D58" s="494"/>
      <c r="E58" s="494">
        <v>10</v>
      </c>
      <c r="F58" s="495"/>
      <c r="G58" s="478"/>
      <c r="H58" s="479"/>
      <c r="I58" s="479" t="s">
        <v>325</v>
      </c>
      <c r="J58" s="480"/>
      <c r="L58" s="439"/>
      <c r="M58" s="433"/>
      <c r="N58" s="433"/>
      <c r="O58" s="508"/>
      <c r="P58" s="509"/>
      <c r="Q58" s="6"/>
      <c r="R58" s="6"/>
      <c r="S58" s="508"/>
      <c r="T58" s="66"/>
      <c r="U58" s="470"/>
      <c r="V58" s="6"/>
      <c r="W58" s="6"/>
      <c r="X58" s="508"/>
      <c r="Y58" s="509"/>
      <c r="Z58" s="502"/>
      <c r="AA58" s="6"/>
      <c r="AB58" s="508"/>
      <c r="AC58" s="66"/>
      <c r="AD58" s="470"/>
      <c r="AE58" s="6"/>
      <c r="AF58" s="6"/>
      <c r="AG58" s="508"/>
      <c r="AH58" s="509"/>
      <c r="AI58" s="6"/>
      <c r="AJ58" s="6"/>
      <c r="AK58" s="508"/>
    </row>
    <row r="59" spans="1:37" x14ac:dyDescent="0.35">
      <c r="A59" s="1478">
        <v>44225</v>
      </c>
      <c r="B59" s="472">
        <v>1</v>
      </c>
      <c r="C59" s="493"/>
      <c r="D59" s="494"/>
      <c r="E59" s="494"/>
      <c r="F59" s="495"/>
      <c r="G59" s="478"/>
      <c r="H59" s="479"/>
      <c r="I59" s="6"/>
      <c r="J59" s="480"/>
      <c r="L59" s="439"/>
      <c r="M59" s="433"/>
      <c r="N59" s="433"/>
      <c r="O59" s="508"/>
      <c r="P59" s="509"/>
      <c r="Q59" s="502"/>
      <c r="R59" s="6"/>
      <c r="S59" s="508"/>
      <c r="T59" s="66"/>
      <c r="U59" s="470"/>
      <c r="V59" s="6"/>
      <c r="W59" s="6"/>
      <c r="X59" s="508"/>
      <c r="Y59" s="509"/>
      <c r="Z59" s="6"/>
      <c r="AA59" s="6"/>
      <c r="AB59" s="508"/>
      <c r="AC59" s="66"/>
      <c r="AD59" s="470"/>
      <c r="AE59" s="6"/>
      <c r="AF59" s="6"/>
      <c r="AG59" s="508"/>
      <c r="AH59" s="469"/>
      <c r="AI59" s="6"/>
      <c r="AJ59" s="6"/>
      <c r="AK59" s="508"/>
    </row>
    <row r="60" spans="1:37" x14ac:dyDescent="0.35">
      <c r="A60" s="1477"/>
      <c r="B60" s="500">
        <v>2</v>
      </c>
      <c r="C60" s="493"/>
      <c r="D60" s="494"/>
      <c r="E60" s="494"/>
      <c r="F60" s="495"/>
      <c r="G60" s="481"/>
      <c r="H60" s="483"/>
      <c r="I60" s="479"/>
      <c r="J60" s="480"/>
      <c r="L60" s="439"/>
      <c r="M60" s="433"/>
      <c r="N60" s="433"/>
      <c r="O60" s="508"/>
      <c r="P60" s="509"/>
      <c r="Q60" s="6"/>
      <c r="R60" s="6"/>
      <c r="S60" s="508"/>
      <c r="T60" s="66"/>
      <c r="U60" s="470"/>
      <c r="V60" s="6"/>
      <c r="W60" s="6"/>
      <c r="X60" s="508"/>
      <c r="Y60" s="509"/>
      <c r="Z60" s="502"/>
      <c r="AA60" s="6"/>
      <c r="AB60" s="508"/>
      <c r="AC60" s="66"/>
      <c r="AD60" s="470"/>
      <c r="AE60" s="6"/>
      <c r="AF60" s="6"/>
      <c r="AG60" s="508"/>
      <c r="AH60" s="509"/>
      <c r="AI60" s="6"/>
      <c r="AJ60" s="6"/>
      <c r="AK60" s="508"/>
    </row>
    <row r="61" spans="1:37" x14ac:dyDescent="0.35">
      <c r="A61" s="1478">
        <v>44226</v>
      </c>
      <c r="B61" s="472">
        <v>1</v>
      </c>
      <c r="C61" s="493"/>
      <c r="D61" s="494"/>
      <c r="E61" s="494"/>
      <c r="F61" s="495"/>
      <c r="G61" s="478"/>
      <c r="H61" s="479"/>
      <c r="I61" s="479"/>
      <c r="J61" s="480"/>
      <c r="L61" s="439"/>
      <c r="M61" s="433"/>
      <c r="N61" s="433"/>
      <c r="O61" s="508"/>
      <c r="P61" s="509"/>
      <c r="Q61" s="6"/>
      <c r="R61" s="6"/>
      <c r="S61" s="508"/>
      <c r="T61" s="66"/>
      <c r="U61" s="470"/>
      <c r="V61" s="6"/>
      <c r="W61" s="6"/>
      <c r="X61" s="508"/>
      <c r="Y61" s="509"/>
      <c r="Z61" s="6"/>
      <c r="AA61" s="6"/>
      <c r="AB61" s="508"/>
      <c r="AC61" s="66"/>
      <c r="AD61" s="470"/>
      <c r="AE61" s="6"/>
      <c r="AF61" s="6"/>
      <c r="AG61" s="508"/>
      <c r="AH61" s="509"/>
      <c r="AI61" s="6"/>
      <c r="AJ61" s="6"/>
      <c r="AK61" s="508"/>
    </row>
    <row r="62" spans="1:37" ht="28.3" x14ac:dyDescent="0.35">
      <c r="A62" s="1477"/>
      <c r="B62" s="500">
        <v>2</v>
      </c>
      <c r="C62" s="493"/>
      <c r="D62" s="494"/>
      <c r="E62" s="494"/>
      <c r="F62" s="495"/>
      <c r="G62" s="481"/>
      <c r="H62" s="479"/>
      <c r="I62" s="479"/>
      <c r="J62" s="480"/>
      <c r="L62" s="439"/>
      <c r="M62" s="433"/>
      <c r="N62" s="433"/>
      <c r="O62" s="508"/>
      <c r="P62" s="509"/>
      <c r="Q62" s="6"/>
      <c r="R62" s="6"/>
      <c r="S62" s="508"/>
      <c r="T62" s="66"/>
      <c r="U62" s="470"/>
      <c r="V62" s="6"/>
      <c r="W62" s="6">
        <v>26</v>
      </c>
      <c r="X62" s="508"/>
      <c r="Y62" s="509"/>
      <c r="Z62" s="6"/>
      <c r="AA62" s="502" t="s">
        <v>328</v>
      </c>
      <c r="AB62" s="508"/>
      <c r="AC62" s="66"/>
      <c r="AD62" s="470"/>
      <c r="AE62" s="6"/>
      <c r="AF62" s="6"/>
      <c r="AG62" s="508"/>
      <c r="AH62" s="509"/>
      <c r="AI62" s="6"/>
      <c r="AJ62" s="6"/>
      <c r="AK62" s="508"/>
    </row>
    <row r="63" spans="1:37" x14ac:dyDescent="0.35">
      <c r="A63" s="1478">
        <v>44227</v>
      </c>
      <c r="B63" s="472">
        <v>1</v>
      </c>
      <c r="C63" s="493"/>
      <c r="D63" s="494"/>
      <c r="E63" s="494"/>
      <c r="F63" s="495"/>
      <c r="G63" s="478"/>
      <c r="H63" s="479"/>
      <c r="I63" s="479"/>
      <c r="J63" s="480"/>
      <c r="L63" s="439"/>
      <c r="M63" s="433"/>
      <c r="N63" s="433"/>
      <c r="O63" s="508"/>
      <c r="P63" s="509"/>
      <c r="Q63" s="6"/>
      <c r="R63" s="6"/>
      <c r="S63" s="508"/>
      <c r="T63" s="66"/>
      <c r="U63" s="470"/>
      <c r="V63" s="6"/>
      <c r="W63" s="6"/>
      <c r="X63" s="508"/>
      <c r="Y63" s="509"/>
      <c r="Z63" s="6"/>
      <c r="AA63" s="6"/>
      <c r="AB63" s="508"/>
      <c r="AC63" s="66"/>
      <c r="AD63" s="470"/>
      <c r="AE63" s="6"/>
      <c r="AF63" s="6"/>
      <c r="AG63" s="508"/>
      <c r="AH63" s="509"/>
      <c r="AI63" s="6"/>
      <c r="AJ63" s="6"/>
      <c r="AK63" s="508"/>
    </row>
    <row r="64" spans="1:37" ht="42.45" x14ac:dyDescent="0.35">
      <c r="A64" s="1477"/>
      <c r="B64" s="472">
        <v>2</v>
      </c>
      <c r="C64" s="496"/>
      <c r="D64" s="497"/>
      <c r="E64" s="497"/>
      <c r="F64" s="498"/>
      <c r="G64" s="537"/>
      <c r="H64" s="485"/>
      <c r="I64" s="485"/>
      <c r="J64" s="535"/>
      <c r="L64" s="440"/>
      <c r="M64" s="436"/>
      <c r="N64" s="436"/>
      <c r="O64" s="528"/>
      <c r="P64" s="529"/>
      <c r="Q64" s="530"/>
      <c r="R64" s="530"/>
      <c r="S64" s="536"/>
      <c r="T64" s="66"/>
      <c r="U64" s="531"/>
      <c r="V64" s="530"/>
      <c r="W64" s="530"/>
      <c r="X64" s="528"/>
      <c r="Y64" s="532"/>
      <c r="Z64" s="530"/>
      <c r="AA64" s="530"/>
      <c r="AB64" s="536"/>
      <c r="AC64" s="66"/>
      <c r="AD64" s="531"/>
      <c r="AE64" s="530">
        <v>92</v>
      </c>
      <c r="AF64" s="530"/>
      <c r="AG64" s="528"/>
      <c r="AH64" s="529"/>
      <c r="AI64" s="530"/>
      <c r="AJ64" s="559" t="s">
        <v>327</v>
      </c>
      <c r="AK64" s="536"/>
    </row>
    <row r="65" spans="1:33" x14ac:dyDescent="0.35">
      <c r="A65" s="423" t="s">
        <v>225</v>
      </c>
      <c r="C65" s="65">
        <f>SUM(C3:C64)</f>
        <v>1756</v>
      </c>
      <c r="D65" s="65">
        <f>SUM(D3:D64)</f>
        <v>160</v>
      </c>
      <c r="E65" s="65">
        <f>SUM(E3:E64)</f>
        <v>413</v>
      </c>
      <c r="F65" s="65">
        <f>SUM(F3:F64)</f>
        <v>575</v>
      </c>
      <c r="L65" s="65">
        <f>SUM(L3:L64)</f>
        <v>57</v>
      </c>
      <c r="M65" s="65">
        <f>SUM(M3:M64)</f>
        <v>216</v>
      </c>
      <c r="N65" s="65">
        <f>SUM(N3:N64)</f>
        <v>55</v>
      </c>
      <c r="O65" s="65">
        <f>SUM(O3:O64)</f>
        <v>0</v>
      </c>
      <c r="U65" s="65">
        <f>SUM(U3:U64)</f>
        <v>27</v>
      </c>
      <c r="V65" s="65">
        <f>SUM(V3:V64)</f>
        <v>200</v>
      </c>
      <c r="W65" s="65">
        <f>SUM(W3:W64)</f>
        <v>289</v>
      </c>
      <c r="X65" s="65">
        <f>SUM(X3:X64)</f>
        <v>0</v>
      </c>
      <c r="AD65" s="65">
        <f>SUM(AD3:AD64)</f>
        <v>193</v>
      </c>
      <c r="AE65" s="65">
        <f>SUM(AE3:AE64)</f>
        <v>98</v>
      </c>
      <c r="AF65" s="65">
        <f>SUM(AF3:AF64)</f>
        <v>92</v>
      </c>
      <c r="AG65" s="65">
        <f>SUM(AG3:AG64)</f>
        <v>35</v>
      </c>
    </row>
    <row r="73" spans="1:33" ht="14.6" thickBot="1" x14ac:dyDescent="0.4"/>
    <row r="74" spans="1:3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3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33" ht="21.75" customHeight="1" x14ac:dyDescent="0.4">
      <c r="B76" s="541" t="s">
        <v>218</v>
      </c>
      <c r="C76" s="542">
        <f>C65</f>
        <v>1756</v>
      </c>
      <c r="D76" s="543">
        <f>C76/60</f>
        <v>29.266666666666666</v>
      </c>
      <c r="E76" s="542">
        <f>D65</f>
        <v>160</v>
      </c>
      <c r="F76" s="544">
        <f>E76/60</f>
        <v>2.6666666666666665</v>
      </c>
      <c r="G76" s="542">
        <f>E65</f>
        <v>413</v>
      </c>
      <c r="H76" s="543">
        <f>G76/60</f>
        <v>6.8833333333333337</v>
      </c>
      <c r="I76" s="542">
        <f>F65</f>
        <v>575</v>
      </c>
      <c r="J76" s="543">
        <f>I76/60</f>
        <v>9.5833333333333339</v>
      </c>
    </row>
    <row r="77" spans="1:33" ht="19.5" customHeight="1" x14ac:dyDescent="0.4">
      <c r="B77" s="541" t="s">
        <v>219</v>
      </c>
      <c r="C77" s="545">
        <f>L65</f>
        <v>57</v>
      </c>
      <c r="D77" s="546">
        <f t="shared" ref="D77:F79" si="0">C77/60</f>
        <v>0.95</v>
      </c>
      <c r="E77" s="545">
        <f>M65</f>
        <v>216</v>
      </c>
      <c r="F77" s="547">
        <f t="shared" si="0"/>
        <v>3.6</v>
      </c>
      <c r="G77" s="545">
        <f>N65</f>
        <v>55</v>
      </c>
      <c r="H77" s="546">
        <f t="shared" ref="H77:J79" si="1">G77/60</f>
        <v>0.91666666666666663</v>
      </c>
      <c r="I77" s="545">
        <f>O65</f>
        <v>0</v>
      </c>
      <c r="J77" s="546">
        <f t="shared" si="1"/>
        <v>0</v>
      </c>
    </row>
    <row r="78" spans="1:33" ht="20.25" customHeight="1" x14ac:dyDescent="0.4">
      <c r="B78" s="541" t="s">
        <v>220</v>
      </c>
      <c r="C78" s="545">
        <f>U65</f>
        <v>27</v>
      </c>
      <c r="D78" s="546">
        <f t="shared" si="0"/>
        <v>0.45</v>
      </c>
      <c r="E78" s="545">
        <f>V65</f>
        <v>200</v>
      </c>
      <c r="F78" s="547">
        <f t="shared" si="0"/>
        <v>3.3333333333333335</v>
      </c>
      <c r="G78" s="545">
        <f>W65</f>
        <v>289</v>
      </c>
      <c r="H78" s="546">
        <f t="shared" si="1"/>
        <v>4.8166666666666664</v>
      </c>
      <c r="I78" s="545">
        <f>X65</f>
        <v>0</v>
      </c>
      <c r="J78" s="546">
        <f t="shared" si="1"/>
        <v>0</v>
      </c>
    </row>
    <row r="79" spans="1:33" ht="22.5" customHeight="1" thickBot="1" x14ac:dyDescent="0.45">
      <c r="B79" s="541" t="s">
        <v>221</v>
      </c>
      <c r="C79" s="548">
        <f>AD65</f>
        <v>193</v>
      </c>
      <c r="D79" s="549">
        <f t="shared" si="0"/>
        <v>3.2166666666666668</v>
      </c>
      <c r="E79" s="548">
        <f>AE65</f>
        <v>98</v>
      </c>
      <c r="F79" s="550">
        <f t="shared" si="0"/>
        <v>1.6333333333333333</v>
      </c>
      <c r="G79" s="548">
        <f>AF65</f>
        <v>92</v>
      </c>
      <c r="H79" s="549">
        <f t="shared" si="1"/>
        <v>1.5333333333333334</v>
      </c>
      <c r="I79" s="548">
        <f>AG65</f>
        <v>35</v>
      </c>
      <c r="J79" s="549">
        <f t="shared" si="1"/>
        <v>0.58333333333333337</v>
      </c>
    </row>
    <row r="80" spans="1:33" ht="18.45" thickBot="1" x14ac:dyDescent="0.5">
      <c r="B80" s="354"/>
      <c r="C80" s="255"/>
      <c r="D80" s="255"/>
      <c r="E80" s="255"/>
      <c r="F80" s="255"/>
      <c r="G80" s="255"/>
      <c r="H80" s="255"/>
      <c r="I80" s="255"/>
      <c r="J80" s="255"/>
    </row>
    <row r="81" spans="2:10" ht="18.45" thickBot="1" x14ac:dyDescent="0.5">
      <c r="B81" s="551" t="s">
        <v>217</v>
      </c>
      <c r="C81" s="556"/>
      <c r="D81" s="557">
        <f>SUM(D76:D80)</f>
        <v>33.883333333333333</v>
      </c>
      <c r="E81" s="556"/>
      <c r="F81" s="557">
        <f>SUM(F76:F80)</f>
        <v>11.233333333333333</v>
      </c>
      <c r="G81" s="556"/>
      <c r="H81" s="557">
        <f>SUM(H76:H80)</f>
        <v>14.15</v>
      </c>
      <c r="I81" s="556"/>
      <c r="J81" s="558">
        <f>SUM(J76:J80)</f>
        <v>10.166666666666668</v>
      </c>
    </row>
  </sheetData>
  <mergeCells count="46">
    <mergeCell ref="A57:A58"/>
    <mergeCell ref="A35:A36"/>
    <mergeCell ref="A37:A38"/>
    <mergeCell ref="A39:A40"/>
    <mergeCell ref="A41:A42"/>
    <mergeCell ref="A43:A44"/>
    <mergeCell ref="A51:A52"/>
    <mergeCell ref="A53:A54"/>
    <mergeCell ref="I74:J74"/>
    <mergeCell ref="A59:A60"/>
    <mergeCell ref="A61:A62"/>
    <mergeCell ref="A63:A64"/>
    <mergeCell ref="C74:D74"/>
    <mergeCell ref="E74:F74"/>
    <mergeCell ref="G74:H74"/>
    <mergeCell ref="G21:G22"/>
    <mergeCell ref="AH25:AH26"/>
    <mergeCell ref="J32:J33"/>
    <mergeCell ref="A55:A56"/>
    <mergeCell ref="A33:A34"/>
    <mergeCell ref="A21:A22"/>
    <mergeCell ref="A23:A24"/>
    <mergeCell ref="A25:A26"/>
    <mergeCell ref="A27:A28"/>
    <mergeCell ref="A29:A30"/>
    <mergeCell ref="A31:A32"/>
    <mergeCell ref="A45:A46"/>
    <mergeCell ref="A47:A48"/>
    <mergeCell ref="A49:A50"/>
    <mergeCell ref="A11:A12"/>
    <mergeCell ref="A13:A14"/>
    <mergeCell ref="A15:A16"/>
    <mergeCell ref="A17:A18"/>
    <mergeCell ref="A19:A20"/>
    <mergeCell ref="AD1:AG1"/>
    <mergeCell ref="AH1:AK1"/>
    <mergeCell ref="A3:A4"/>
    <mergeCell ref="A5:A6"/>
    <mergeCell ref="A7:A8"/>
    <mergeCell ref="U1:X1"/>
    <mergeCell ref="Y1:AB1"/>
    <mergeCell ref="A9:A10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  <ignoredErrors>
    <ignoredError sqref="E76 E77:E79 I76:I79 G76:G79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81"/>
  <sheetViews>
    <sheetView zoomScale="70" zoomScaleNormal="70" workbookViewId="0">
      <pane xSplit="2" ySplit="2" topLeftCell="C51" activePane="bottomRight" state="frozen"/>
      <selection pane="topRight" activeCell="C1" sqref="C1"/>
      <selection pane="bottomLeft" activeCell="A3" sqref="A3"/>
      <selection pane="bottomRight" activeCell="D81" sqref="D81"/>
    </sheetView>
  </sheetViews>
  <sheetFormatPr defaultColWidth="8.84375" defaultRowHeight="14.15" x14ac:dyDescent="0.35"/>
  <cols>
    <col min="1" max="1" width="14.53515625" style="423" customWidth="1"/>
    <col min="2" max="2" width="15.69140625" style="65" customWidth="1"/>
    <col min="3" max="3" width="10.69140625" style="423" customWidth="1"/>
    <col min="4" max="5" width="10.3046875" style="423" customWidth="1"/>
    <col min="6" max="6" width="10.84375" style="423" customWidth="1"/>
    <col min="7" max="7" width="17.69140625" style="423" bestFit="1" customWidth="1"/>
    <col min="8" max="8" width="16.84375" style="423" customWidth="1"/>
    <col min="9" max="9" width="16.15234375" style="423" customWidth="1"/>
    <col min="10" max="10" width="17.3046875" style="423" bestFit="1" customWidth="1"/>
    <col min="11" max="11" width="8.84375" style="423"/>
    <col min="12" max="13" width="9.69140625" style="423" customWidth="1"/>
    <col min="14" max="15" width="9.84375" style="423" customWidth="1"/>
    <col min="16" max="16" width="16.84375" style="423" customWidth="1"/>
    <col min="17" max="17" width="17.3046875" style="423" customWidth="1"/>
    <col min="18" max="18" width="21.69140625" style="423" customWidth="1"/>
    <col min="19" max="19" width="15.3046875" style="423" bestFit="1" customWidth="1"/>
    <col min="20" max="21" width="8.84375" style="423"/>
    <col min="22" max="22" width="15.3828125" style="423" customWidth="1"/>
    <col min="23" max="23" width="8.84375" style="423"/>
    <col min="24" max="24" width="9.3828125" style="423" bestFit="1" customWidth="1"/>
    <col min="25" max="26" width="17.15234375" style="423" customWidth="1"/>
    <col min="27" max="27" width="16.69140625" style="423" customWidth="1"/>
    <col min="28" max="28" width="15.3046875" style="423" customWidth="1"/>
    <col min="29" max="33" width="8.84375" style="423"/>
    <col min="34" max="34" width="17.69140625" style="423" bestFit="1" customWidth="1"/>
    <col min="35" max="35" width="15" style="423" bestFit="1" customWidth="1"/>
    <col min="36" max="36" width="15.84375" style="423" customWidth="1"/>
    <col min="37" max="37" width="15.3046875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202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203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14.6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14.6" thickTop="1" x14ac:dyDescent="0.35">
      <c r="A3" s="1478">
        <v>44593</v>
      </c>
      <c r="B3" s="501">
        <v>1</v>
      </c>
      <c r="C3" s="490"/>
      <c r="D3" s="491"/>
      <c r="E3" s="491"/>
      <c r="F3" s="492"/>
      <c r="G3" s="478"/>
      <c r="H3" s="479"/>
      <c r="I3" s="515"/>
      <c r="J3" s="477"/>
      <c r="L3" s="441"/>
      <c r="M3" s="522"/>
      <c r="N3" s="442"/>
      <c r="O3" s="520"/>
      <c r="P3" s="521"/>
      <c r="Q3" s="538"/>
      <c r="R3" s="522"/>
      <c r="S3" s="520"/>
      <c r="T3" s="66"/>
      <c r="U3" s="507"/>
      <c r="V3" s="522"/>
      <c r="W3" s="522"/>
      <c r="X3" s="508"/>
      <c r="Y3" s="469"/>
      <c r="Z3" s="521"/>
      <c r="AA3" s="522"/>
      <c r="AB3" s="520"/>
      <c r="AC3" s="66"/>
      <c r="AD3" s="507"/>
      <c r="AE3" s="522"/>
      <c r="AF3" s="6">
        <v>10</v>
      </c>
      <c r="AG3" s="520"/>
      <c r="AH3" s="521"/>
      <c r="AI3" s="522"/>
      <c r="AJ3" s="6" t="s">
        <v>330</v>
      </c>
      <c r="AK3" s="520"/>
    </row>
    <row r="4" spans="1:37" x14ac:dyDescent="0.35">
      <c r="A4" s="1477"/>
      <c r="B4" s="472">
        <v>2</v>
      </c>
      <c r="C4" s="493"/>
      <c r="D4" s="494"/>
      <c r="E4" s="494">
        <v>25</v>
      </c>
      <c r="F4" s="495"/>
      <c r="G4" s="481"/>
      <c r="H4" s="502"/>
      <c r="I4" s="479" t="s">
        <v>152</v>
      </c>
      <c r="J4" s="480"/>
      <c r="L4" s="439"/>
      <c r="M4" s="433"/>
      <c r="N4" s="433"/>
      <c r="O4" s="508"/>
      <c r="P4" s="509"/>
      <c r="Q4" s="6"/>
      <c r="R4" s="6"/>
      <c r="S4" s="508"/>
      <c r="T4" s="66"/>
      <c r="U4" s="470"/>
      <c r="V4" s="502"/>
      <c r="W4" s="6"/>
      <c r="X4" s="508"/>
      <c r="Y4" s="469"/>
      <c r="Z4" s="6"/>
      <c r="AA4" s="469"/>
      <c r="AB4" s="508"/>
      <c r="AC4" s="66"/>
      <c r="AD4" s="470"/>
      <c r="AE4" s="6"/>
      <c r="AF4" s="6"/>
      <c r="AG4" s="508"/>
      <c r="AH4" s="509"/>
      <c r="AI4" s="6"/>
      <c r="AJ4" s="6"/>
      <c r="AK4" s="508"/>
    </row>
    <row r="5" spans="1:37" x14ac:dyDescent="0.35">
      <c r="A5" s="1478">
        <v>44594</v>
      </c>
      <c r="B5" s="472">
        <v>1</v>
      </c>
      <c r="C5" s="493"/>
      <c r="D5" s="494"/>
      <c r="E5" s="494">
        <v>18</v>
      </c>
      <c r="F5" s="495"/>
      <c r="G5" s="478"/>
      <c r="H5" s="479"/>
      <c r="I5" s="479" t="s">
        <v>152</v>
      </c>
      <c r="J5" s="480"/>
      <c r="L5" s="439"/>
      <c r="M5" s="433"/>
      <c r="N5" s="433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469"/>
      <c r="AB5" s="508"/>
      <c r="AC5" s="66"/>
      <c r="AD5" s="470">
        <v>1875</v>
      </c>
      <c r="AE5" s="6"/>
      <c r="AF5" s="6"/>
      <c r="AG5" s="508"/>
      <c r="AH5" s="509" t="s">
        <v>329</v>
      </c>
      <c r="AI5" s="6"/>
      <c r="AJ5" s="6"/>
      <c r="AK5" s="508"/>
    </row>
    <row r="6" spans="1:37" x14ac:dyDescent="0.35">
      <c r="A6" s="1477"/>
      <c r="B6" s="472">
        <v>2</v>
      </c>
      <c r="C6" s="493"/>
      <c r="D6" s="494"/>
      <c r="E6" s="494">
        <v>20</v>
      </c>
      <c r="F6" s="495"/>
      <c r="G6" s="478"/>
      <c r="H6" s="479"/>
      <c r="I6" s="479" t="s">
        <v>152</v>
      </c>
      <c r="J6" s="480"/>
      <c r="L6" s="439"/>
      <c r="M6" s="15"/>
      <c r="N6" s="433"/>
      <c r="O6" s="508"/>
      <c r="P6" s="509"/>
      <c r="Q6" s="502"/>
      <c r="R6" s="6"/>
      <c r="S6" s="508"/>
      <c r="T6" s="66"/>
      <c r="U6" s="470"/>
      <c r="V6" s="6"/>
      <c r="W6" s="6">
        <v>15</v>
      </c>
      <c r="X6" s="508"/>
      <c r="Y6" s="469"/>
      <c r="Z6" s="502"/>
      <c r="AA6" s="502" t="s">
        <v>152</v>
      </c>
      <c r="AB6" s="508"/>
      <c r="AC6" s="66"/>
      <c r="AD6" s="470"/>
      <c r="AE6" s="6"/>
      <c r="AF6" s="6"/>
      <c r="AG6" s="508"/>
      <c r="AH6" s="509"/>
      <c r="AI6" s="6"/>
      <c r="AJ6" s="502"/>
      <c r="AK6" s="508"/>
    </row>
    <row r="7" spans="1:37" x14ac:dyDescent="0.35">
      <c r="A7" s="1478">
        <v>44595</v>
      </c>
      <c r="B7" s="472">
        <v>1</v>
      </c>
      <c r="C7" s="493"/>
      <c r="D7" s="494"/>
      <c r="E7" s="494">
        <v>41</v>
      </c>
      <c r="F7" s="495"/>
      <c r="G7" s="478"/>
      <c r="H7" s="483"/>
      <c r="I7" s="479" t="s">
        <v>152</v>
      </c>
      <c r="J7" s="480"/>
      <c r="L7" s="470"/>
      <c r="M7" s="509"/>
      <c r="N7" s="433"/>
      <c r="O7" s="508"/>
      <c r="P7" s="509"/>
      <c r="Q7" s="509"/>
      <c r="R7" s="6"/>
      <c r="S7" s="508"/>
      <c r="T7" s="66"/>
      <c r="U7" s="470"/>
      <c r="V7" s="524"/>
      <c r="W7" s="6">
        <v>10</v>
      </c>
      <c r="X7" s="508"/>
      <c r="Y7" s="509"/>
      <c r="Z7" s="6"/>
      <c r="AA7" s="502" t="s">
        <v>152</v>
      </c>
      <c r="AB7" s="508"/>
      <c r="AC7" s="66"/>
      <c r="AD7" s="470"/>
      <c r="AE7" s="6"/>
      <c r="AF7" s="6"/>
      <c r="AG7" s="508"/>
      <c r="AH7" s="509"/>
      <c r="AI7" s="6"/>
      <c r="AJ7" s="6"/>
      <c r="AK7" s="508"/>
    </row>
    <row r="8" spans="1:37" x14ac:dyDescent="0.35">
      <c r="A8" s="1477"/>
      <c r="B8" s="472">
        <v>2</v>
      </c>
      <c r="C8" s="493"/>
      <c r="D8" s="494"/>
      <c r="E8" s="494"/>
      <c r="F8" s="495"/>
      <c r="G8" s="481"/>
      <c r="H8" s="483"/>
      <c r="I8" s="513"/>
      <c r="J8" s="480"/>
      <c r="L8" s="470"/>
      <c r="M8" s="6"/>
      <c r="N8" s="6"/>
      <c r="O8" s="508"/>
      <c r="P8" s="469"/>
      <c r="Q8" s="6"/>
      <c r="R8" s="502"/>
      <c r="S8" s="508"/>
      <c r="T8" s="66"/>
      <c r="U8" s="470"/>
      <c r="V8" s="525"/>
      <c r="W8" s="509"/>
      <c r="X8" s="508"/>
      <c r="Y8" s="469"/>
      <c r="Z8" s="6"/>
      <c r="AA8" s="469"/>
      <c r="AB8" s="508"/>
      <c r="AC8" s="66"/>
      <c r="AD8" s="470"/>
      <c r="AE8" s="6"/>
      <c r="AF8" s="6"/>
      <c r="AG8" s="508"/>
      <c r="AH8" s="509"/>
      <c r="AI8" s="6"/>
      <c r="AJ8" s="6"/>
      <c r="AK8" s="508"/>
    </row>
    <row r="9" spans="1:37" x14ac:dyDescent="0.35">
      <c r="A9" s="1478">
        <v>44596</v>
      </c>
      <c r="B9" s="472">
        <v>1</v>
      </c>
      <c r="C9" s="493"/>
      <c r="D9" s="494"/>
      <c r="E9" s="494"/>
      <c r="F9" s="495"/>
      <c r="G9" s="478"/>
      <c r="H9" s="479"/>
      <c r="I9" s="514"/>
      <c r="J9" s="480"/>
      <c r="L9" s="470"/>
      <c r="M9" s="6"/>
      <c r="N9" s="6"/>
      <c r="O9" s="508"/>
      <c r="P9" s="469"/>
      <c r="Q9" s="6"/>
      <c r="R9" s="502"/>
      <c r="S9" s="508"/>
      <c r="T9" s="66"/>
      <c r="U9" s="470"/>
      <c r="V9" s="6"/>
      <c r="W9" s="6">
        <v>15</v>
      </c>
      <c r="X9" s="508"/>
      <c r="Y9" s="509"/>
      <c r="Z9" s="6"/>
      <c r="AA9" s="6" t="s">
        <v>331</v>
      </c>
      <c r="AB9" s="508"/>
      <c r="AC9" s="66"/>
      <c r="AD9" s="470"/>
      <c r="AE9" s="6"/>
      <c r="AF9" s="6"/>
      <c r="AG9" s="508"/>
      <c r="AH9" s="509"/>
      <c r="AI9" s="6"/>
      <c r="AJ9" s="6"/>
      <c r="AK9" s="508"/>
    </row>
    <row r="10" spans="1:37" x14ac:dyDescent="0.35">
      <c r="A10" s="1477"/>
      <c r="B10" s="472">
        <v>2</v>
      </c>
      <c r="C10" s="493"/>
      <c r="D10" s="494"/>
      <c r="E10" s="494">
        <v>10</v>
      </c>
      <c r="F10" s="495"/>
      <c r="G10" s="478"/>
      <c r="H10" s="479"/>
      <c r="I10" s="514" t="s">
        <v>332</v>
      </c>
      <c r="J10" s="480"/>
      <c r="L10" s="470"/>
      <c r="M10" s="6"/>
      <c r="N10" s="6"/>
      <c r="O10" s="508"/>
      <c r="P10" s="469"/>
      <c r="Q10" s="6"/>
      <c r="R10" s="502"/>
      <c r="S10" s="508"/>
      <c r="T10" s="66"/>
      <c r="U10" s="470"/>
      <c r="V10" s="6"/>
      <c r="W10" s="6"/>
      <c r="X10" s="508"/>
      <c r="Y10" s="469"/>
      <c r="Z10" s="6"/>
      <c r="AA10" s="6"/>
      <c r="AB10" s="508"/>
      <c r="AC10" s="66"/>
      <c r="AD10" s="470"/>
      <c r="AE10" s="6"/>
      <c r="AF10" s="6"/>
      <c r="AG10" s="508"/>
      <c r="AH10" s="509"/>
      <c r="AI10" s="6"/>
      <c r="AJ10" s="6"/>
      <c r="AK10" s="508"/>
    </row>
    <row r="11" spans="1:37" ht="28.3" x14ac:dyDescent="0.35">
      <c r="A11" s="1478">
        <v>44597</v>
      </c>
      <c r="B11" s="472">
        <v>1</v>
      </c>
      <c r="C11" s="493">
        <v>4140</v>
      </c>
      <c r="D11" s="494"/>
      <c r="E11" s="494"/>
      <c r="F11" s="495"/>
      <c r="G11" s="481" t="s">
        <v>329</v>
      </c>
      <c r="H11" s="479"/>
      <c r="I11" s="479"/>
      <c r="J11" s="480"/>
      <c r="L11" s="470"/>
      <c r="M11" s="433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</row>
    <row r="12" spans="1:37" x14ac:dyDescent="0.35">
      <c r="A12" s="1477"/>
      <c r="B12" s="472">
        <v>2</v>
      </c>
      <c r="C12" s="493"/>
      <c r="D12" s="494"/>
      <c r="E12" s="494"/>
      <c r="F12" s="495"/>
      <c r="G12" s="478"/>
      <c r="H12" s="479"/>
      <c r="I12" s="515"/>
      <c r="J12" s="480"/>
      <c r="L12" s="470"/>
      <c r="M12" s="433"/>
      <c r="N12" s="6"/>
      <c r="O12" s="508"/>
      <c r="P12" s="469"/>
      <c r="Q12" s="6"/>
      <c r="R12" s="502"/>
      <c r="S12" s="508"/>
      <c r="T12" s="66"/>
      <c r="U12" s="470"/>
      <c r="V12" s="6"/>
      <c r="W12" s="6"/>
      <c r="X12" s="508"/>
      <c r="Y12" s="509"/>
      <c r="Z12" s="6"/>
      <c r="AA12" s="6"/>
      <c r="AB12" s="508"/>
      <c r="AC12" s="66"/>
      <c r="AD12" s="470"/>
      <c r="AE12" s="6"/>
      <c r="AF12" s="6"/>
      <c r="AG12" s="508"/>
      <c r="AH12" s="509"/>
      <c r="AI12" s="6"/>
      <c r="AJ12" s="6"/>
      <c r="AK12" s="508"/>
    </row>
    <row r="13" spans="1:37" x14ac:dyDescent="0.35">
      <c r="A13" s="1478">
        <v>44598</v>
      </c>
      <c r="B13" s="472">
        <v>1</v>
      </c>
      <c r="C13" s="493"/>
      <c r="D13" s="494"/>
      <c r="E13" s="494"/>
      <c r="F13" s="495"/>
      <c r="G13" s="478"/>
      <c r="H13" s="479"/>
      <c r="I13" s="515"/>
      <c r="J13" s="480"/>
      <c r="L13" s="516"/>
      <c r="M13" s="15"/>
      <c r="N13" s="15"/>
      <c r="O13" s="508"/>
      <c r="P13" s="469"/>
      <c r="Q13" s="6"/>
      <c r="R13" s="502"/>
      <c r="S13" s="508"/>
      <c r="T13" s="66"/>
      <c r="U13" s="470"/>
      <c r="V13" s="6"/>
      <c r="W13" s="6"/>
      <c r="X13" s="508"/>
      <c r="Y13" s="509"/>
      <c r="Z13" s="6"/>
      <c r="AA13" s="502"/>
      <c r="AB13" s="526"/>
      <c r="AC13" s="66"/>
      <c r="AD13" s="470"/>
      <c r="AE13" s="6"/>
      <c r="AF13" s="6"/>
      <c r="AG13" s="508"/>
      <c r="AH13" s="509"/>
      <c r="AI13" s="6"/>
      <c r="AJ13" s="6"/>
      <c r="AK13" s="508"/>
    </row>
    <row r="14" spans="1:37" x14ac:dyDescent="0.35">
      <c r="A14" s="1477"/>
      <c r="B14" s="472">
        <v>2</v>
      </c>
      <c r="C14" s="493"/>
      <c r="D14" s="494"/>
      <c r="E14" s="494"/>
      <c r="F14" s="495"/>
      <c r="G14" s="478"/>
      <c r="H14" s="479"/>
      <c r="I14" s="479"/>
      <c r="J14" s="480"/>
      <c r="L14" s="439"/>
      <c r="M14" s="433"/>
      <c r="N14" s="433"/>
      <c r="O14" s="508"/>
      <c r="P14" s="509"/>
      <c r="Q14" s="6"/>
      <c r="R14" s="6"/>
      <c r="S14" s="508"/>
      <c r="T14" s="66"/>
      <c r="U14" s="470"/>
      <c r="V14" s="6"/>
      <c r="W14" s="6"/>
      <c r="X14" s="508"/>
      <c r="Y14" s="509"/>
      <c r="Z14" s="6"/>
      <c r="AA14" s="6"/>
      <c r="AB14" s="508"/>
      <c r="AC14" s="66"/>
      <c r="AD14" s="470"/>
      <c r="AE14" s="6"/>
      <c r="AF14" s="6"/>
      <c r="AG14" s="508"/>
      <c r="AH14" s="469"/>
      <c r="AI14" s="6"/>
      <c r="AJ14" s="6"/>
      <c r="AK14" s="508"/>
    </row>
    <row r="15" spans="1:37" x14ac:dyDescent="0.35">
      <c r="A15" s="1478">
        <v>44599</v>
      </c>
      <c r="B15" s="472">
        <v>1</v>
      </c>
      <c r="C15" s="493"/>
      <c r="D15" s="494"/>
      <c r="E15" s="6"/>
      <c r="F15" s="495"/>
      <c r="G15" s="478"/>
      <c r="H15" s="483"/>
      <c r="I15" s="515"/>
      <c r="J15" s="480"/>
      <c r="L15" s="439"/>
      <c r="M15" s="6"/>
      <c r="N15" s="433"/>
      <c r="O15" s="508"/>
      <c r="P15" s="470"/>
      <c r="Q15" s="483"/>
      <c r="R15" s="6"/>
      <c r="S15" s="508"/>
      <c r="T15" s="66"/>
      <c r="U15" s="470"/>
      <c r="V15" s="6"/>
      <c r="W15" s="6"/>
      <c r="X15" s="508"/>
      <c r="Y15" s="470"/>
      <c r="Z15" s="483"/>
      <c r="AA15" s="6"/>
      <c r="AB15" s="508"/>
      <c r="AC15" s="66"/>
      <c r="AD15" s="470"/>
      <c r="AE15" s="6"/>
      <c r="AF15" s="6"/>
      <c r="AG15" s="508"/>
      <c r="AH15" s="470"/>
      <c r="AI15" s="483"/>
      <c r="AJ15" s="502"/>
      <c r="AK15" s="508"/>
    </row>
    <row r="16" spans="1:37" x14ac:dyDescent="0.35">
      <c r="A16" s="1477"/>
      <c r="B16" s="472">
        <v>2</v>
      </c>
      <c r="C16" s="493"/>
      <c r="D16" s="494"/>
      <c r="E16" s="494"/>
      <c r="F16" s="495"/>
      <c r="G16" s="478"/>
      <c r="H16" s="479"/>
      <c r="I16" s="479"/>
      <c r="J16" s="480"/>
      <c r="L16" s="439"/>
      <c r="M16" s="433"/>
      <c r="N16" s="433"/>
      <c r="O16" s="508"/>
      <c r="P16" s="470"/>
      <c r="Q16" s="6"/>
      <c r="R16" s="6"/>
      <c r="S16" s="508"/>
      <c r="T16" s="66"/>
      <c r="U16" s="470"/>
      <c r="V16" s="6"/>
      <c r="W16" s="6"/>
      <c r="X16" s="508"/>
      <c r="Y16" s="479"/>
      <c r="Z16" s="479"/>
      <c r="AA16" s="6"/>
      <c r="AB16" s="508"/>
      <c r="AC16" s="66"/>
      <c r="AD16" s="470"/>
      <c r="AE16" s="6"/>
      <c r="AF16" s="6"/>
      <c r="AG16" s="508"/>
      <c r="AH16" s="470"/>
      <c r="AI16" s="6"/>
      <c r="AJ16" s="6"/>
      <c r="AK16" s="508"/>
    </row>
    <row r="17" spans="1:37" x14ac:dyDescent="0.35">
      <c r="A17" s="1478">
        <v>44600</v>
      </c>
      <c r="B17" s="533">
        <v>1</v>
      </c>
      <c r="C17" s="493"/>
      <c r="D17" s="494"/>
      <c r="E17" s="494"/>
      <c r="F17" s="495"/>
      <c r="G17" s="478"/>
      <c r="H17" s="479"/>
      <c r="I17" s="479"/>
      <c r="J17" s="480"/>
      <c r="L17" s="516"/>
      <c r="M17" s="433"/>
      <c r="N17" s="433"/>
      <c r="O17" s="508"/>
      <c r="P17" s="470"/>
      <c r="Q17" s="6"/>
      <c r="R17" s="6"/>
      <c r="S17" s="508"/>
      <c r="T17" s="66"/>
      <c r="U17" s="470"/>
      <c r="V17" s="6">
        <v>148</v>
      </c>
      <c r="W17" s="6"/>
      <c r="X17" s="508"/>
      <c r="Y17" s="470"/>
      <c r="Z17" s="6"/>
      <c r="AA17" s="6" t="s">
        <v>96</v>
      </c>
      <c r="AB17" s="508"/>
      <c r="AC17" s="66"/>
      <c r="AD17" s="470"/>
      <c r="AE17" s="6"/>
      <c r="AF17" s="6"/>
      <c r="AG17" s="508"/>
      <c r="AH17" s="470"/>
      <c r="AI17" s="6"/>
      <c r="AJ17" s="502"/>
      <c r="AK17" s="508"/>
    </row>
    <row r="18" spans="1:37" x14ac:dyDescent="0.35">
      <c r="A18" s="1477"/>
      <c r="B18" s="472">
        <v>2</v>
      </c>
      <c r="C18" s="493"/>
      <c r="D18" s="494"/>
      <c r="E18" s="494">
        <v>66</v>
      </c>
      <c r="F18" s="495"/>
      <c r="G18" s="478"/>
      <c r="H18" s="483"/>
      <c r="I18" s="479" t="s">
        <v>331</v>
      </c>
      <c r="J18" s="480"/>
      <c r="L18" s="439"/>
      <c r="M18" s="433"/>
      <c r="N18" s="433"/>
      <c r="O18" s="508"/>
      <c r="P18" s="470"/>
      <c r="Q18" s="6"/>
      <c r="R18" s="6"/>
      <c r="S18" s="508"/>
      <c r="T18" s="66"/>
      <c r="U18" s="470"/>
      <c r="V18" s="6"/>
      <c r="W18" s="6"/>
      <c r="X18" s="508"/>
      <c r="Y18" s="470"/>
      <c r="Z18" s="6"/>
      <c r="AA18" s="6"/>
      <c r="AB18" s="508"/>
      <c r="AC18" s="66"/>
      <c r="AD18" s="470"/>
      <c r="AE18" s="6"/>
      <c r="AF18" s="6">
        <v>15</v>
      </c>
      <c r="AG18" s="508"/>
      <c r="AH18" s="470"/>
      <c r="AI18" s="6"/>
      <c r="AJ18" s="502" t="s">
        <v>152</v>
      </c>
      <c r="AK18" s="508"/>
    </row>
    <row r="19" spans="1:37" ht="44.25" customHeight="1" x14ac:dyDescent="0.35">
      <c r="A19" s="1478">
        <v>44601</v>
      </c>
      <c r="B19" s="472">
        <v>1</v>
      </c>
      <c r="D19" s="494"/>
      <c r="E19" s="494"/>
      <c r="F19" s="495"/>
      <c r="G19" s="478"/>
      <c r="H19" s="479"/>
      <c r="I19" s="479"/>
      <c r="J19" s="480"/>
      <c r="L19" s="439"/>
      <c r="M19" s="433"/>
      <c r="N19" s="433"/>
      <c r="O19" s="508"/>
      <c r="P19" s="470"/>
      <c r="Q19" s="6"/>
      <c r="R19" s="6"/>
      <c r="S19" s="508"/>
      <c r="T19" s="66"/>
      <c r="U19" s="470"/>
      <c r="V19" s="6"/>
      <c r="W19" s="6"/>
      <c r="X19" s="508"/>
      <c r="Y19" s="470"/>
      <c r="Z19" s="502"/>
      <c r="AA19" s="6"/>
      <c r="AB19" s="508"/>
      <c r="AC19" s="66"/>
      <c r="AD19" s="470"/>
      <c r="AE19" s="6"/>
      <c r="AF19" s="6"/>
      <c r="AG19" s="508"/>
      <c r="AH19" s="470"/>
      <c r="AI19" s="6"/>
      <c r="AJ19" s="502"/>
      <c r="AK19" s="508"/>
    </row>
    <row r="20" spans="1:37" ht="65.25" customHeight="1" x14ac:dyDescent="0.35">
      <c r="A20" s="1477"/>
      <c r="B20" s="472">
        <v>2</v>
      </c>
      <c r="C20" s="493"/>
      <c r="D20" s="494"/>
      <c r="E20" s="494">
        <v>5</v>
      </c>
      <c r="F20" s="495"/>
      <c r="G20" s="478"/>
      <c r="H20" s="515"/>
      <c r="I20" s="479" t="s">
        <v>331</v>
      </c>
      <c r="J20" s="480"/>
      <c r="L20" s="439"/>
      <c r="M20" s="433"/>
      <c r="N20" s="433"/>
      <c r="O20" s="508"/>
      <c r="P20" s="470"/>
      <c r="Q20" s="6"/>
      <c r="R20" s="6"/>
      <c r="S20" s="508"/>
      <c r="T20" s="66"/>
      <c r="U20" s="470"/>
      <c r="V20" s="214"/>
      <c r="W20" s="6">
        <v>11</v>
      </c>
      <c r="X20" s="508"/>
      <c r="Y20" s="470"/>
      <c r="Z20" s="502"/>
      <c r="AA20" s="6" t="s">
        <v>331</v>
      </c>
      <c r="AB20" s="508"/>
      <c r="AC20" s="66"/>
      <c r="AD20" s="470"/>
      <c r="AE20" s="6"/>
      <c r="AF20" s="6"/>
      <c r="AG20" s="508"/>
      <c r="AH20" s="470"/>
      <c r="AI20" s="6"/>
      <c r="AJ20" s="6"/>
      <c r="AK20" s="508"/>
    </row>
    <row r="21" spans="1:37" ht="52.5" customHeight="1" x14ac:dyDescent="0.35">
      <c r="A21" s="1478">
        <v>44602</v>
      </c>
      <c r="B21" s="472">
        <v>1</v>
      </c>
      <c r="C21" s="493"/>
      <c r="D21" s="494"/>
      <c r="E21" s="494"/>
      <c r="F21" s="495"/>
      <c r="G21" s="1485"/>
      <c r="H21" s="479"/>
      <c r="I21" s="479"/>
      <c r="J21" s="480"/>
      <c r="L21" s="439"/>
      <c r="M21" s="433"/>
      <c r="N21" s="433"/>
      <c r="O21" s="508"/>
      <c r="P21" s="470"/>
      <c r="Q21" s="6"/>
      <c r="R21" s="6"/>
      <c r="S21" s="508"/>
      <c r="T21" s="66"/>
      <c r="U21" s="470"/>
      <c r="V21" s="6"/>
      <c r="W21" s="6"/>
      <c r="X21" s="508"/>
      <c r="Y21" s="470"/>
      <c r="Z21" s="6"/>
      <c r="AA21" s="6"/>
      <c r="AB21" s="508"/>
      <c r="AC21" s="66"/>
      <c r="AD21" s="470"/>
      <c r="AE21" s="6"/>
      <c r="AF21" s="6"/>
      <c r="AG21" s="508"/>
      <c r="AH21" s="470"/>
      <c r="AI21" s="6"/>
      <c r="AJ21" s="6"/>
      <c r="AK21" s="508"/>
    </row>
    <row r="22" spans="1:37" ht="20.25" customHeight="1" x14ac:dyDescent="0.35">
      <c r="A22" s="1477"/>
      <c r="B22" s="472">
        <v>2</v>
      </c>
      <c r="C22" s="493"/>
      <c r="D22" s="494"/>
      <c r="E22" s="494"/>
      <c r="F22" s="495"/>
      <c r="G22" s="1486"/>
      <c r="H22" s="479"/>
      <c r="I22" s="515"/>
      <c r="J22" s="480"/>
      <c r="L22" s="470"/>
      <c r="M22" s="433"/>
      <c r="N22" s="433"/>
      <c r="O22" s="508"/>
      <c r="P22" s="469"/>
      <c r="Q22" s="6"/>
      <c r="R22" s="6"/>
      <c r="S22" s="508"/>
      <c r="T22" s="66"/>
      <c r="U22" s="470"/>
      <c r="V22" s="6"/>
      <c r="W22" s="6"/>
      <c r="X22" s="508"/>
      <c r="Y22" s="470"/>
      <c r="Z22" s="6"/>
      <c r="AA22" s="502"/>
      <c r="AB22" s="508"/>
      <c r="AC22" s="66"/>
      <c r="AD22" s="470"/>
      <c r="AE22" s="6"/>
      <c r="AF22" s="6"/>
      <c r="AG22" s="508"/>
      <c r="AH22" s="470"/>
      <c r="AI22" s="6"/>
      <c r="AJ22" s="6"/>
      <c r="AK22" s="508"/>
    </row>
    <row r="23" spans="1:37" ht="28.3" x14ac:dyDescent="0.35">
      <c r="A23" s="1478">
        <v>44603</v>
      </c>
      <c r="B23" s="534">
        <v>1</v>
      </c>
      <c r="C23" s="493"/>
      <c r="D23" s="494"/>
      <c r="E23" s="494"/>
      <c r="F23" s="495"/>
      <c r="G23" s="478"/>
      <c r="H23" s="479"/>
      <c r="I23" s="514"/>
      <c r="J23" s="480"/>
      <c r="L23" s="439"/>
      <c r="M23" s="433"/>
      <c r="N23" s="433"/>
      <c r="O23" s="508"/>
      <c r="P23" s="470"/>
      <c r="Q23" s="6"/>
      <c r="R23" s="6"/>
      <c r="S23" s="508"/>
      <c r="T23" s="66"/>
      <c r="U23" s="470"/>
      <c r="V23" s="6"/>
      <c r="W23" s="6">
        <v>25</v>
      </c>
      <c r="X23" s="508"/>
      <c r="Y23" s="470"/>
      <c r="Z23" s="6"/>
      <c r="AA23" s="502" t="s">
        <v>333</v>
      </c>
      <c r="AB23" s="508"/>
      <c r="AC23" s="66"/>
      <c r="AD23" s="470"/>
      <c r="AE23" s="6"/>
      <c r="AF23" s="6"/>
      <c r="AG23" s="508"/>
      <c r="AH23" s="465"/>
      <c r="AI23" s="6"/>
      <c r="AJ23" s="6"/>
      <c r="AK23" s="508"/>
    </row>
    <row r="24" spans="1:37" x14ac:dyDescent="0.35">
      <c r="A24" s="1477"/>
      <c r="B24" s="472">
        <v>2</v>
      </c>
      <c r="C24" s="493"/>
      <c r="D24" s="494"/>
      <c r="E24" s="494">
        <v>10</v>
      </c>
      <c r="F24" s="495"/>
      <c r="G24" s="478"/>
      <c r="H24" s="479"/>
      <c r="I24" s="479" t="s">
        <v>331</v>
      </c>
      <c r="J24" s="480"/>
      <c r="L24" s="439"/>
      <c r="M24" s="433"/>
      <c r="N24" s="433"/>
      <c r="O24" s="508"/>
      <c r="P24" s="470"/>
      <c r="Q24" s="6"/>
      <c r="R24" s="6"/>
      <c r="S24" s="508"/>
      <c r="T24" s="66"/>
      <c r="U24" s="470"/>
      <c r="V24" s="6"/>
      <c r="W24" s="6"/>
      <c r="X24" s="508"/>
      <c r="Y24" s="470"/>
      <c r="Z24" s="6"/>
      <c r="AA24" s="6"/>
      <c r="AB24" s="508"/>
      <c r="AC24" s="66"/>
      <c r="AD24" s="470"/>
      <c r="AE24" s="6"/>
      <c r="AF24" s="6"/>
      <c r="AG24" s="508"/>
      <c r="AH24" s="470"/>
      <c r="AI24" s="6"/>
      <c r="AJ24" s="6"/>
      <c r="AK24" s="508"/>
    </row>
    <row r="25" spans="1:37" ht="30" customHeight="1" x14ac:dyDescent="0.35">
      <c r="A25" s="1478">
        <v>44604</v>
      </c>
      <c r="B25" s="472">
        <v>1</v>
      </c>
      <c r="C25" s="493"/>
      <c r="D25" s="494">
        <v>10</v>
      </c>
      <c r="E25" s="494">
        <v>10</v>
      </c>
      <c r="F25" s="495"/>
      <c r="G25" s="478"/>
      <c r="H25" s="479" t="s">
        <v>334</v>
      </c>
      <c r="I25" s="483" t="s">
        <v>152</v>
      </c>
      <c r="J25" s="480"/>
      <c r="L25" s="439"/>
      <c r="M25" s="433">
        <v>70</v>
      </c>
      <c r="N25" s="433"/>
      <c r="O25" s="508"/>
      <c r="P25" s="470"/>
      <c r="Q25" s="479" t="s">
        <v>334</v>
      </c>
      <c r="R25" s="6"/>
      <c r="S25" s="508"/>
      <c r="T25" s="66"/>
      <c r="U25" s="470"/>
      <c r="V25" s="6"/>
      <c r="W25" s="6"/>
      <c r="X25" s="508"/>
      <c r="Y25" s="470"/>
      <c r="Z25" s="6"/>
      <c r="AA25" s="6"/>
      <c r="AB25" s="508"/>
      <c r="AC25" s="66"/>
      <c r="AD25" s="470"/>
      <c r="AE25" s="6"/>
      <c r="AF25" s="6"/>
      <c r="AG25" s="508"/>
      <c r="AH25" s="1487"/>
      <c r="AI25" s="6"/>
      <c r="AJ25" s="6"/>
      <c r="AK25" s="508"/>
    </row>
    <row r="26" spans="1:37" ht="28.3" x14ac:dyDescent="0.35">
      <c r="A26" s="1477"/>
      <c r="B26" s="472">
        <v>2</v>
      </c>
      <c r="C26" s="493"/>
      <c r="D26" s="494"/>
      <c r="E26" s="494">
        <v>47</v>
      </c>
      <c r="F26" s="495"/>
      <c r="G26" s="478"/>
      <c r="H26" s="479"/>
      <c r="I26" s="483" t="s">
        <v>335</v>
      </c>
      <c r="J26" s="480"/>
      <c r="L26" s="439"/>
      <c r="M26" s="433">
        <v>179</v>
      </c>
      <c r="N26" s="433"/>
      <c r="O26" s="508"/>
      <c r="P26" s="470"/>
      <c r="Q26" s="479" t="s">
        <v>334</v>
      </c>
      <c r="R26" s="6"/>
      <c r="S26" s="508"/>
      <c r="T26" s="66"/>
      <c r="U26" s="470"/>
      <c r="V26" s="6"/>
      <c r="W26" s="6">
        <v>10</v>
      </c>
      <c r="X26" s="508"/>
      <c r="Y26" s="470"/>
      <c r="Z26" s="6"/>
      <c r="AA26" s="502" t="s">
        <v>152</v>
      </c>
      <c r="AB26" s="508"/>
      <c r="AC26" s="66"/>
      <c r="AD26" s="470"/>
      <c r="AE26" s="6"/>
      <c r="AF26" s="6"/>
      <c r="AG26" s="508"/>
      <c r="AH26" s="1488"/>
      <c r="AI26" s="6"/>
      <c r="AJ26" s="6"/>
      <c r="AK26" s="508"/>
    </row>
    <row r="27" spans="1:37" ht="28.3" x14ac:dyDescent="0.35">
      <c r="A27" s="1478">
        <v>44605</v>
      </c>
      <c r="B27" s="533">
        <v>1</v>
      </c>
      <c r="C27" s="493"/>
      <c r="D27" s="494"/>
      <c r="E27" s="494">
        <v>20</v>
      </c>
      <c r="F27" s="495"/>
      <c r="G27" s="478"/>
      <c r="H27" s="479"/>
      <c r="I27" s="483" t="s">
        <v>328</v>
      </c>
      <c r="J27" s="480"/>
      <c r="L27" s="439"/>
      <c r="M27" s="433"/>
      <c r="N27" s="6"/>
      <c r="O27" s="508"/>
      <c r="P27" s="470"/>
      <c r="Q27" s="6"/>
      <c r="R27" s="502"/>
      <c r="S27" s="508"/>
      <c r="T27" s="66"/>
      <c r="U27" s="470">
        <v>60</v>
      </c>
      <c r="V27" s="6"/>
      <c r="W27" s="6">
        <v>30</v>
      </c>
      <c r="X27" s="508"/>
      <c r="Y27" s="509" t="s">
        <v>113</v>
      </c>
      <c r="Z27" s="6"/>
      <c r="AA27" s="502" t="s">
        <v>152</v>
      </c>
      <c r="AB27" s="508"/>
      <c r="AC27" s="66"/>
      <c r="AD27" s="470"/>
      <c r="AE27" s="6"/>
      <c r="AF27" s="6"/>
      <c r="AG27" s="508"/>
      <c r="AH27" s="465"/>
      <c r="AI27" s="6"/>
      <c r="AJ27" s="6"/>
      <c r="AK27" s="508"/>
    </row>
    <row r="28" spans="1:37" ht="28.3" x14ac:dyDescent="0.35">
      <c r="A28" s="1477"/>
      <c r="B28" s="472">
        <v>2</v>
      </c>
      <c r="C28" s="493">
        <v>399</v>
      </c>
      <c r="D28" s="494"/>
      <c r="E28" s="494">
        <v>12</v>
      </c>
      <c r="F28" s="495"/>
      <c r="G28" s="483" t="s">
        <v>315</v>
      </c>
      <c r="H28" s="479"/>
      <c r="I28" s="483" t="s">
        <v>152</v>
      </c>
      <c r="J28" s="480"/>
      <c r="L28" s="439"/>
      <c r="M28" s="433"/>
      <c r="N28" s="6"/>
      <c r="O28" s="508"/>
      <c r="P28" s="509"/>
      <c r="Q28" s="6"/>
      <c r="R28" s="502"/>
      <c r="S28" s="508"/>
      <c r="T28" s="66"/>
      <c r="U28" s="470"/>
      <c r="V28" s="6"/>
      <c r="W28" s="6"/>
      <c r="X28" s="508"/>
      <c r="Y28" s="509"/>
      <c r="Z28" s="6"/>
      <c r="AA28" s="6"/>
      <c r="AB28" s="508"/>
      <c r="AC28" s="66"/>
      <c r="AD28" s="470"/>
      <c r="AE28" s="6"/>
      <c r="AF28" s="6"/>
      <c r="AG28" s="508"/>
      <c r="AH28" s="509"/>
      <c r="AI28" s="6"/>
      <c r="AJ28" s="6"/>
      <c r="AK28" s="508"/>
    </row>
    <row r="29" spans="1:37" x14ac:dyDescent="0.35">
      <c r="A29" s="1478">
        <v>44606</v>
      </c>
      <c r="B29" s="472">
        <v>1</v>
      </c>
      <c r="C29" s="493"/>
      <c r="D29" s="494"/>
      <c r="E29" s="494">
        <v>10</v>
      </c>
      <c r="F29" s="495"/>
      <c r="G29" s="478"/>
      <c r="H29" s="479"/>
      <c r="I29" s="483" t="s">
        <v>152</v>
      </c>
      <c r="J29" s="480"/>
      <c r="L29" s="439"/>
      <c r="M29" s="433"/>
      <c r="N29" s="6"/>
      <c r="O29" s="508"/>
      <c r="P29" s="509"/>
      <c r="Q29" s="6"/>
      <c r="R29" s="502"/>
      <c r="S29" s="508"/>
      <c r="T29" s="66"/>
      <c r="U29" s="470"/>
      <c r="V29" s="6"/>
      <c r="W29" s="6">
        <v>20</v>
      </c>
      <c r="X29" s="508"/>
      <c r="Y29" s="509"/>
      <c r="Z29" s="6"/>
      <c r="AA29" s="502" t="s">
        <v>152</v>
      </c>
      <c r="AB29" s="508"/>
      <c r="AC29" s="66"/>
      <c r="AD29" s="470"/>
      <c r="AE29" s="6"/>
      <c r="AF29" s="6">
        <v>20</v>
      </c>
      <c r="AG29" s="508"/>
      <c r="AH29" s="509"/>
      <c r="AI29" s="6"/>
      <c r="AJ29" s="502" t="s">
        <v>152</v>
      </c>
      <c r="AK29" s="508"/>
    </row>
    <row r="30" spans="1:37" x14ac:dyDescent="0.35">
      <c r="A30" s="1477"/>
      <c r="B30" s="533">
        <v>2</v>
      </c>
      <c r="C30" s="493"/>
      <c r="D30" s="494"/>
      <c r="E30" s="494">
        <v>45</v>
      </c>
      <c r="F30" s="495"/>
      <c r="G30" s="478"/>
      <c r="H30" s="479"/>
      <c r="I30" s="483" t="s">
        <v>152</v>
      </c>
      <c r="J30" s="480"/>
      <c r="L30" s="470"/>
      <c r="M30" s="468"/>
      <c r="N30" s="468"/>
      <c r="O30" s="508"/>
      <c r="P30" s="509"/>
      <c r="Q30" s="6"/>
      <c r="R30" s="6"/>
      <c r="S30" s="508"/>
      <c r="T30" s="66"/>
      <c r="U30" s="470"/>
      <c r="V30" s="6"/>
      <c r="W30" s="6">
        <v>47</v>
      </c>
      <c r="X30" s="508"/>
      <c r="Y30" s="509"/>
      <c r="Z30" s="6"/>
      <c r="AA30" s="502" t="s">
        <v>152</v>
      </c>
      <c r="AB30" s="508"/>
      <c r="AC30" s="66"/>
      <c r="AD30" s="470"/>
      <c r="AE30" s="6"/>
      <c r="AF30" s="6"/>
      <c r="AG30" s="508"/>
      <c r="AH30" s="469"/>
      <c r="AI30" s="66"/>
      <c r="AJ30" s="6"/>
      <c r="AK30" s="508"/>
    </row>
    <row r="31" spans="1:37" x14ac:dyDescent="0.35">
      <c r="A31" s="1478">
        <v>44607</v>
      </c>
      <c r="B31" s="472">
        <v>1</v>
      </c>
      <c r="C31" s="493"/>
      <c r="D31" s="494"/>
      <c r="E31" s="494"/>
      <c r="F31" s="495"/>
      <c r="G31" s="478"/>
      <c r="H31" s="479"/>
      <c r="I31" s="483"/>
      <c r="J31" s="480"/>
      <c r="L31" s="439"/>
      <c r="M31" s="433"/>
      <c r="N31" s="433"/>
      <c r="O31" s="508"/>
      <c r="P31" s="509"/>
      <c r="Q31" s="6"/>
      <c r="R31" s="6"/>
      <c r="S31" s="508"/>
      <c r="T31" s="66"/>
      <c r="U31" s="470"/>
      <c r="V31" s="6"/>
      <c r="W31" s="6">
        <v>10</v>
      </c>
      <c r="X31" s="508"/>
      <c r="Y31" s="509"/>
      <c r="Z31" s="6"/>
      <c r="AA31" s="6" t="s">
        <v>336</v>
      </c>
      <c r="AB31" s="508"/>
      <c r="AC31" s="66"/>
      <c r="AD31" s="470"/>
      <c r="AE31" s="6"/>
      <c r="AF31" s="6"/>
      <c r="AG31" s="508"/>
      <c r="AH31" s="509"/>
      <c r="AI31" s="6"/>
      <c r="AJ31" s="6"/>
      <c r="AK31" s="508"/>
    </row>
    <row r="32" spans="1:37" ht="45" customHeight="1" x14ac:dyDescent="0.35">
      <c r="A32" s="1477"/>
      <c r="B32" s="472">
        <v>2</v>
      </c>
      <c r="C32" s="493"/>
      <c r="D32" s="494"/>
      <c r="E32" s="494">
        <v>93</v>
      </c>
      <c r="F32" s="495"/>
      <c r="G32" s="478"/>
      <c r="H32" s="479"/>
      <c r="I32" s="483" t="s">
        <v>337</v>
      </c>
      <c r="J32" s="1489"/>
      <c r="L32" s="439"/>
      <c r="M32" s="433"/>
      <c r="N32" s="433"/>
      <c r="O32" s="508"/>
      <c r="P32" s="509"/>
      <c r="Q32" s="6"/>
      <c r="R32" s="6"/>
      <c r="S32" s="508"/>
      <c r="T32" s="66"/>
      <c r="U32" s="470">
        <v>5</v>
      </c>
      <c r="V32" s="6"/>
      <c r="W32" s="6"/>
      <c r="X32" s="508"/>
      <c r="Y32" s="509" t="s">
        <v>186</v>
      </c>
      <c r="Z32" s="6"/>
      <c r="AA32" s="6"/>
      <c r="AB32" s="508"/>
      <c r="AC32" s="66"/>
      <c r="AD32" s="470"/>
      <c r="AE32" s="6"/>
      <c r="AF32" s="6"/>
      <c r="AG32" s="508"/>
      <c r="AH32" s="509"/>
      <c r="AI32" s="6"/>
      <c r="AJ32" s="6"/>
      <c r="AK32" s="508"/>
    </row>
    <row r="33" spans="1:37" x14ac:dyDescent="0.35">
      <c r="A33" s="1478">
        <v>44608</v>
      </c>
      <c r="B33" s="472">
        <v>1</v>
      </c>
      <c r="C33" s="493"/>
      <c r="D33" s="494"/>
      <c r="E33" s="494"/>
      <c r="F33" s="495"/>
      <c r="G33" s="478"/>
      <c r="H33" s="479"/>
      <c r="I33" s="483"/>
      <c r="J33" s="1490"/>
      <c r="L33" s="439"/>
      <c r="M33" s="433"/>
      <c r="N33" s="433"/>
      <c r="O33" s="508"/>
      <c r="P33" s="509"/>
      <c r="Q33" s="6"/>
      <c r="R33" s="6"/>
      <c r="S33" s="508"/>
      <c r="T33" s="66"/>
      <c r="U33" s="470">
        <v>20</v>
      </c>
      <c r="V33" s="6">
        <v>40</v>
      </c>
      <c r="W33" s="6"/>
      <c r="X33" s="508"/>
      <c r="Y33" s="509" t="s">
        <v>186</v>
      </c>
      <c r="Z33" s="6" t="s">
        <v>334</v>
      </c>
      <c r="AA33" s="6"/>
      <c r="AB33" s="508"/>
      <c r="AC33" s="66"/>
      <c r="AD33" s="470"/>
      <c r="AE33" s="6"/>
      <c r="AF33" s="6"/>
      <c r="AG33" s="508"/>
      <c r="AH33" s="509"/>
      <c r="AI33" s="502"/>
      <c r="AJ33" s="6"/>
      <c r="AK33" s="508"/>
    </row>
    <row r="34" spans="1:37" x14ac:dyDescent="0.35">
      <c r="A34" s="1477"/>
      <c r="B34" s="533">
        <v>2</v>
      </c>
      <c r="C34" s="494"/>
      <c r="D34" s="494"/>
      <c r="E34" s="494">
        <v>19</v>
      </c>
      <c r="F34" s="495"/>
      <c r="G34" s="478"/>
      <c r="H34" s="483"/>
      <c r="I34" s="483" t="s">
        <v>152</v>
      </c>
      <c r="J34" s="480"/>
      <c r="L34" s="439"/>
      <c r="M34" s="6"/>
      <c r="N34" s="433"/>
      <c r="O34" s="508"/>
      <c r="P34" s="509"/>
      <c r="Q34" s="483"/>
      <c r="R34" s="6"/>
      <c r="S34" s="508"/>
      <c r="T34" s="66"/>
      <c r="U34" s="470"/>
      <c r="V34" s="6"/>
      <c r="W34" s="6">
        <v>33</v>
      </c>
      <c r="X34" s="508"/>
      <c r="Y34" s="6"/>
      <c r="Z34" s="502"/>
      <c r="AA34" s="502" t="s">
        <v>152</v>
      </c>
      <c r="AB34" s="508"/>
      <c r="AC34" s="66"/>
      <c r="AD34" s="470"/>
      <c r="AE34" s="6"/>
      <c r="AF34" s="6"/>
      <c r="AG34" s="508"/>
      <c r="AH34" s="509"/>
      <c r="AI34" s="6"/>
      <c r="AJ34" s="6"/>
      <c r="AK34" s="508"/>
    </row>
    <row r="35" spans="1:37" x14ac:dyDescent="0.35">
      <c r="A35" s="1478">
        <v>44609</v>
      </c>
      <c r="B35" s="472">
        <v>1</v>
      </c>
      <c r="C35" s="494"/>
      <c r="D35" s="494"/>
      <c r="E35" s="494"/>
      <c r="F35" s="495"/>
      <c r="G35" s="478"/>
      <c r="H35" s="479"/>
      <c r="I35" s="483"/>
      <c r="J35" s="480"/>
      <c r="L35" s="439"/>
      <c r="M35" s="6"/>
      <c r="N35" s="433"/>
      <c r="O35" s="508"/>
      <c r="P35" s="465"/>
      <c r="Q35" s="539"/>
      <c r="R35" s="515"/>
      <c r="S35" s="508"/>
      <c r="T35" s="66"/>
      <c r="U35" s="470"/>
      <c r="V35" s="6"/>
      <c r="W35" s="6"/>
      <c r="X35" s="508"/>
      <c r="Y35" s="509"/>
      <c r="Z35" s="502"/>
      <c r="AA35" s="6"/>
      <c r="AB35" s="508"/>
      <c r="AC35" s="66"/>
      <c r="AD35" s="470"/>
      <c r="AE35" s="6"/>
      <c r="AF35" s="6"/>
      <c r="AG35" s="508"/>
      <c r="AH35" s="509"/>
      <c r="AI35" s="515"/>
      <c r="AJ35" s="515"/>
      <c r="AK35" s="508"/>
    </row>
    <row r="36" spans="1:37" x14ac:dyDescent="0.35">
      <c r="A36" s="1477"/>
      <c r="B36" s="472">
        <v>2</v>
      </c>
      <c r="C36" s="494"/>
      <c r="D36" s="494"/>
      <c r="E36" s="494">
        <v>26</v>
      </c>
      <c r="F36" s="495"/>
      <c r="G36" s="481"/>
      <c r="H36" s="515"/>
      <c r="I36" s="483" t="s">
        <v>152</v>
      </c>
      <c r="J36" s="480"/>
      <c r="L36" s="519"/>
      <c r="M36" s="6"/>
      <c r="N36" s="433"/>
      <c r="O36" s="508"/>
      <c r="P36" s="465"/>
      <c r="Q36" s="539"/>
      <c r="R36" s="6"/>
      <c r="S36" s="508"/>
      <c r="T36" s="66"/>
      <c r="U36" s="470"/>
      <c r="V36" s="6"/>
      <c r="W36" s="6">
        <v>45</v>
      </c>
      <c r="X36" s="508"/>
      <c r="Y36" s="509"/>
      <c r="Z36" s="502"/>
      <c r="AA36" s="502" t="s">
        <v>152</v>
      </c>
      <c r="AB36" s="508"/>
      <c r="AC36" s="66"/>
      <c r="AD36" s="470"/>
      <c r="AE36" s="6"/>
      <c r="AF36" s="6">
        <v>10</v>
      </c>
      <c r="AG36" s="508"/>
      <c r="AH36" s="509"/>
      <c r="AI36" s="502"/>
      <c r="AJ36" s="502" t="s">
        <v>152</v>
      </c>
      <c r="AK36" s="508"/>
    </row>
    <row r="37" spans="1:37" x14ac:dyDescent="0.35">
      <c r="A37" s="1478">
        <v>44610</v>
      </c>
      <c r="B37" s="533">
        <v>1</v>
      </c>
      <c r="C37" s="494"/>
      <c r="D37" s="494"/>
      <c r="E37" s="494"/>
      <c r="F37" s="495"/>
      <c r="G37" s="478"/>
      <c r="H37" s="479"/>
      <c r="I37" s="483"/>
      <c r="J37" s="480"/>
      <c r="L37" s="439"/>
      <c r="M37" s="433"/>
      <c r="N37" s="433"/>
      <c r="O37" s="508"/>
      <c r="P37" s="509"/>
      <c r="Q37" s="6"/>
      <c r="R37" s="6"/>
      <c r="S37" s="508"/>
      <c r="T37" s="66"/>
      <c r="U37" s="470"/>
      <c r="V37" s="6"/>
      <c r="W37" s="6">
        <v>8</v>
      </c>
      <c r="X37" s="508"/>
      <c r="Y37" s="509"/>
      <c r="Z37" s="502"/>
      <c r="AA37" s="502" t="s">
        <v>152</v>
      </c>
      <c r="AB37" s="508"/>
      <c r="AC37" s="66"/>
      <c r="AD37" s="470"/>
      <c r="AE37" s="6"/>
      <c r="AF37" s="6">
        <v>15</v>
      </c>
      <c r="AG37" s="508"/>
      <c r="AH37" s="509"/>
      <c r="AI37" s="6"/>
      <c r="AJ37" s="6" t="s">
        <v>304</v>
      </c>
      <c r="AK37" s="508"/>
    </row>
    <row r="38" spans="1:37" x14ac:dyDescent="0.35">
      <c r="A38" s="1477"/>
      <c r="B38" s="472">
        <v>2</v>
      </c>
      <c r="C38" s="493"/>
      <c r="D38" s="494"/>
      <c r="E38" s="494">
        <v>10</v>
      </c>
      <c r="F38" s="495"/>
      <c r="G38" s="478"/>
      <c r="H38" s="479"/>
      <c r="I38" s="479" t="s">
        <v>325</v>
      </c>
      <c r="J38" s="480"/>
      <c r="L38" s="470"/>
      <c r="M38" s="433"/>
      <c r="N38" s="433"/>
      <c r="O38" s="508"/>
      <c r="P38" s="469"/>
      <c r="Q38" s="6"/>
      <c r="R38" s="6"/>
      <c r="S38" s="508"/>
      <c r="T38" s="66"/>
      <c r="U38" s="470"/>
      <c r="V38" s="6"/>
      <c r="W38" s="6">
        <v>10</v>
      </c>
      <c r="X38" s="508"/>
      <c r="Y38" s="509"/>
      <c r="Z38" s="6"/>
      <c r="AA38" s="502" t="s">
        <v>325</v>
      </c>
      <c r="AB38" s="508"/>
      <c r="AC38" s="66"/>
      <c r="AD38" s="470"/>
      <c r="AE38" s="6"/>
      <c r="AF38" s="6"/>
      <c r="AG38" s="508"/>
      <c r="AH38" s="509"/>
      <c r="AI38" s="6"/>
      <c r="AJ38" s="6"/>
      <c r="AK38" s="508"/>
    </row>
    <row r="39" spans="1:37" x14ac:dyDescent="0.35">
      <c r="A39" s="1478">
        <v>44611</v>
      </c>
      <c r="B39" s="472">
        <v>1</v>
      </c>
      <c r="C39" s="493"/>
      <c r="D39" s="494"/>
      <c r="E39" s="494">
        <v>10</v>
      </c>
      <c r="F39" s="495"/>
      <c r="G39" s="478"/>
      <c r="H39" s="479"/>
      <c r="I39" s="479" t="s">
        <v>325</v>
      </c>
      <c r="J39" s="480"/>
      <c r="L39" s="439"/>
      <c r="M39" s="433"/>
      <c r="N39" s="433"/>
      <c r="O39" s="508"/>
      <c r="P39" s="509"/>
      <c r="Q39" s="6"/>
      <c r="R39" s="6"/>
      <c r="S39" s="508"/>
      <c r="T39" s="66"/>
      <c r="U39" s="470"/>
      <c r="V39" s="6"/>
      <c r="W39" s="6"/>
      <c r="X39" s="508"/>
      <c r="Y39" s="509"/>
      <c r="Z39" s="6"/>
      <c r="AA39" s="6"/>
      <c r="AB39" s="508"/>
      <c r="AC39" s="66"/>
      <c r="AD39" s="470"/>
      <c r="AE39" s="6"/>
      <c r="AF39" s="6">
        <v>25</v>
      </c>
      <c r="AG39" s="508"/>
      <c r="AH39" s="509"/>
      <c r="AI39" s="6"/>
      <c r="AJ39" s="6" t="s">
        <v>304</v>
      </c>
      <c r="AK39" s="508"/>
    </row>
    <row r="40" spans="1:37" ht="28.3" x14ac:dyDescent="0.35">
      <c r="A40" s="1477"/>
      <c r="B40" s="472">
        <v>2</v>
      </c>
      <c r="C40" s="493"/>
      <c r="D40" s="494"/>
      <c r="E40" s="494">
        <v>61</v>
      </c>
      <c r="F40" s="495"/>
      <c r="G40" s="478"/>
      <c r="H40" s="479"/>
      <c r="I40" s="483" t="s">
        <v>328</v>
      </c>
      <c r="J40" s="480"/>
      <c r="L40" s="439"/>
      <c r="M40" s="433"/>
      <c r="N40" s="433"/>
      <c r="O40" s="508"/>
      <c r="P40" s="509"/>
      <c r="Q40" s="6"/>
      <c r="R40" s="6"/>
      <c r="S40" s="508"/>
      <c r="T40" s="66"/>
      <c r="U40" s="470"/>
      <c r="V40" s="6"/>
      <c r="W40" s="6"/>
      <c r="X40" s="508"/>
      <c r="Y40" s="509"/>
      <c r="Z40" s="6"/>
      <c r="AA40" s="6"/>
      <c r="AB40" s="508"/>
      <c r="AC40" s="66"/>
      <c r="AD40" s="470"/>
      <c r="AE40" s="6"/>
      <c r="AF40" s="6"/>
      <c r="AG40" s="508"/>
      <c r="AH40" s="509"/>
      <c r="AI40" s="6"/>
      <c r="AJ40" s="6"/>
      <c r="AK40" s="508"/>
    </row>
    <row r="41" spans="1:37" x14ac:dyDescent="0.35">
      <c r="A41" s="1478">
        <v>44612</v>
      </c>
      <c r="B41" s="472">
        <v>1</v>
      </c>
      <c r="C41" s="493"/>
      <c r="D41" s="494">
        <v>14</v>
      </c>
      <c r="E41" s="494">
        <v>70</v>
      </c>
      <c r="F41" s="495"/>
      <c r="G41" s="478"/>
      <c r="H41" s="479" t="s">
        <v>334</v>
      </c>
      <c r="I41" s="483" t="s">
        <v>152</v>
      </c>
      <c r="J41" s="480"/>
      <c r="L41" s="439"/>
      <c r="M41" s="433"/>
      <c r="N41" s="433"/>
      <c r="O41" s="508"/>
      <c r="P41" s="509"/>
      <c r="Q41" s="6"/>
      <c r="R41" s="6"/>
      <c r="S41" s="508"/>
      <c r="T41" s="66"/>
      <c r="U41" s="470"/>
      <c r="V41" s="6"/>
      <c r="W41" s="6"/>
      <c r="X41" s="508"/>
      <c r="Y41" s="509"/>
      <c r="Z41" s="502"/>
      <c r="AA41" s="502"/>
      <c r="AB41" s="508"/>
      <c r="AC41" s="66"/>
      <c r="AD41" s="470"/>
      <c r="AE41" s="6"/>
      <c r="AF41" s="6"/>
      <c r="AG41" s="508"/>
      <c r="AH41" s="509"/>
      <c r="AI41" s="6"/>
      <c r="AJ41" s="6"/>
      <c r="AK41" s="508"/>
    </row>
    <row r="42" spans="1:37" x14ac:dyDescent="0.35">
      <c r="A42" s="1477"/>
      <c r="B42" s="472">
        <v>2</v>
      </c>
      <c r="C42" s="493"/>
      <c r="D42" s="494"/>
      <c r="E42" s="494">
        <v>18</v>
      </c>
      <c r="F42" s="495"/>
      <c r="G42" s="478"/>
      <c r="H42" s="479"/>
      <c r="I42" s="483" t="s">
        <v>152</v>
      </c>
      <c r="J42" s="434"/>
      <c r="L42" s="439"/>
      <c r="M42" s="433"/>
      <c r="N42" s="433"/>
      <c r="O42" s="508"/>
      <c r="P42" s="509"/>
      <c r="Q42" s="6"/>
      <c r="R42" s="6"/>
      <c r="S42" s="508"/>
      <c r="T42" s="66"/>
      <c r="U42" s="470"/>
      <c r="V42" s="6"/>
      <c r="W42" s="6"/>
      <c r="X42" s="508"/>
      <c r="Y42" s="509"/>
      <c r="Z42" s="6"/>
      <c r="AA42" s="6"/>
      <c r="AB42" s="508"/>
      <c r="AC42" s="66"/>
      <c r="AD42" s="470"/>
      <c r="AE42" s="6"/>
      <c r="AF42" s="6"/>
      <c r="AG42" s="508"/>
      <c r="AH42" s="509"/>
      <c r="AI42" s="6"/>
      <c r="AJ42" s="6"/>
      <c r="AK42" s="508"/>
    </row>
    <row r="43" spans="1:37" ht="28.3" x14ac:dyDescent="0.35">
      <c r="A43" s="1478">
        <v>44613</v>
      </c>
      <c r="B43" s="472">
        <v>1</v>
      </c>
      <c r="C43" s="493"/>
      <c r="D43" s="494"/>
      <c r="E43" s="494">
        <v>15</v>
      </c>
      <c r="F43" s="495"/>
      <c r="G43" s="478"/>
      <c r="H43" s="479"/>
      <c r="I43" s="483" t="s">
        <v>152</v>
      </c>
      <c r="J43" s="480"/>
      <c r="L43" s="439"/>
      <c r="M43" s="433"/>
      <c r="N43" s="433"/>
      <c r="O43" s="508"/>
      <c r="P43" s="509"/>
      <c r="Q43" s="6"/>
      <c r="R43" s="6"/>
      <c r="S43" s="508"/>
      <c r="T43" s="66"/>
      <c r="U43" s="470"/>
      <c r="V43" s="6"/>
      <c r="W43" s="6"/>
      <c r="X43" s="508"/>
      <c r="Y43" s="509"/>
      <c r="Z43" s="6"/>
      <c r="AA43" s="6"/>
      <c r="AB43" s="508"/>
      <c r="AC43" s="66"/>
      <c r="AD43" s="470">
        <v>12</v>
      </c>
      <c r="AE43" s="6"/>
      <c r="AF43" s="6"/>
      <c r="AG43" s="508"/>
      <c r="AH43" s="502" t="s">
        <v>288</v>
      </c>
      <c r="AI43" s="6"/>
      <c r="AJ43" s="502"/>
      <c r="AK43" s="508"/>
    </row>
    <row r="44" spans="1:37" x14ac:dyDescent="0.35">
      <c r="A44" s="1477"/>
      <c r="B44" s="472">
        <v>2</v>
      </c>
      <c r="C44" s="493"/>
      <c r="D44" s="494"/>
      <c r="E44" s="494">
        <v>54</v>
      </c>
      <c r="F44" s="495"/>
      <c r="G44" s="481"/>
      <c r="H44" s="479"/>
      <c r="I44" s="483" t="s">
        <v>152</v>
      </c>
      <c r="J44" s="480"/>
      <c r="L44" s="439"/>
      <c r="M44" s="433"/>
      <c r="N44" s="433"/>
      <c r="O44" s="508"/>
      <c r="P44" s="509"/>
      <c r="Q44" s="6"/>
      <c r="R44" s="6"/>
      <c r="S44" s="508"/>
      <c r="T44" s="66"/>
      <c r="U44" s="470"/>
      <c r="V44" s="6"/>
      <c r="W44" s="6">
        <v>50</v>
      </c>
      <c r="X44" s="508"/>
      <c r="Y44" s="509"/>
      <c r="Z44" s="6"/>
      <c r="AA44" s="502" t="s">
        <v>152</v>
      </c>
      <c r="AB44" s="508"/>
      <c r="AC44" s="66"/>
      <c r="AD44" s="470"/>
      <c r="AE44" s="6"/>
      <c r="AF44" s="6">
        <v>8</v>
      </c>
      <c r="AG44" s="508"/>
      <c r="AH44" s="509"/>
      <c r="AI44" s="6"/>
      <c r="AJ44" s="502" t="s">
        <v>152</v>
      </c>
      <c r="AK44" s="508"/>
    </row>
    <row r="45" spans="1:37" x14ac:dyDescent="0.35">
      <c r="A45" s="1478">
        <v>44614</v>
      </c>
      <c r="B45" s="472">
        <v>1</v>
      </c>
      <c r="C45" s="493"/>
      <c r="D45" s="494"/>
      <c r="E45" s="494">
        <v>37</v>
      </c>
      <c r="F45" s="495"/>
      <c r="G45" s="478"/>
      <c r="H45" s="479"/>
      <c r="I45" s="483" t="s">
        <v>152</v>
      </c>
      <c r="J45" s="480"/>
      <c r="L45" s="439"/>
      <c r="M45" s="6"/>
      <c r="N45" s="433"/>
      <c r="O45" s="508"/>
      <c r="P45" s="509"/>
      <c r="Q45" s="502"/>
      <c r="R45" s="6"/>
      <c r="S45" s="508"/>
      <c r="T45" s="66"/>
      <c r="U45" s="470"/>
      <c r="V45" s="6"/>
      <c r="W45" s="6">
        <v>36</v>
      </c>
      <c r="X45" s="508"/>
      <c r="Y45" s="509"/>
      <c r="Z45" s="6"/>
      <c r="AA45" s="502" t="s">
        <v>152</v>
      </c>
      <c r="AB45" s="508"/>
      <c r="AC45" s="66"/>
      <c r="AD45" s="470"/>
      <c r="AE45" s="6"/>
      <c r="AF45" s="6">
        <v>19</v>
      </c>
      <c r="AG45" s="508"/>
      <c r="AH45" s="509"/>
      <c r="AI45" s="6"/>
      <c r="AJ45" s="502" t="s">
        <v>152</v>
      </c>
      <c r="AK45" s="508"/>
    </row>
    <row r="46" spans="1:37" x14ac:dyDescent="0.35">
      <c r="A46" s="1477"/>
      <c r="B46" s="472">
        <v>2</v>
      </c>
      <c r="C46" s="493"/>
      <c r="D46" s="494"/>
      <c r="E46" s="494">
        <v>28</v>
      </c>
      <c r="F46" s="495"/>
      <c r="G46" s="478"/>
      <c r="H46" s="479"/>
      <c r="I46" s="483" t="s">
        <v>152</v>
      </c>
      <c r="J46" s="480"/>
      <c r="L46" s="439"/>
      <c r="M46" s="433"/>
      <c r="N46" s="433"/>
      <c r="O46" s="508"/>
      <c r="P46" s="509"/>
      <c r="Q46" s="6"/>
      <c r="R46" s="6"/>
      <c r="S46" s="508"/>
      <c r="T46" s="66"/>
      <c r="U46" s="470"/>
      <c r="V46" s="6"/>
      <c r="W46" s="6">
        <v>52</v>
      </c>
      <c r="X46" s="508"/>
      <c r="Y46" s="509"/>
      <c r="Z46" s="6"/>
      <c r="AA46" s="502" t="s">
        <v>152</v>
      </c>
      <c r="AB46" s="508"/>
      <c r="AC46" s="66"/>
      <c r="AD46" s="470"/>
      <c r="AE46" s="6"/>
      <c r="AF46" s="6"/>
      <c r="AG46" s="508"/>
      <c r="AH46" s="509"/>
      <c r="AI46" s="6"/>
      <c r="AJ46" s="483"/>
      <c r="AK46" s="508"/>
    </row>
    <row r="47" spans="1:37" x14ac:dyDescent="0.35">
      <c r="A47" s="1478">
        <v>44615</v>
      </c>
      <c r="B47" s="472">
        <v>1</v>
      </c>
      <c r="C47" s="493"/>
      <c r="D47" s="494"/>
      <c r="E47" s="494">
        <v>14</v>
      </c>
      <c r="F47" s="495"/>
      <c r="G47" s="478"/>
      <c r="H47" s="479"/>
      <c r="I47" s="483" t="s">
        <v>152</v>
      </c>
      <c r="J47" s="480"/>
      <c r="L47" s="439"/>
      <c r="M47" s="433"/>
      <c r="N47" s="433"/>
      <c r="O47" s="508"/>
      <c r="P47" s="509"/>
      <c r="Q47" s="6"/>
      <c r="R47" s="6"/>
      <c r="S47" s="508"/>
      <c r="T47" s="66"/>
      <c r="U47" s="470"/>
      <c r="V47" s="6"/>
      <c r="W47" s="6"/>
      <c r="X47" s="508"/>
      <c r="Y47" s="509"/>
      <c r="Z47" s="6"/>
      <c r="AA47" s="502"/>
      <c r="AB47" s="508"/>
      <c r="AC47" s="66"/>
      <c r="AD47" s="470"/>
      <c r="AE47" s="6"/>
      <c r="AF47" s="6"/>
      <c r="AG47" s="508"/>
      <c r="AH47" s="509"/>
      <c r="AI47" s="6"/>
      <c r="AJ47" s="6"/>
      <c r="AK47" s="508"/>
    </row>
    <row r="48" spans="1:37" x14ac:dyDescent="0.35">
      <c r="A48" s="1477"/>
      <c r="B48" s="472">
        <v>2</v>
      </c>
      <c r="C48" s="493"/>
      <c r="D48" s="494"/>
      <c r="E48" s="494">
        <v>28</v>
      </c>
      <c r="F48" s="495"/>
      <c r="G48" s="478"/>
      <c r="H48" s="483"/>
      <c r="I48" s="483" t="s">
        <v>152</v>
      </c>
      <c r="J48" s="480"/>
      <c r="L48" s="439"/>
      <c r="M48" s="433"/>
      <c r="N48" s="433"/>
      <c r="O48" s="508"/>
      <c r="P48" s="509"/>
      <c r="Q48" s="515"/>
      <c r="R48" s="6"/>
      <c r="S48" s="508"/>
      <c r="T48" s="66"/>
      <c r="U48" s="470"/>
      <c r="V48" s="6"/>
      <c r="W48" s="6"/>
      <c r="X48" s="508"/>
      <c r="Y48" s="509"/>
      <c r="Z48" s="6"/>
      <c r="AA48" s="6"/>
      <c r="AB48" s="508"/>
      <c r="AC48" s="66"/>
      <c r="AD48" s="470"/>
      <c r="AE48" s="6"/>
      <c r="AF48" s="6">
        <v>15</v>
      </c>
      <c r="AG48" s="508"/>
      <c r="AH48" s="509"/>
      <c r="AI48" s="6"/>
      <c r="AJ48" s="6" t="s">
        <v>325</v>
      </c>
      <c r="AK48" s="508"/>
    </row>
    <row r="49" spans="1:37" x14ac:dyDescent="0.35">
      <c r="A49" s="1478">
        <v>44616</v>
      </c>
      <c r="B49" s="472">
        <v>1</v>
      </c>
      <c r="C49" s="493"/>
      <c r="D49" s="494"/>
      <c r="E49" s="494">
        <v>22</v>
      </c>
      <c r="F49" s="495"/>
      <c r="G49" s="478"/>
      <c r="H49" s="479"/>
      <c r="I49" s="483" t="s">
        <v>152</v>
      </c>
      <c r="J49" s="482"/>
      <c r="L49" s="439"/>
      <c r="M49" s="433"/>
      <c r="N49" s="433"/>
      <c r="O49" s="508"/>
      <c r="P49" s="509"/>
      <c r="Q49" s="6"/>
      <c r="R49" s="6"/>
      <c r="S49" s="526"/>
      <c r="T49" s="66"/>
      <c r="U49" s="470"/>
      <c r="V49" s="6"/>
      <c r="W49" s="6">
        <v>20</v>
      </c>
      <c r="X49" s="508"/>
      <c r="Y49" s="509"/>
      <c r="Z49" s="502"/>
      <c r="AA49" s="502" t="s">
        <v>152</v>
      </c>
      <c r="AB49" s="526"/>
      <c r="AC49" s="66"/>
      <c r="AD49" s="470"/>
      <c r="AE49" s="6"/>
      <c r="AF49" s="6"/>
      <c r="AG49" s="508"/>
      <c r="AH49" s="509"/>
      <c r="AI49" s="6"/>
      <c r="AJ49" s="6"/>
      <c r="AK49" s="526"/>
    </row>
    <row r="50" spans="1:37" ht="33" customHeight="1" x14ac:dyDescent="0.35">
      <c r="A50" s="1477"/>
      <c r="B50" s="472">
        <v>2</v>
      </c>
      <c r="C50" s="493"/>
      <c r="D50" s="494"/>
      <c r="E50" s="494">
        <v>48</v>
      </c>
      <c r="F50" s="495"/>
      <c r="G50" s="481"/>
      <c r="H50" s="479"/>
      <c r="I50" s="483" t="s">
        <v>152</v>
      </c>
      <c r="J50" s="480"/>
      <c r="L50" s="439"/>
      <c r="M50" s="6"/>
      <c r="N50" s="6"/>
      <c r="O50" s="508"/>
      <c r="P50" s="509"/>
      <c r="Q50" s="502"/>
      <c r="R50" s="502"/>
      <c r="S50" s="508"/>
      <c r="T50" s="66"/>
      <c r="U50" s="470"/>
      <c r="V50" s="6"/>
      <c r="W50" s="6">
        <v>45</v>
      </c>
      <c r="X50" s="508"/>
      <c r="Y50" s="469"/>
      <c r="Z50" s="502"/>
      <c r="AA50" s="502" t="s">
        <v>152</v>
      </c>
      <c r="AB50" s="508"/>
      <c r="AC50" s="66"/>
      <c r="AD50" s="470"/>
      <c r="AE50" s="6"/>
      <c r="AF50" s="6"/>
      <c r="AG50" s="508"/>
      <c r="AH50" s="509"/>
      <c r="AI50" s="6"/>
      <c r="AJ50" s="6"/>
      <c r="AK50" s="508"/>
    </row>
    <row r="51" spans="1:37" x14ac:dyDescent="0.35">
      <c r="A51" s="1478">
        <v>44617</v>
      </c>
      <c r="B51" s="472">
        <v>1</v>
      </c>
      <c r="C51" s="493"/>
      <c r="D51" s="494"/>
      <c r="E51" s="494"/>
      <c r="F51" s="495"/>
      <c r="G51" s="478"/>
      <c r="H51" s="479"/>
      <c r="I51" s="479"/>
      <c r="J51" s="480"/>
      <c r="L51" s="439"/>
      <c r="M51" s="433"/>
      <c r="N51" s="433"/>
      <c r="O51" s="508"/>
      <c r="P51" s="509"/>
      <c r="Q51" s="6"/>
      <c r="R51" s="6"/>
      <c r="S51" s="508"/>
      <c r="T51" s="66"/>
      <c r="U51" s="470"/>
      <c r="V51" s="6"/>
      <c r="W51" s="6">
        <v>5</v>
      </c>
      <c r="X51" s="508"/>
      <c r="Y51" s="469"/>
      <c r="Z51" s="6"/>
      <c r="AA51" s="502" t="s">
        <v>152</v>
      </c>
      <c r="AB51" s="508"/>
      <c r="AC51" s="66"/>
      <c r="AD51" s="470"/>
      <c r="AE51" s="6"/>
      <c r="AF51" s="6"/>
      <c r="AG51" s="508"/>
      <c r="AH51" s="509"/>
      <c r="AI51" s="6"/>
      <c r="AJ51" s="6"/>
      <c r="AK51" s="508"/>
    </row>
    <row r="52" spans="1:37" x14ac:dyDescent="0.35">
      <c r="A52" s="1477"/>
      <c r="B52" s="472">
        <v>2</v>
      </c>
      <c r="C52" s="493"/>
      <c r="D52" s="494"/>
      <c r="E52" s="494">
        <v>34</v>
      </c>
      <c r="F52" s="495"/>
      <c r="G52" s="478"/>
      <c r="H52" s="479"/>
      <c r="I52" s="483" t="s">
        <v>152</v>
      </c>
      <c r="J52" s="482"/>
      <c r="L52" s="439"/>
      <c r="M52" s="433"/>
      <c r="N52" s="433"/>
      <c r="O52" s="508"/>
      <c r="P52" s="509"/>
      <c r="Q52" s="6"/>
      <c r="R52" s="6"/>
      <c r="S52" s="527"/>
      <c r="T52" s="66"/>
      <c r="U52" s="470"/>
      <c r="V52" s="6"/>
      <c r="W52" s="6">
        <v>16</v>
      </c>
      <c r="X52" s="508"/>
      <c r="Y52" s="469"/>
      <c r="Z52" s="502"/>
      <c r="AA52" s="502" t="s">
        <v>152</v>
      </c>
      <c r="AB52" s="527"/>
      <c r="AC52" s="66"/>
      <c r="AD52" s="470"/>
      <c r="AE52" s="6"/>
      <c r="AF52" s="6"/>
      <c r="AG52" s="508"/>
      <c r="AH52" s="509"/>
      <c r="AI52" s="6"/>
      <c r="AJ52" s="6"/>
      <c r="AK52" s="527"/>
    </row>
    <row r="53" spans="1:37" ht="42.45" x14ac:dyDescent="0.35">
      <c r="A53" s="1478">
        <v>44618</v>
      </c>
      <c r="B53" s="472">
        <v>1</v>
      </c>
      <c r="C53" s="493"/>
      <c r="D53" s="494"/>
      <c r="E53" s="494"/>
      <c r="F53" s="495"/>
      <c r="G53" s="478"/>
      <c r="H53" s="479"/>
      <c r="I53" s="479"/>
      <c r="J53" s="480"/>
      <c r="L53" s="439"/>
      <c r="M53" s="433"/>
      <c r="N53" s="433"/>
      <c r="O53" s="508"/>
      <c r="P53" s="509"/>
      <c r="Q53" s="6"/>
      <c r="R53" s="6"/>
      <c r="S53" s="508"/>
      <c r="T53" s="66"/>
      <c r="U53" s="470">
        <v>23</v>
      </c>
      <c r="V53" s="6"/>
      <c r="W53" s="6"/>
      <c r="X53" s="508"/>
      <c r="Y53" s="469" t="s">
        <v>338</v>
      </c>
      <c r="Z53" s="6"/>
      <c r="AA53" s="6"/>
      <c r="AB53" s="508"/>
      <c r="AC53" s="66"/>
      <c r="AD53" s="470"/>
      <c r="AE53" s="6"/>
      <c r="AF53" s="6"/>
      <c r="AG53" s="508"/>
      <c r="AH53" s="509"/>
      <c r="AI53" s="6"/>
      <c r="AJ53" s="6"/>
      <c r="AK53" s="508"/>
    </row>
    <row r="54" spans="1:37" ht="60" customHeight="1" x14ac:dyDescent="0.35">
      <c r="A54" s="1477"/>
      <c r="B54" s="500">
        <v>2</v>
      </c>
      <c r="C54" s="493"/>
      <c r="D54" s="494"/>
      <c r="E54" s="494">
        <v>15</v>
      </c>
      <c r="F54" s="495"/>
      <c r="G54" s="478"/>
      <c r="H54" s="479"/>
      <c r="I54" s="483" t="s">
        <v>152</v>
      </c>
      <c r="J54" s="480"/>
      <c r="L54" s="439"/>
      <c r="M54" s="433"/>
      <c r="N54" s="433"/>
      <c r="O54" s="508"/>
      <c r="P54" s="509"/>
      <c r="Q54" s="6"/>
      <c r="R54" s="6"/>
      <c r="S54" s="508"/>
      <c r="T54" s="66"/>
      <c r="U54" s="470">
        <v>60</v>
      </c>
      <c r="V54" s="6">
        <v>60</v>
      </c>
      <c r="W54" s="6">
        <v>60</v>
      </c>
      <c r="X54" s="508"/>
      <c r="Y54" s="1491" t="s">
        <v>339</v>
      </c>
      <c r="Z54" s="1492"/>
      <c r="AA54" s="1493"/>
      <c r="AB54" s="508"/>
      <c r="AC54" s="66"/>
      <c r="AD54" s="470"/>
      <c r="AE54" s="6"/>
      <c r="AF54" s="6"/>
      <c r="AG54" s="508"/>
      <c r="AH54" s="509"/>
      <c r="AI54" s="6"/>
      <c r="AJ54" s="6"/>
      <c r="AK54" s="508"/>
    </row>
    <row r="55" spans="1:37" ht="28.3" x14ac:dyDescent="0.35">
      <c r="A55" s="1478">
        <v>44619</v>
      </c>
      <c r="B55" s="472">
        <v>1</v>
      </c>
      <c r="C55" s="493"/>
      <c r="D55" s="494"/>
      <c r="E55" s="494">
        <v>18</v>
      </c>
      <c r="F55" s="495"/>
      <c r="G55" s="478"/>
      <c r="H55" s="479"/>
      <c r="I55" s="483" t="s">
        <v>328</v>
      </c>
      <c r="J55" s="480"/>
      <c r="L55" s="439"/>
      <c r="M55" s="433"/>
      <c r="N55" s="433"/>
      <c r="O55" s="508"/>
      <c r="P55" s="509"/>
      <c r="Q55" s="6"/>
      <c r="R55" s="6"/>
      <c r="S55" s="508"/>
      <c r="T55" s="66"/>
      <c r="U55" s="470"/>
      <c r="V55" s="6"/>
      <c r="W55" s="6"/>
      <c r="X55" s="508"/>
      <c r="Y55" s="509"/>
      <c r="Z55" s="6"/>
      <c r="AA55" s="6"/>
      <c r="AB55" s="508"/>
      <c r="AC55" s="66"/>
      <c r="AD55" s="470"/>
      <c r="AE55" s="6"/>
      <c r="AF55" s="6"/>
      <c r="AG55" s="508"/>
      <c r="AH55" s="509"/>
      <c r="AI55" s="6"/>
      <c r="AJ55" s="6"/>
      <c r="AK55" s="508"/>
    </row>
    <row r="56" spans="1:37" x14ac:dyDescent="0.35">
      <c r="A56" s="1477"/>
      <c r="B56" s="500">
        <v>2</v>
      </c>
      <c r="C56" s="493"/>
      <c r="D56" s="494"/>
      <c r="E56" s="494">
        <v>28</v>
      </c>
      <c r="F56" s="495"/>
      <c r="G56" s="478"/>
      <c r="H56" s="479"/>
      <c r="I56" s="483" t="s">
        <v>152</v>
      </c>
      <c r="J56" s="480"/>
      <c r="L56" s="439"/>
      <c r="M56" s="433"/>
      <c r="N56" s="433"/>
      <c r="O56" s="508"/>
      <c r="P56" s="509"/>
      <c r="Q56" s="6"/>
      <c r="R56" s="6"/>
      <c r="S56" s="508"/>
      <c r="T56" s="66"/>
      <c r="U56" s="470"/>
      <c r="V56" s="6"/>
      <c r="W56" s="6">
        <v>5</v>
      </c>
      <c r="X56" s="508"/>
      <c r="Y56" s="469"/>
      <c r="Z56" s="502"/>
      <c r="AA56" s="479" t="s">
        <v>325</v>
      </c>
      <c r="AB56" s="508"/>
      <c r="AC56" s="66"/>
      <c r="AD56" s="470"/>
      <c r="AE56" s="6"/>
      <c r="AF56" s="6"/>
      <c r="AG56" s="508"/>
      <c r="AH56" s="509"/>
      <c r="AI56" s="502"/>
      <c r="AJ56" s="479"/>
      <c r="AK56" s="508"/>
    </row>
    <row r="57" spans="1:37" ht="62.25" customHeight="1" x14ac:dyDescent="0.35">
      <c r="A57" s="1478">
        <v>44620</v>
      </c>
      <c r="B57" s="472">
        <v>1</v>
      </c>
      <c r="C57" s="493"/>
      <c r="D57" s="494"/>
      <c r="E57" s="494">
        <v>8</v>
      </c>
      <c r="F57" s="495"/>
      <c r="G57" s="478"/>
      <c r="H57" s="479"/>
      <c r="I57" s="483" t="s">
        <v>152</v>
      </c>
      <c r="J57" s="480"/>
      <c r="L57" s="439"/>
      <c r="M57" s="433"/>
      <c r="N57" s="433"/>
      <c r="O57" s="508"/>
      <c r="P57" s="509"/>
      <c r="Q57" s="6"/>
      <c r="R57" s="502"/>
      <c r="S57" s="508"/>
      <c r="T57" s="66"/>
      <c r="U57" s="470"/>
      <c r="V57" s="6"/>
      <c r="W57" s="6"/>
      <c r="X57" s="508"/>
      <c r="Y57" s="469"/>
      <c r="Z57" s="502"/>
      <c r="AA57" s="502"/>
      <c r="AB57" s="508"/>
      <c r="AC57" s="66"/>
      <c r="AD57" s="470"/>
      <c r="AE57" s="6"/>
      <c r="AF57" s="6"/>
      <c r="AG57" s="508"/>
      <c r="AH57" s="509"/>
      <c r="AI57" s="6"/>
      <c r="AJ57" s="483"/>
      <c r="AK57" s="508"/>
    </row>
    <row r="58" spans="1:37" ht="28.3" x14ac:dyDescent="0.35">
      <c r="A58" s="1477"/>
      <c r="B58" s="500">
        <v>2</v>
      </c>
      <c r="C58" s="493">
        <v>120</v>
      </c>
      <c r="D58" s="494"/>
      <c r="E58" s="494">
        <v>56</v>
      </c>
      <c r="F58" s="495"/>
      <c r="G58" s="481" t="s">
        <v>315</v>
      </c>
      <c r="H58" s="479"/>
      <c r="I58" s="483" t="s">
        <v>340</v>
      </c>
      <c r="J58" s="480"/>
      <c r="L58" s="439"/>
      <c r="M58" s="433"/>
      <c r="N58" s="433"/>
      <c r="O58" s="508"/>
      <c r="P58" s="509"/>
      <c r="Q58" s="6"/>
      <c r="R58" s="6"/>
      <c r="S58" s="508"/>
      <c r="T58" s="66"/>
      <c r="U58" s="470"/>
      <c r="V58" s="6"/>
      <c r="W58" s="6"/>
      <c r="X58" s="508"/>
      <c r="Y58" s="509"/>
      <c r="Z58" s="502"/>
      <c r="AA58" s="6"/>
      <c r="AB58" s="508"/>
      <c r="AC58" s="66"/>
      <c r="AD58" s="470"/>
      <c r="AE58" s="6"/>
      <c r="AF58" s="6"/>
      <c r="AG58" s="508"/>
      <c r="AH58" s="509"/>
      <c r="AI58" s="6"/>
      <c r="AJ58" s="6"/>
      <c r="AK58" s="508"/>
    </row>
    <row r="59" spans="1:37" x14ac:dyDescent="0.35">
      <c r="A59" s="1478"/>
      <c r="B59" s="472">
        <v>1</v>
      </c>
      <c r="C59" s="493"/>
      <c r="D59" s="494"/>
      <c r="E59" s="494"/>
      <c r="F59" s="495"/>
      <c r="G59" s="478"/>
      <c r="H59" s="479"/>
      <c r="I59" s="6"/>
      <c r="J59" s="480"/>
      <c r="L59" s="439"/>
      <c r="M59" s="433"/>
      <c r="N59" s="433"/>
      <c r="O59" s="508"/>
      <c r="P59" s="509"/>
      <c r="Q59" s="502"/>
      <c r="R59" s="6"/>
      <c r="S59" s="508"/>
      <c r="T59" s="66"/>
      <c r="U59" s="470"/>
      <c r="V59" s="6"/>
      <c r="W59" s="6"/>
      <c r="X59" s="508"/>
      <c r="Y59" s="509"/>
      <c r="Z59" s="6"/>
      <c r="AA59" s="6"/>
      <c r="AB59" s="508"/>
      <c r="AC59" s="66"/>
      <c r="AD59" s="470"/>
      <c r="AE59" s="6"/>
      <c r="AF59" s="6"/>
      <c r="AG59" s="508"/>
      <c r="AH59" s="469"/>
      <c r="AI59" s="6"/>
      <c r="AJ59" s="6"/>
      <c r="AK59" s="508"/>
    </row>
    <row r="60" spans="1:37" x14ac:dyDescent="0.35">
      <c r="A60" s="1477"/>
      <c r="B60" s="500">
        <v>2</v>
      </c>
      <c r="C60" s="493"/>
      <c r="D60" s="494"/>
      <c r="E60" s="494"/>
      <c r="F60" s="495"/>
      <c r="G60" s="481"/>
      <c r="H60" s="483"/>
      <c r="I60" s="479"/>
      <c r="J60" s="480"/>
      <c r="L60" s="439"/>
      <c r="M60" s="433"/>
      <c r="N60" s="433"/>
      <c r="O60" s="508"/>
      <c r="P60" s="509"/>
      <c r="Q60" s="6"/>
      <c r="R60" s="6"/>
      <c r="S60" s="508"/>
      <c r="T60" s="66"/>
      <c r="U60" s="470"/>
      <c r="V60" s="6"/>
      <c r="W60" s="6"/>
      <c r="X60" s="508"/>
      <c r="Y60" s="509"/>
      <c r="Z60" s="502"/>
      <c r="AA60" s="6"/>
      <c r="AB60" s="508"/>
      <c r="AC60" s="66"/>
      <c r="AD60" s="470"/>
      <c r="AE60" s="6"/>
      <c r="AF60" s="6"/>
      <c r="AG60" s="508"/>
      <c r="AH60" s="509"/>
      <c r="AI60" s="6"/>
      <c r="AJ60" s="6"/>
      <c r="AK60" s="508"/>
    </row>
    <row r="61" spans="1:37" x14ac:dyDescent="0.35">
      <c r="A61" s="1478"/>
      <c r="B61" s="472">
        <v>1</v>
      </c>
      <c r="C61" s="493"/>
      <c r="D61" s="494"/>
      <c r="E61" s="494"/>
      <c r="F61" s="495"/>
      <c r="G61" s="478"/>
      <c r="H61" s="479"/>
      <c r="I61" s="479"/>
      <c r="J61" s="480"/>
      <c r="L61" s="439"/>
      <c r="M61" s="433"/>
      <c r="N61" s="433"/>
      <c r="O61" s="508"/>
      <c r="P61" s="509"/>
      <c r="Q61" s="6"/>
      <c r="R61" s="6"/>
      <c r="S61" s="508"/>
      <c r="T61" s="66"/>
      <c r="U61" s="470"/>
      <c r="V61" s="6"/>
      <c r="W61" s="6"/>
      <c r="X61" s="508"/>
      <c r="Y61" s="509"/>
      <c r="Z61" s="6"/>
      <c r="AA61" s="6"/>
      <c r="AB61" s="508"/>
      <c r="AC61" s="66"/>
      <c r="AD61" s="470"/>
      <c r="AE61" s="6"/>
      <c r="AF61" s="6"/>
      <c r="AG61" s="508"/>
      <c r="AH61" s="509"/>
      <c r="AI61" s="6"/>
      <c r="AJ61" s="6"/>
      <c r="AK61" s="508"/>
    </row>
    <row r="62" spans="1:37" x14ac:dyDescent="0.35">
      <c r="A62" s="1477"/>
      <c r="B62" s="500">
        <v>2</v>
      </c>
      <c r="C62" s="493"/>
      <c r="D62" s="494"/>
      <c r="E62" s="494"/>
      <c r="F62" s="495"/>
      <c r="G62" s="481"/>
      <c r="H62" s="479"/>
      <c r="I62" s="479"/>
      <c r="J62" s="480"/>
      <c r="L62" s="439"/>
      <c r="M62" s="433"/>
      <c r="N62" s="433"/>
      <c r="O62" s="508"/>
      <c r="P62" s="509"/>
      <c r="Q62" s="6"/>
      <c r="R62" s="6"/>
      <c r="S62" s="508"/>
      <c r="T62" s="66"/>
      <c r="U62" s="470"/>
      <c r="V62" s="6"/>
      <c r="W62" s="6"/>
      <c r="X62" s="508"/>
      <c r="Y62" s="509"/>
      <c r="Z62" s="6"/>
      <c r="AA62" s="502"/>
      <c r="AB62" s="508"/>
      <c r="AC62" s="66"/>
      <c r="AD62" s="470"/>
      <c r="AE62" s="6"/>
      <c r="AF62" s="6"/>
      <c r="AG62" s="508"/>
      <c r="AH62" s="509"/>
      <c r="AI62" s="6"/>
      <c r="AJ62" s="6"/>
      <c r="AK62" s="508"/>
    </row>
    <row r="63" spans="1:37" x14ac:dyDescent="0.35">
      <c r="A63" s="1478"/>
      <c r="B63" s="472">
        <v>1</v>
      </c>
      <c r="C63" s="493"/>
      <c r="D63" s="494"/>
      <c r="E63" s="494"/>
      <c r="F63" s="495"/>
      <c r="G63" s="478"/>
      <c r="H63" s="479"/>
      <c r="I63" s="479"/>
      <c r="J63" s="480"/>
      <c r="L63" s="439"/>
      <c r="M63" s="433"/>
      <c r="N63" s="433"/>
      <c r="O63" s="508"/>
      <c r="P63" s="509"/>
      <c r="Q63" s="6"/>
      <c r="R63" s="6"/>
      <c r="S63" s="508"/>
      <c r="T63" s="66"/>
      <c r="U63" s="470"/>
      <c r="V63" s="6"/>
      <c r="W63" s="6"/>
      <c r="X63" s="508"/>
      <c r="Y63" s="509"/>
      <c r="Z63" s="6"/>
      <c r="AA63" s="6"/>
      <c r="AB63" s="508"/>
      <c r="AC63" s="66"/>
      <c r="AD63" s="470"/>
      <c r="AE63" s="6"/>
      <c r="AF63" s="6"/>
      <c r="AG63" s="508"/>
      <c r="AH63" s="509"/>
      <c r="AI63" s="6"/>
      <c r="AJ63" s="6"/>
      <c r="AK63" s="508"/>
    </row>
    <row r="64" spans="1:37" x14ac:dyDescent="0.35">
      <c r="A64" s="1477"/>
      <c r="B64" s="472">
        <v>2</v>
      </c>
      <c r="C64" s="496"/>
      <c r="D64" s="497"/>
      <c r="E64" s="497"/>
      <c r="F64" s="498"/>
      <c r="G64" s="537"/>
      <c r="H64" s="485"/>
      <c r="I64" s="485"/>
      <c r="J64" s="535"/>
      <c r="L64" s="440"/>
      <c r="M64" s="436"/>
      <c r="N64" s="436"/>
      <c r="O64" s="528"/>
      <c r="P64" s="529"/>
      <c r="Q64" s="530"/>
      <c r="R64" s="530"/>
      <c r="S64" s="536"/>
      <c r="T64" s="66"/>
      <c r="U64" s="531"/>
      <c r="V64" s="530"/>
      <c r="W64" s="530"/>
      <c r="X64" s="528"/>
      <c r="Y64" s="532"/>
      <c r="Z64" s="530"/>
      <c r="AA64" s="530"/>
      <c r="AB64" s="536"/>
      <c r="AC64" s="66"/>
      <c r="AD64" s="531"/>
      <c r="AE64" s="530"/>
      <c r="AF64" s="530"/>
      <c r="AG64" s="528"/>
      <c r="AH64" s="529"/>
      <c r="AI64" s="530"/>
      <c r="AJ64" s="559"/>
      <c r="AK64" s="536"/>
    </row>
    <row r="65" spans="1:33" x14ac:dyDescent="0.35">
      <c r="A65" s="423" t="s">
        <v>225</v>
      </c>
      <c r="C65" s="65">
        <f>SUM(C3:C64)</f>
        <v>4659</v>
      </c>
      <c r="D65" s="65">
        <f>SUM(D3:D64)</f>
        <v>24</v>
      </c>
      <c r="E65" s="65">
        <f>SUM(E3:E64)</f>
        <v>1051</v>
      </c>
      <c r="F65" s="65">
        <f>SUM(F3:F64)</f>
        <v>0</v>
      </c>
      <c r="L65" s="65">
        <f>SUM(L3:L64)</f>
        <v>0</v>
      </c>
      <c r="M65" s="65">
        <f>SUM(M3:M64)</f>
        <v>249</v>
      </c>
      <c r="N65" s="65">
        <f>SUM(N3:N64)</f>
        <v>0</v>
      </c>
      <c r="O65" s="65">
        <f>SUM(O3:O64)</f>
        <v>0</v>
      </c>
      <c r="U65" s="65">
        <f>SUM(U3:U64)</f>
        <v>168</v>
      </c>
      <c r="V65" s="65">
        <f>SUM(V3:V64)</f>
        <v>248</v>
      </c>
      <c r="W65" s="65">
        <f>SUM(W3:W64)</f>
        <v>578</v>
      </c>
      <c r="X65" s="65">
        <f>SUM(X3:X64)</f>
        <v>0</v>
      </c>
      <c r="AD65" s="65">
        <f>SUM(AD3:AD64)</f>
        <v>1887</v>
      </c>
      <c r="AE65" s="65">
        <f>SUM(AE3:AE64)</f>
        <v>0</v>
      </c>
      <c r="AF65" s="65">
        <f>SUM(AF3:AF64)</f>
        <v>137</v>
      </c>
      <c r="AG65" s="65">
        <f>SUM(AG3:AG64)</f>
        <v>0</v>
      </c>
    </row>
    <row r="73" spans="1:33" ht="14.6" thickBot="1" x14ac:dyDescent="0.4"/>
    <row r="74" spans="1:3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3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33" ht="21.75" customHeight="1" x14ac:dyDescent="0.4">
      <c r="B76" s="541" t="s">
        <v>218</v>
      </c>
      <c r="C76" s="542">
        <f>C65</f>
        <v>4659</v>
      </c>
      <c r="D76" s="543">
        <f>C76/60</f>
        <v>77.650000000000006</v>
      </c>
      <c r="E76" s="542">
        <f>D65</f>
        <v>24</v>
      </c>
      <c r="F76" s="544">
        <f>E76/60</f>
        <v>0.4</v>
      </c>
      <c r="G76" s="542">
        <f>E65</f>
        <v>1051</v>
      </c>
      <c r="H76" s="543">
        <f>G76/60</f>
        <v>17.516666666666666</v>
      </c>
      <c r="I76" s="542">
        <f>F65</f>
        <v>0</v>
      </c>
      <c r="J76" s="543">
        <f>I76/60</f>
        <v>0</v>
      </c>
    </row>
    <row r="77" spans="1:33" ht="19.5" customHeight="1" x14ac:dyDescent="0.4">
      <c r="B77" s="541" t="s">
        <v>219</v>
      </c>
      <c r="C77" s="545">
        <f>L65</f>
        <v>0</v>
      </c>
      <c r="D77" s="546">
        <f t="shared" ref="D77:F79" si="0">C77/60</f>
        <v>0</v>
      </c>
      <c r="E77" s="545">
        <f>M65</f>
        <v>249</v>
      </c>
      <c r="F77" s="547">
        <f t="shared" si="0"/>
        <v>4.1500000000000004</v>
      </c>
      <c r="G77" s="545">
        <f>N65</f>
        <v>0</v>
      </c>
      <c r="H77" s="546">
        <f t="shared" ref="H77:J79" si="1">G77/60</f>
        <v>0</v>
      </c>
      <c r="I77" s="545">
        <f>O65</f>
        <v>0</v>
      </c>
      <c r="J77" s="546">
        <f t="shared" si="1"/>
        <v>0</v>
      </c>
    </row>
    <row r="78" spans="1:33" ht="20.25" customHeight="1" x14ac:dyDescent="0.4">
      <c r="B78" s="541" t="s">
        <v>220</v>
      </c>
      <c r="C78" s="545">
        <f>U65</f>
        <v>168</v>
      </c>
      <c r="D78" s="546">
        <f t="shared" si="0"/>
        <v>2.8</v>
      </c>
      <c r="E78" s="545">
        <f>V65</f>
        <v>248</v>
      </c>
      <c r="F78" s="547">
        <f t="shared" si="0"/>
        <v>4.1333333333333337</v>
      </c>
      <c r="G78" s="545">
        <f>W65</f>
        <v>578</v>
      </c>
      <c r="H78" s="546">
        <f t="shared" si="1"/>
        <v>9.6333333333333329</v>
      </c>
      <c r="I78" s="545">
        <f>X65</f>
        <v>0</v>
      </c>
      <c r="J78" s="546">
        <f t="shared" si="1"/>
        <v>0</v>
      </c>
    </row>
    <row r="79" spans="1:33" ht="22.5" customHeight="1" thickBot="1" x14ac:dyDescent="0.45">
      <c r="B79" s="541" t="s">
        <v>221</v>
      </c>
      <c r="C79" s="548">
        <f>AD65</f>
        <v>1887</v>
      </c>
      <c r="D79" s="549">
        <f t="shared" si="0"/>
        <v>31.45</v>
      </c>
      <c r="E79" s="548">
        <f>AE65</f>
        <v>0</v>
      </c>
      <c r="F79" s="550">
        <f t="shared" si="0"/>
        <v>0</v>
      </c>
      <c r="G79" s="548">
        <f>AF65</f>
        <v>137</v>
      </c>
      <c r="H79" s="549">
        <f t="shared" si="1"/>
        <v>2.2833333333333332</v>
      </c>
      <c r="I79" s="548">
        <f>AG65</f>
        <v>0</v>
      </c>
      <c r="J79" s="549">
        <f t="shared" si="1"/>
        <v>0</v>
      </c>
    </row>
    <row r="80" spans="1:33" ht="18.45" thickBot="1" x14ac:dyDescent="0.5">
      <c r="B80" s="354"/>
      <c r="C80" s="255"/>
      <c r="D80" s="255"/>
      <c r="E80" s="255"/>
      <c r="F80" s="255"/>
      <c r="G80" s="255"/>
      <c r="H80" s="255"/>
      <c r="I80" s="255"/>
      <c r="J80" s="255"/>
    </row>
    <row r="81" spans="2:10" ht="18.45" thickBot="1" x14ac:dyDescent="0.5">
      <c r="B81" s="551" t="s">
        <v>217</v>
      </c>
      <c r="C81" s="556"/>
      <c r="D81" s="557">
        <f>SUM(D76:D80)</f>
        <v>111.9</v>
      </c>
      <c r="E81" s="556"/>
      <c r="F81" s="557">
        <f>SUM(F76:F80)</f>
        <v>8.6833333333333336</v>
      </c>
      <c r="G81" s="556"/>
      <c r="H81" s="557">
        <f>SUM(H76:H80)</f>
        <v>29.43333333333333</v>
      </c>
      <c r="I81" s="556"/>
      <c r="J81" s="558">
        <f>SUM(J76:J80)</f>
        <v>0</v>
      </c>
    </row>
  </sheetData>
  <mergeCells count="47">
    <mergeCell ref="A9:A10"/>
    <mergeCell ref="C1:F1"/>
    <mergeCell ref="G1:J1"/>
    <mergeCell ref="L1:O1"/>
    <mergeCell ref="P1:S1"/>
    <mergeCell ref="AD1:AG1"/>
    <mergeCell ref="AH1:AK1"/>
    <mergeCell ref="A3:A4"/>
    <mergeCell ref="A5:A6"/>
    <mergeCell ref="A7:A8"/>
    <mergeCell ref="U1:X1"/>
    <mergeCell ref="Y1:AB1"/>
    <mergeCell ref="A29:A30"/>
    <mergeCell ref="A11:A12"/>
    <mergeCell ref="A13:A14"/>
    <mergeCell ref="A15:A16"/>
    <mergeCell ref="A17:A18"/>
    <mergeCell ref="A19:A20"/>
    <mergeCell ref="A21:A22"/>
    <mergeCell ref="G21:G22"/>
    <mergeCell ref="A23:A24"/>
    <mergeCell ref="A25:A26"/>
    <mergeCell ref="AH25:AH26"/>
    <mergeCell ref="A27:A28"/>
    <mergeCell ref="A51:A52"/>
    <mergeCell ref="A31:A32"/>
    <mergeCell ref="J32:J33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9:A60"/>
    <mergeCell ref="A61:A62"/>
    <mergeCell ref="Y54:AA54"/>
    <mergeCell ref="C74:D74"/>
    <mergeCell ref="E74:F74"/>
    <mergeCell ref="G74:H74"/>
    <mergeCell ref="I74:J74"/>
    <mergeCell ref="A63:A64"/>
    <mergeCell ref="A53:A54"/>
    <mergeCell ref="A55:A56"/>
    <mergeCell ref="A57:A58"/>
  </mergeCells>
  <pageMargins left="0.7" right="0.7" top="0.75" bottom="0.75" header="0.3" footer="0.3"/>
  <pageSetup paperSize="9" orientation="portrait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81"/>
  <sheetViews>
    <sheetView zoomScale="70" zoomScaleNormal="7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D81" sqref="D81"/>
    </sheetView>
  </sheetViews>
  <sheetFormatPr defaultColWidth="8.84375" defaultRowHeight="14.15" x14ac:dyDescent="0.35"/>
  <cols>
    <col min="1" max="1" width="14.53515625" style="423" customWidth="1"/>
    <col min="2" max="2" width="15.69140625" style="65" customWidth="1"/>
    <col min="3" max="3" width="10.69140625" style="423" customWidth="1"/>
    <col min="4" max="5" width="10.3046875" style="423" customWidth="1"/>
    <col min="6" max="6" width="10.84375" style="423" customWidth="1"/>
    <col min="7" max="7" width="17.69140625" style="423" bestFit="1" customWidth="1"/>
    <col min="8" max="8" width="19.3046875" style="423" customWidth="1"/>
    <col min="9" max="9" width="16.15234375" style="423" customWidth="1"/>
    <col min="10" max="10" width="24.3046875" style="423" customWidth="1"/>
    <col min="11" max="11" width="8.84375" style="423"/>
    <col min="12" max="13" width="9.69140625" style="423" customWidth="1"/>
    <col min="14" max="14" width="4.53515625" style="423" bestFit="1" customWidth="1"/>
    <col min="15" max="15" width="9.84375" style="423" customWidth="1"/>
    <col min="16" max="16" width="16.84375" style="423" customWidth="1"/>
    <col min="17" max="17" width="17.3046875" style="423" customWidth="1"/>
    <col min="18" max="18" width="21.69140625" style="423" customWidth="1"/>
    <col min="19" max="19" width="15.3046875" style="423" bestFit="1" customWidth="1"/>
    <col min="20" max="21" width="8.84375" style="423"/>
    <col min="22" max="22" width="15.3828125" style="423" customWidth="1"/>
    <col min="23" max="23" width="8.84375" style="423"/>
    <col min="24" max="24" width="9.3828125" style="423" bestFit="1" customWidth="1"/>
    <col min="25" max="26" width="17.15234375" style="423" customWidth="1"/>
    <col min="27" max="27" width="18.3828125" style="423" customWidth="1"/>
    <col min="28" max="28" width="15.3046875" style="423" customWidth="1"/>
    <col min="29" max="33" width="8.84375" style="423"/>
    <col min="34" max="34" width="17.69140625" style="423" bestFit="1" customWidth="1"/>
    <col min="35" max="35" width="15" style="423" bestFit="1" customWidth="1"/>
    <col min="36" max="36" width="15.84375" style="423" customWidth="1"/>
    <col min="37" max="37" width="15.3046875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202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203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14.6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14.6" thickTop="1" x14ac:dyDescent="0.35">
      <c r="A3" s="1478">
        <v>44621</v>
      </c>
      <c r="B3" s="501">
        <v>1</v>
      </c>
      <c r="C3" s="490"/>
      <c r="D3" s="491"/>
      <c r="E3" s="491">
        <v>7</v>
      </c>
      <c r="F3" s="492"/>
      <c r="G3" s="478"/>
      <c r="H3" s="479"/>
      <c r="I3" s="515" t="s">
        <v>325</v>
      </c>
      <c r="J3" s="477"/>
      <c r="L3" s="441"/>
      <c r="M3" s="522"/>
      <c r="N3" s="442"/>
      <c r="O3" s="520"/>
      <c r="P3" s="521"/>
      <c r="Q3" s="538"/>
      <c r="R3" s="522"/>
      <c r="S3" s="520"/>
      <c r="T3" s="66"/>
      <c r="U3" s="507"/>
      <c r="V3" s="522"/>
      <c r="W3" s="522"/>
      <c r="X3" s="508"/>
      <c r="Y3" s="469"/>
      <c r="Z3" s="521"/>
      <c r="AA3" s="522"/>
      <c r="AB3" s="520"/>
      <c r="AC3" s="66"/>
      <c r="AD3" s="507"/>
      <c r="AE3" s="522"/>
      <c r="AF3" s="6"/>
      <c r="AG3" s="520"/>
      <c r="AH3" s="521"/>
      <c r="AI3" s="522"/>
      <c r="AJ3" s="6"/>
      <c r="AK3" s="520"/>
    </row>
    <row r="4" spans="1:37" ht="28.3" x14ac:dyDescent="0.35">
      <c r="A4" s="1477"/>
      <c r="B4" s="472">
        <v>2</v>
      </c>
      <c r="C4" s="493"/>
      <c r="D4" s="494"/>
      <c r="E4" s="494"/>
      <c r="F4" s="495"/>
      <c r="G4" s="481"/>
      <c r="H4" s="502"/>
      <c r="I4" s="479"/>
      <c r="J4" s="480"/>
      <c r="L4" s="439"/>
      <c r="M4" s="433"/>
      <c r="N4" s="433"/>
      <c r="O4" s="508"/>
      <c r="P4" s="509"/>
      <c r="Q4" s="6"/>
      <c r="R4" s="6"/>
      <c r="S4" s="508"/>
      <c r="T4" s="66"/>
      <c r="U4" s="470">
        <v>90</v>
      </c>
      <c r="V4" s="502"/>
      <c r="W4" s="6"/>
      <c r="X4" s="508"/>
      <c r="Y4" s="469" t="s">
        <v>341</v>
      </c>
      <c r="Z4" s="6"/>
      <c r="AA4" s="469"/>
      <c r="AB4" s="508"/>
      <c r="AC4" s="66"/>
      <c r="AD4" s="470"/>
      <c r="AE4" s="6"/>
      <c r="AF4" s="6"/>
      <c r="AG4" s="508"/>
      <c r="AH4" s="509"/>
      <c r="AI4" s="6"/>
      <c r="AJ4" s="6"/>
      <c r="AK4" s="508"/>
    </row>
    <row r="5" spans="1:37" x14ac:dyDescent="0.35">
      <c r="A5" s="1478">
        <v>44622</v>
      </c>
      <c r="B5" s="472">
        <v>1</v>
      </c>
      <c r="C5" s="493"/>
      <c r="D5" s="494">
        <v>80</v>
      </c>
      <c r="E5" s="494">
        <v>18</v>
      </c>
      <c r="F5" s="495"/>
      <c r="G5" s="478"/>
      <c r="H5" s="479" t="s">
        <v>342</v>
      </c>
      <c r="I5" s="515" t="s">
        <v>325</v>
      </c>
      <c r="J5" s="480"/>
      <c r="L5" s="439"/>
      <c r="M5" s="433"/>
      <c r="N5" s="433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469"/>
      <c r="AB5" s="508"/>
      <c r="AC5" s="66"/>
      <c r="AD5" s="470"/>
      <c r="AE5" s="6"/>
      <c r="AF5" s="6"/>
      <c r="AG5" s="508"/>
      <c r="AH5" s="509"/>
      <c r="AI5" s="6"/>
      <c r="AJ5" s="6"/>
      <c r="AK5" s="508"/>
    </row>
    <row r="6" spans="1:37" x14ac:dyDescent="0.35">
      <c r="A6" s="1477"/>
      <c r="B6" s="472">
        <v>2</v>
      </c>
      <c r="C6" s="493"/>
      <c r="D6" s="494">
        <v>110</v>
      </c>
      <c r="E6" s="494">
        <v>10</v>
      </c>
      <c r="F6" s="495"/>
      <c r="G6" s="478"/>
      <c r="H6" s="479" t="s">
        <v>343</v>
      </c>
      <c r="I6" s="479" t="s">
        <v>152</v>
      </c>
      <c r="J6" s="480"/>
      <c r="L6" s="439"/>
      <c r="M6" s="15">
        <v>52</v>
      </c>
      <c r="N6" s="433"/>
      <c r="O6" s="508"/>
      <c r="P6" s="509"/>
      <c r="Q6" s="479" t="s">
        <v>343</v>
      </c>
      <c r="R6" s="6"/>
      <c r="S6" s="508"/>
      <c r="T6" s="66"/>
      <c r="U6" s="470"/>
      <c r="V6" s="6"/>
      <c r="W6" s="6"/>
      <c r="X6" s="508"/>
      <c r="Y6" s="469"/>
      <c r="Z6" s="502"/>
      <c r="AA6" s="502"/>
      <c r="AB6" s="508"/>
      <c r="AC6" s="66"/>
      <c r="AD6" s="470"/>
      <c r="AE6" s="6"/>
      <c r="AF6" s="6"/>
      <c r="AG6" s="508"/>
      <c r="AH6" s="509"/>
      <c r="AI6" s="6"/>
      <c r="AJ6" s="502"/>
      <c r="AK6" s="508"/>
    </row>
    <row r="7" spans="1:37" ht="89.25" customHeight="1" x14ac:dyDescent="0.35">
      <c r="A7" s="1478">
        <v>44623</v>
      </c>
      <c r="B7" s="472">
        <v>1</v>
      </c>
      <c r="C7" s="493"/>
      <c r="D7" s="494"/>
      <c r="E7" s="494"/>
      <c r="F7" s="495"/>
      <c r="G7" s="478"/>
      <c r="H7" s="483"/>
      <c r="I7" s="479"/>
      <c r="J7" s="480"/>
      <c r="L7" s="470"/>
      <c r="M7" s="509"/>
      <c r="N7" s="433"/>
      <c r="O7" s="508"/>
      <c r="P7" s="509"/>
      <c r="Q7" s="509"/>
      <c r="R7" s="6"/>
      <c r="S7" s="508"/>
      <c r="T7" s="66"/>
      <c r="U7" s="470"/>
      <c r="V7" s="524"/>
      <c r="W7" s="6">
        <v>335</v>
      </c>
      <c r="X7" s="508"/>
      <c r="Y7" s="509"/>
      <c r="Z7" s="6"/>
      <c r="AA7" s="502" t="s">
        <v>344</v>
      </c>
      <c r="AB7" s="508"/>
      <c r="AC7" s="66"/>
      <c r="AD7" s="470"/>
      <c r="AE7" s="6"/>
      <c r="AF7" s="6"/>
      <c r="AG7" s="508"/>
      <c r="AH7" s="509"/>
      <c r="AI7" s="6"/>
      <c r="AJ7" s="6"/>
      <c r="AK7" s="508"/>
    </row>
    <row r="8" spans="1:37" ht="56.6" x14ac:dyDescent="0.35">
      <c r="A8" s="1477"/>
      <c r="B8" s="472">
        <v>2</v>
      </c>
      <c r="C8" s="493"/>
      <c r="D8" s="494"/>
      <c r="E8" s="494"/>
      <c r="F8" s="495"/>
      <c r="G8" s="481"/>
      <c r="H8" s="483"/>
      <c r="I8" s="513"/>
      <c r="J8" s="480"/>
      <c r="L8" s="470"/>
      <c r="M8" s="6"/>
      <c r="N8" s="6"/>
      <c r="O8" s="508"/>
      <c r="P8" s="469"/>
      <c r="Q8" s="6"/>
      <c r="R8" s="502"/>
      <c r="S8" s="508"/>
      <c r="T8" s="66"/>
      <c r="U8" s="470">
        <v>720</v>
      </c>
      <c r="V8" s="525"/>
      <c r="W8" s="509"/>
      <c r="X8" s="508"/>
      <c r="Y8" s="469"/>
      <c r="Z8" s="6"/>
      <c r="AA8" s="469" t="s">
        <v>345</v>
      </c>
      <c r="AB8" s="508"/>
      <c r="AC8" s="66"/>
      <c r="AD8" s="470"/>
      <c r="AE8" s="6"/>
      <c r="AF8" s="6"/>
      <c r="AG8" s="508"/>
      <c r="AH8" s="509"/>
      <c r="AI8" s="6"/>
      <c r="AJ8" s="6"/>
      <c r="AK8" s="508"/>
    </row>
    <row r="9" spans="1:37" x14ac:dyDescent="0.35">
      <c r="A9" s="1478">
        <v>44624</v>
      </c>
      <c r="B9" s="472">
        <v>1</v>
      </c>
      <c r="C9" s="493"/>
      <c r="D9" s="494"/>
      <c r="E9" s="494"/>
      <c r="F9" s="495"/>
      <c r="G9" s="478"/>
      <c r="H9" s="479"/>
      <c r="I9" s="514"/>
      <c r="J9" s="480"/>
      <c r="L9" s="470"/>
      <c r="M9" s="6"/>
      <c r="N9" s="6"/>
      <c r="O9" s="508"/>
      <c r="P9" s="469"/>
      <c r="Q9" s="6"/>
      <c r="R9" s="502"/>
      <c r="S9" s="508"/>
      <c r="T9" s="66"/>
      <c r="U9" s="470"/>
      <c r="V9" s="6"/>
      <c r="W9" s="6"/>
      <c r="X9" s="508"/>
      <c r="Y9" s="509"/>
      <c r="Z9" s="6"/>
      <c r="AA9" s="6"/>
      <c r="AB9" s="508"/>
      <c r="AC9" s="66"/>
      <c r="AD9" s="470"/>
      <c r="AE9" s="6"/>
      <c r="AF9" s="6"/>
      <c r="AG9" s="508"/>
      <c r="AH9" s="509"/>
      <c r="AI9" s="6"/>
      <c r="AJ9" s="6"/>
      <c r="AK9" s="508"/>
    </row>
    <row r="10" spans="1:37" x14ac:dyDescent="0.35">
      <c r="A10" s="1477"/>
      <c r="B10" s="472">
        <v>2</v>
      </c>
      <c r="C10" s="493"/>
      <c r="D10" s="494"/>
      <c r="E10" s="494"/>
      <c r="F10" s="495"/>
      <c r="G10" s="478"/>
      <c r="H10" s="479"/>
      <c r="I10" s="514"/>
      <c r="J10" s="480"/>
      <c r="L10" s="470"/>
      <c r="M10" s="6"/>
      <c r="N10" s="6"/>
      <c r="O10" s="508"/>
      <c r="P10" s="469"/>
      <c r="Q10" s="6"/>
      <c r="R10" s="502"/>
      <c r="S10" s="508"/>
      <c r="T10" s="66"/>
      <c r="U10" s="470"/>
      <c r="V10" s="6"/>
      <c r="W10" s="6"/>
      <c r="X10" s="508"/>
      <c r="Y10" s="469"/>
      <c r="Z10" s="6"/>
      <c r="AA10" s="6"/>
      <c r="AB10" s="508"/>
      <c r="AC10" s="66"/>
      <c r="AD10" s="470"/>
      <c r="AE10" s="6"/>
      <c r="AF10" s="6"/>
      <c r="AG10" s="508"/>
      <c r="AH10" s="509"/>
      <c r="AI10" s="6"/>
      <c r="AJ10" s="6"/>
      <c r="AK10" s="508"/>
    </row>
    <row r="11" spans="1:37" x14ac:dyDescent="0.35">
      <c r="A11" s="1478">
        <v>44625</v>
      </c>
      <c r="B11" s="472">
        <v>1</v>
      </c>
      <c r="C11" s="493"/>
      <c r="D11" s="494"/>
      <c r="E11" s="494"/>
      <c r="F11" s="495"/>
      <c r="G11" s="481"/>
      <c r="H11" s="479"/>
      <c r="I11" s="479"/>
      <c r="J11" s="480"/>
      <c r="L11" s="470"/>
      <c r="M11" s="433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</row>
    <row r="12" spans="1:37" x14ac:dyDescent="0.35">
      <c r="A12" s="1477"/>
      <c r="B12" s="472">
        <v>2</v>
      </c>
      <c r="C12" s="493"/>
      <c r="D12" s="494"/>
      <c r="E12" s="494"/>
      <c r="F12" s="495"/>
      <c r="G12" s="478"/>
      <c r="H12" s="479"/>
      <c r="I12" s="515"/>
      <c r="J12" s="480"/>
      <c r="L12" s="470"/>
      <c r="M12" s="433"/>
      <c r="N12" s="6"/>
      <c r="O12" s="508"/>
      <c r="P12" s="469"/>
      <c r="Q12" s="6"/>
      <c r="R12" s="502"/>
      <c r="S12" s="508"/>
      <c r="T12" s="66"/>
      <c r="U12" s="470"/>
      <c r="V12" s="6"/>
      <c r="W12" s="6"/>
      <c r="X12" s="508"/>
      <c r="Y12" s="509"/>
      <c r="Z12" s="6"/>
      <c r="AA12" s="6"/>
      <c r="AB12" s="508"/>
      <c r="AC12" s="66"/>
      <c r="AD12" s="470"/>
      <c r="AE12" s="6"/>
      <c r="AF12" s="6"/>
      <c r="AG12" s="508"/>
      <c r="AH12" s="509"/>
      <c r="AI12" s="6"/>
      <c r="AJ12" s="6"/>
      <c r="AK12" s="508"/>
    </row>
    <row r="13" spans="1:37" x14ac:dyDescent="0.35">
      <c r="A13" s="1478">
        <v>44626</v>
      </c>
      <c r="B13" s="472">
        <v>1</v>
      </c>
      <c r="C13" s="493"/>
      <c r="D13" s="494"/>
      <c r="E13" s="494"/>
      <c r="F13" s="495"/>
      <c r="G13" s="478"/>
      <c r="H13" s="479"/>
      <c r="I13" s="515"/>
      <c r="J13" s="480"/>
      <c r="L13" s="516"/>
      <c r="M13" s="15"/>
      <c r="N13" s="15"/>
      <c r="O13" s="508"/>
      <c r="P13" s="469"/>
      <c r="Q13" s="6"/>
      <c r="R13" s="502"/>
      <c r="S13" s="508"/>
      <c r="T13" s="66"/>
      <c r="U13" s="470"/>
      <c r="V13" s="6"/>
      <c r="W13" s="6"/>
      <c r="X13" s="508"/>
      <c r="Y13" s="509"/>
      <c r="Z13" s="6"/>
      <c r="AA13" s="502"/>
      <c r="AB13" s="526"/>
      <c r="AC13" s="66"/>
      <c r="AD13" s="470"/>
      <c r="AE13" s="6"/>
      <c r="AF13" s="6"/>
      <c r="AG13" s="508"/>
      <c r="AH13" s="509"/>
      <c r="AI13" s="6"/>
      <c r="AJ13" s="6"/>
      <c r="AK13" s="508"/>
    </row>
    <row r="14" spans="1:37" ht="57.75" customHeight="1" x14ac:dyDescent="0.35">
      <c r="A14" s="1477"/>
      <c r="B14" s="472">
        <v>2</v>
      </c>
      <c r="C14" s="493"/>
      <c r="D14" s="494">
        <v>78</v>
      </c>
      <c r="E14" s="494"/>
      <c r="F14" s="495">
        <v>447</v>
      </c>
      <c r="G14" s="478"/>
      <c r="H14" s="483" t="s">
        <v>347</v>
      </c>
      <c r="I14" s="479"/>
      <c r="J14" s="527" t="s">
        <v>346</v>
      </c>
      <c r="L14" s="439"/>
      <c r="M14" s="433"/>
      <c r="N14" s="433"/>
      <c r="O14" s="508">
        <v>450</v>
      </c>
      <c r="P14" s="509"/>
      <c r="Q14" s="6"/>
      <c r="R14" s="6"/>
      <c r="S14" s="527" t="s">
        <v>346</v>
      </c>
      <c r="T14" s="66"/>
      <c r="U14" s="470"/>
      <c r="V14" s="6"/>
      <c r="W14" s="6"/>
      <c r="X14" s="508">
        <v>450</v>
      </c>
      <c r="Y14" s="509"/>
      <c r="Z14" s="6"/>
      <c r="AA14" s="527"/>
      <c r="AB14" s="527" t="s">
        <v>346</v>
      </c>
      <c r="AC14" s="66"/>
      <c r="AD14" s="470"/>
      <c r="AE14" s="6">
        <v>45</v>
      </c>
      <c r="AF14" s="6"/>
      <c r="AG14" s="508">
        <v>450</v>
      </c>
      <c r="AH14" s="469"/>
      <c r="AI14" s="6" t="s">
        <v>96</v>
      </c>
      <c r="AJ14" s="6"/>
      <c r="AK14" s="527" t="s">
        <v>346</v>
      </c>
    </row>
    <row r="15" spans="1:37" ht="42.45" x14ac:dyDescent="0.35">
      <c r="A15" s="1478">
        <v>44627</v>
      </c>
      <c r="B15" s="472">
        <v>1</v>
      </c>
      <c r="C15" s="493"/>
      <c r="D15" s="494">
        <v>30</v>
      </c>
      <c r="E15" s="6"/>
      <c r="F15" s="495"/>
      <c r="G15" s="478"/>
      <c r="H15" s="483" t="s">
        <v>348</v>
      </c>
      <c r="I15" s="515"/>
      <c r="J15" s="480"/>
      <c r="L15" s="439"/>
      <c r="M15" s="6"/>
      <c r="N15" s="433"/>
      <c r="O15" s="508"/>
      <c r="P15" s="470"/>
      <c r="Q15" s="483"/>
      <c r="R15" s="6"/>
      <c r="S15" s="508"/>
      <c r="T15" s="66"/>
      <c r="U15" s="470"/>
      <c r="V15" s="6"/>
      <c r="W15" s="6"/>
      <c r="X15" s="508"/>
      <c r="Y15" s="470"/>
      <c r="Z15" s="483"/>
      <c r="AA15" s="6"/>
      <c r="AB15" s="508"/>
      <c r="AC15" s="66"/>
      <c r="AD15" s="470"/>
      <c r="AE15" s="6"/>
      <c r="AF15" s="6"/>
      <c r="AG15" s="508"/>
      <c r="AH15" s="470"/>
      <c r="AI15" s="483"/>
      <c r="AJ15" s="502"/>
      <c r="AK15" s="508"/>
    </row>
    <row r="16" spans="1:37" x14ac:dyDescent="0.35">
      <c r="A16" s="1477"/>
      <c r="B16" s="472">
        <v>2</v>
      </c>
      <c r="C16" s="493"/>
      <c r="D16" s="494"/>
      <c r="E16" s="494"/>
      <c r="F16" s="495"/>
      <c r="G16" s="478"/>
      <c r="H16" s="479"/>
      <c r="I16" s="479"/>
      <c r="J16" s="480"/>
      <c r="L16" s="439"/>
      <c r="M16" s="433"/>
      <c r="N16" s="433"/>
      <c r="O16" s="508"/>
      <c r="P16" s="470"/>
      <c r="Q16" s="6"/>
      <c r="R16" s="6"/>
      <c r="S16" s="508"/>
      <c r="T16" s="66"/>
      <c r="U16" s="470"/>
      <c r="V16" s="6"/>
      <c r="W16" s="6"/>
      <c r="X16" s="508"/>
      <c r="Y16" s="479"/>
      <c r="Z16" s="479"/>
      <c r="AA16" s="6"/>
      <c r="AB16" s="508"/>
      <c r="AC16" s="66"/>
      <c r="AD16" s="470"/>
      <c r="AE16" s="6"/>
      <c r="AF16" s="6">
        <v>15</v>
      </c>
      <c r="AG16" s="508"/>
      <c r="AH16" s="470"/>
      <c r="AI16" s="6"/>
      <c r="AJ16" s="6" t="s">
        <v>325</v>
      </c>
      <c r="AK16" s="508"/>
    </row>
    <row r="17" spans="1:37" x14ac:dyDescent="0.35">
      <c r="A17" s="1478">
        <v>44628</v>
      </c>
      <c r="B17" s="533">
        <v>1</v>
      </c>
      <c r="C17" s="493"/>
      <c r="D17" s="494"/>
      <c r="E17" s="494">
        <v>25</v>
      </c>
      <c r="F17" s="495"/>
      <c r="G17" s="478"/>
      <c r="H17" s="479"/>
      <c r="I17" s="479" t="s">
        <v>152</v>
      </c>
      <c r="J17" s="480"/>
      <c r="L17" s="516"/>
      <c r="M17" s="433"/>
      <c r="N17" s="433"/>
      <c r="O17" s="508"/>
      <c r="P17" s="470"/>
      <c r="Q17" s="6"/>
      <c r="R17" s="6"/>
      <c r="S17" s="508"/>
      <c r="T17" s="66"/>
      <c r="U17" s="470"/>
      <c r="V17" s="6"/>
      <c r="W17" s="6">
        <v>20</v>
      </c>
      <c r="X17" s="508"/>
      <c r="Y17" s="479"/>
      <c r="Z17" s="479"/>
      <c r="AA17" s="6" t="s">
        <v>152</v>
      </c>
      <c r="AB17" s="508"/>
      <c r="AC17" s="66"/>
      <c r="AD17" s="470"/>
      <c r="AE17" s="6"/>
      <c r="AF17" s="6"/>
      <c r="AG17" s="508"/>
      <c r="AH17" s="470"/>
      <c r="AI17" s="6"/>
      <c r="AJ17" s="502"/>
      <c r="AK17" s="508"/>
    </row>
    <row r="18" spans="1:37" ht="42.45" x14ac:dyDescent="0.35">
      <c r="A18" s="1477"/>
      <c r="B18" s="472">
        <v>2</v>
      </c>
      <c r="C18" s="493"/>
      <c r="D18" s="494">
        <v>50</v>
      </c>
      <c r="E18" s="494"/>
      <c r="F18" s="495"/>
      <c r="G18" s="478"/>
      <c r="H18" s="483" t="s">
        <v>349</v>
      </c>
      <c r="I18" s="479"/>
      <c r="J18" s="480"/>
      <c r="L18" s="439"/>
      <c r="M18" s="433"/>
      <c r="N18" s="433"/>
      <c r="O18" s="508"/>
      <c r="P18" s="470"/>
      <c r="Q18" s="6"/>
      <c r="R18" s="6"/>
      <c r="S18" s="508"/>
      <c r="T18" s="66"/>
      <c r="U18" s="470">
        <v>60</v>
      </c>
      <c r="V18" s="6"/>
      <c r="W18" s="6"/>
      <c r="X18" s="508"/>
      <c r="Y18" s="465" t="s">
        <v>338</v>
      </c>
      <c r="Z18" s="6"/>
      <c r="AA18" s="6"/>
      <c r="AB18" s="508"/>
      <c r="AC18" s="66"/>
      <c r="AD18" s="470"/>
      <c r="AE18" s="6"/>
      <c r="AF18" s="6"/>
      <c r="AG18" s="508"/>
      <c r="AH18" s="470"/>
      <c r="AI18" s="6"/>
      <c r="AJ18" s="502"/>
      <c r="AK18" s="508"/>
    </row>
    <row r="19" spans="1:37" ht="44.25" customHeight="1" x14ac:dyDescent="0.35">
      <c r="A19" s="1478">
        <v>44629</v>
      </c>
      <c r="B19" s="472">
        <v>1</v>
      </c>
      <c r="D19" s="494"/>
      <c r="E19" s="494">
        <v>20</v>
      </c>
      <c r="F19" s="495"/>
      <c r="G19" s="478"/>
      <c r="H19" s="479"/>
      <c r="I19" s="483" t="s">
        <v>350</v>
      </c>
      <c r="J19" s="480"/>
      <c r="L19" s="439"/>
      <c r="M19" s="433"/>
      <c r="N19" s="433"/>
      <c r="O19" s="508"/>
      <c r="P19" s="470"/>
      <c r="Q19" s="6"/>
      <c r="R19" s="6"/>
      <c r="S19" s="508"/>
      <c r="T19" s="66"/>
      <c r="U19" s="470"/>
      <c r="V19" s="6"/>
      <c r="W19" s="6">
        <v>25</v>
      </c>
      <c r="X19" s="508"/>
      <c r="Y19" s="470"/>
      <c r="Z19" s="502"/>
      <c r="AA19" s="502" t="s">
        <v>350</v>
      </c>
      <c r="AB19" s="508"/>
      <c r="AC19" s="66"/>
      <c r="AD19" s="470"/>
      <c r="AE19" s="6"/>
      <c r="AF19" s="6"/>
      <c r="AG19" s="508"/>
      <c r="AH19" s="470"/>
      <c r="AI19" s="6"/>
      <c r="AJ19" s="502"/>
      <c r="AK19" s="508"/>
    </row>
    <row r="20" spans="1:37" ht="65.25" customHeight="1" x14ac:dyDescent="0.35">
      <c r="A20" s="1477"/>
      <c r="B20" s="472">
        <v>2</v>
      </c>
      <c r="C20" s="493"/>
      <c r="D20" s="494"/>
      <c r="E20" s="494">
        <v>15</v>
      </c>
      <c r="F20" s="495"/>
      <c r="G20" s="478"/>
      <c r="H20" s="515"/>
      <c r="I20" s="483" t="s">
        <v>350</v>
      </c>
      <c r="J20" s="480"/>
      <c r="L20" s="439"/>
      <c r="M20" s="433"/>
      <c r="N20" s="433"/>
      <c r="O20" s="508"/>
      <c r="P20" s="470"/>
      <c r="Q20" s="6"/>
      <c r="R20" s="6"/>
      <c r="S20" s="508"/>
      <c r="T20" s="66"/>
      <c r="U20" s="470"/>
      <c r="V20" s="214"/>
      <c r="W20" s="6">
        <v>10</v>
      </c>
      <c r="X20" s="508"/>
      <c r="Y20" s="470"/>
      <c r="Z20" s="502"/>
      <c r="AA20" s="502" t="s">
        <v>350</v>
      </c>
      <c r="AB20" s="508"/>
      <c r="AC20" s="66"/>
      <c r="AD20" s="470"/>
      <c r="AE20" s="6"/>
      <c r="AF20" s="6"/>
      <c r="AG20" s="508"/>
      <c r="AH20" s="470"/>
      <c r="AI20" s="6"/>
      <c r="AJ20" s="6"/>
      <c r="AK20" s="508"/>
    </row>
    <row r="21" spans="1:37" ht="52.5" customHeight="1" x14ac:dyDescent="0.35">
      <c r="A21" s="1478">
        <v>44630</v>
      </c>
      <c r="B21" s="472">
        <v>1</v>
      </c>
      <c r="C21" s="493"/>
      <c r="D21" s="494"/>
      <c r="E21" s="494">
        <v>20</v>
      </c>
      <c r="F21" s="495"/>
      <c r="G21" s="560"/>
      <c r="H21" s="479"/>
      <c r="I21" s="483" t="s">
        <v>350</v>
      </c>
      <c r="J21" s="480"/>
      <c r="L21" s="439"/>
      <c r="M21" s="433"/>
      <c r="N21" s="433"/>
      <c r="O21" s="508"/>
      <c r="P21" s="470"/>
      <c r="Q21" s="6"/>
      <c r="R21" s="6"/>
      <c r="S21" s="508"/>
      <c r="T21" s="66"/>
      <c r="U21" s="470"/>
      <c r="V21" s="6"/>
      <c r="W21" s="6">
        <v>35</v>
      </c>
      <c r="X21" s="508"/>
      <c r="Y21" s="470"/>
      <c r="Z21" s="6"/>
      <c r="AA21" s="502" t="s">
        <v>350</v>
      </c>
      <c r="AB21" s="508"/>
      <c r="AC21" s="66"/>
      <c r="AD21" s="470"/>
      <c r="AE21" s="6"/>
      <c r="AF21" s="6"/>
      <c r="AG21" s="508"/>
      <c r="AH21" s="470"/>
      <c r="AI21" s="6"/>
      <c r="AJ21" s="6"/>
      <c r="AK21" s="508"/>
    </row>
    <row r="22" spans="1:37" ht="62.25" customHeight="1" x14ac:dyDescent="0.35">
      <c r="A22" s="1477"/>
      <c r="B22" s="472">
        <v>2</v>
      </c>
      <c r="C22" s="493">
        <v>215</v>
      </c>
      <c r="D22" s="494">
        <v>15</v>
      </c>
      <c r="E22" s="494"/>
      <c r="F22" s="495">
        <v>210</v>
      </c>
      <c r="G22" s="561" t="s">
        <v>351</v>
      </c>
      <c r="H22" s="483" t="s">
        <v>352</v>
      </c>
      <c r="I22" s="515"/>
      <c r="J22" s="482" t="s">
        <v>353</v>
      </c>
      <c r="L22" s="470"/>
      <c r="M22" s="433"/>
      <c r="N22" s="433"/>
      <c r="O22" s="495">
        <v>210</v>
      </c>
      <c r="P22" s="469"/>
      <c r="Q22" s="6"/>
      <c r="R22" s="6"/>
      <c r="S22" s="482" t="s">
        <v>353</v>
      </c>
      <c r="T22" s="66"/>
      <c r="U22" s="470"/>
      <c r="V22" s="6"/>
      <c r="W22" s="6"/>
      <c r="X22" s="495">
        <v>210</v>
      </c>
      <c r="Y22" s="470"/>
      <c r="Z22" s="6"/>
      <c r="AA22" s="502"/>
      <c r="AB22" s="482" t="s">
        <v>353</v>
      </c>
      <c r="AC22" s="66"/>
      <c r="AD22" s="470"/>
      <c r="AE22" s="6"/>
      <c r="AF22" s="6"/>
      <c r="AG22" s="495">
        <v>210</v>
      </c>
      <c r="AH22" s="470"/>
      <c r="AI22" s="6"/>
      <c r="AJ22" s="6"/>
      <c r="AK22" s="482" t="s">
        <v>353</v>
      </c>
    </row>
    <row r="23" spans="1:37" x14ac:dyDescent="0.35">
      <c r="A23" s="1478">
        <v>44631</v>
      </c>
      <c r="B23" s="534">
        <v>1</v>
      </c>
      <c r="C23" s="493"/>
      <c r="D23" s="494"/>
      <c r="E23" s="494">
        <v>35</v>
      </c>
      <c r="F23" s="495"/>
      <c r="G23" s="478"/>
      <c r="H23" s="479"/>
      <c r="I23" s="479" t="s">
        <v>152</v>
      </c>
      <c r="J23" s="480"/>
      <c r="L23" s="439"/>
      <c r="M23" s="433"/>
      <c r="N23" s="433"/>
      <c r="O23" s="508"/>
      <c r="P23" s="470"/>
      <c r="Q23" s="6"/>
      <c r="R23" s="6"/>
      <c r="S23" s="508"/>
      <c r="T23" s="66"/>
      <c r="U23" s="470"/>
      <c r="V23" s="6"/>
      <c r="W23" s="6">
        <v>35</v>
      </c>
      <c r="X23" s="508"/>
      <c r="Y23" s="470"/>
      <c r="Z23" s="6"/>
      <c r="AA23" s="6" t="s">
        <v>152</v>
      </c>
      <c r="AB23" s="508"/>
      <c r="AC23" s="66"/>
      <c r="AD23" s="470"/>
      <c r="AE23" s="6"/>
      <c r="AF23" s="6"/>
      <c r="AG23" s="508"/>
      <c r="AH23" s="465"/>
      <c r="AI23" s="6"/>
      <c r="AJ23" s="6"/>
      <c r="AK23" s="508"/>
    </row>
    <row r="24" spans="1:37" ht="28.3" x14ac:dyDescent="0.35">
      <c r="A24" s="1477"/>
      <c r="B24" s="472">
        <v>2</v>
      </c>
      <c r="C24" s="493"/>
      <c r="D24" s="494"/>
      <c r="E24" s="494">
        <v>20</v>
      </c>
      <c r="F24" s="495"/>
      <c r="G24" s="478"/>
      <c r="H24" s="479"/>
      <c r="I24" s="483" t="s">
        <v>354</v>
      </c>
      <c r="J24" s="480"/>
      <c r="L24" s="439"/>
      <c r="M24" s="6">
        <v>15</v>
      </c>
      <c r="N24" s="433"/>
      <c r="O24" s="508"/>
      <c r="P24" s="470"/>
      <c r="Q24" s="6" t="s">
        <v>355</v>
      </c>
      <c r="R24" s="6"/>
      <c r="S24" s="508"/>
      <c r="T24" s="66"/>
      <c r="U24" s="470"/>
      <c r="V24" s="6"/>
      <c r="W24" s="6">
        <v>10</v>
      </c>
      <c r="X24" s="508"/>
      <c r="Y24" s="470"/>
      <c r="Z24" s="6"/>
      <c r="AA24" s="6" t="s">
        <v>152</v>
      </c>
      <c r="AB24" s="508"/>
      <c r="AC24" s="66"/>
      <c r="AD24" s="470"/>
      <c r="AE24" s="6"/>
      <c r="AF24" s="6"/>
      <c r="AG24" s="508"/>
      <c r="AH24" s="470"/>
      <c r="AI24" s="6"/>
      <c r="AJ24" s="6"/>
      <c r="AK24" s="508"/>
    </row>
    <row r="25" spans="1:37" ht="30" customHeight="1" x14ac:dyDescent="0.35">
      <c r="A25" s="1478">
        <v>44632</v>
      </c>
      <c r="B25" s="472">
        <v>1</v>
      </c>
      <c r="C25" s="493"/>
      <c r="D25" s="494"/>
      <c r="E25" s="494">
        <v>10</v>
      </c>
      <c r="F25" s="495"/>
      <c r="G25" s="478"/>
      <c r="H25" s="479"/>
      <c r="I25" s="483" t="s">
        <v>356</v>
      </c>
      <c r="J25" s="480"/>
      <c r="L25" s="439"/>
      <c r="M25" s="433"/>
      <c r="N25" s="433"/>
      <c r="O25" s="508"/>
      <c r="P25" s="470"/>
      <c r="Q25" s="479"/>
      <c r="R25" s="6"/>
      <c r="S25" s="508"/>
      <c r="T25" s="66"/>
      <c r="U25" s="470"/>
      <c r="V25" s="6"/>
      <c r="W25" s="6"/>
      <c r="X25" s="508"/>
      <c r="Y25" s="470"/>
      <c r="Z25" s="6"/>
      <c r="AA25" s="6"/>
      <c r="AB25" s="508"/>
      <c r="AC25" s="66"/>
      <c r="AD25" s="470"/>
      <c r="AE25" s="6"/>
      <c r="AF25" s="6"/>
      <c r="AG25" s="508"/>
      <c r="AH25" s="1487"/>
      <c r="AI25" s="6"/>
      <c r="AJ25" s="6"/>
      <c r="AK25" s="508"/>
    </row>
    <row r="26" spans="1:37" x14ac:dyDescent="0.35">
      <c r="A26" s="1477"/>
      <c r="B26" s="472">
        <v>2</v>
      </c>
      <c r="C26" s="493"/>
      <c r="D26" s="494"/>
      <c r="E26" s="494"/>
      <c r="F26" s="495"/>
      <c r="G26" s="478"/>
      <c r="H26" s="479"/>
      <c r="I26" s="483"/>
      <c r="J26" s="480"/>
      <c r="L26" s="439"/>
      <c r="M26" s="433">
        <v>70</v>
      </c>
      <c r="N26" s="433"/>
      <c r="O26" s="508"/>
      <c r="P26" s="470"/>
      <c r="Q26" s="479" t="s">
        <v>96</v>
      </c>
      <c r="R26" s="6"/>
      <c r="S26" s="508"/>
      <c r="T26" s="66"/>
      <c r="U26" s="470"/>
      <c r="V26" s="6"/>
      <c r="W26" s="6"/>
      <c r="X26" s="508"/>
      <c r="Y26" s="470"/>
      <c r="Z26" s="6"/>
      <c r="AA26" s="502"/>
      <c r="AB26" s="508"/>
      <c r="AC26" s="66"/>
      <c r="AD26" s="470"/>
      <c r="AE26" s="6"/>
      <c r="AF26" s="6"/>
      <c r="AG26" s="508"/>
      <c r="AH26" s="1488"/>
      <c r="AI26" s="6"/>
      <c r="AJ26" s="6"/>
      <c r="AK26" s="508"/>
    </row>
    <row r="27" spans="1:37" x14ac:dyDescent="0.35">
      <c r="A27" s="1478">
        <v>44633</v>
      </c>
      <c r="B27" s="533">
        <v>1</v>
      </c>
      <c r="C27" s="493"/>
      <c r="D27" s="494"/>
      <c r="E27" s="494">
        <v>20</v>
      </c>
      <c r="F27" s="495"/>
      <c r="G27" s="478"/>
      <c r="H27" s="479"/>
      <c r="I27" s="483" t="s">
        <v>356</v>
      </c>
      <c r="J27" s="480"/>
      <c r="L27" s="439"/>
      <c r="M27" s="433"/>
      <c r="N27" s="6"/>
      <c r="O27" s="508"/>
      <c r="P27" s="470"/>
      <c r="Q27" s="6"/>
      <c r="R27" s="502"/>
      <c r="S27" s="508"/>
      <c r="T27" s="66"/>
      <c r="U27" s="470"/>
      <c r="V27" s="6"/>
      <c r="W27" s="6">
        <v>10</v>
      </c>
      <c r="X27" s="508"/>
      <c r="Y27" s="509"/>
      <c r="Z27" s="6"/>
      <c r="AA27" s="6" t="s">
        <v>152</v>
      </c>
      <c r="AB27" s="508"/>
      <c r="AC27" s="66"/>
      <c r="AD27" s="470"/>
      <c r="AE27" s="6"/>
      <c r="AF27" s="6"/>
      <c r="AG27" s="508"/>
      <c r="AH27" s="465"/>
      <c r="AI27" s="6"/>
      <c r="AJ27" s="6"/>
      <c r="AK27" s="508"/>
    </row>
    <row r="28" spans="1:37" x14ac:dyDescent="0.35">
      <c r="A28" s="1477"/>
      <c r="B28" s="472">
        <v>2</v>
      </c>
      <c r="C28" s="493"/>
      <c r="D28" s="494"/>
      <c r="E28" s="494"/>
      <c r="F28" s="495"/>
      <c r="G28" s="483"/>
      <c r="H28" s="479"/>
      <c r="I28" s="483"/>
      <c r="J28" s="480"/>
      <c r="L28" s="439"/>
      <c r="M28" s="433"/>
      <c r="N28" s="6"/>
      <c r="O28" s="508"/>
      <c r="P28" s="509"/>
      <c r="Q28" s="6"/>
      <c r="R28" s="502"/>
      <c r="S28" s="508"/>
      <c r="T28" s="66"/>
      <c r="U28" s="470"/>
      <c r="V28" s="6"/>
      <c r="W28" s="6"/>
      <c r="X28" s="508"/>
      <c r="Y28" s="509"/>
      <c r="Z28" s="6"/>
      <c r="AA28" s="6"/>
      <c r="AB28" s="508"/>
      <c r="AC28" s="66"/>
      <c r="AD28" s="470"/>
      <c r="AE28" s="6"/>
      <c r="AF28" s="6"/>
      <c r="AG28" s="508"/>
      <c r="AH28" s="509"/>
      <c r="AI28" s="6"/>
      <c r="AJ28" s="6"/>
      <c r="AK28" s="508"/>
    </row>
    <row r="29" spans="1:37" x14ac:dyDescent="0.35">
      <c r="A29" s="1478">
        <v>44634</v>
      </c>
      <c r="B29" s="472">
        <v>1</v>
      </c>
      <c r="C29" s="493"/>
      <c r="D29" s="494"/>
      <c r="E29" s="494"/>
      <c r="F29" s="495"/>
      <c r="G29" s="478"/>
      <c r="H29" s="479"/>
      <c r="I29" s="483"/>
      <c r="J29" s="480"/>
      <c r="L29" s="439"/>
      <c r="M29" s="433"/>
      <c r="N29" s="6"/>
      <c r="O29" s="508"/>
      <c r="P29" s="509"/>
      <c r="Q29" s="6"/>
      <c r="R29" s="502"/>
      <c r="S29" s="508"/>
      <c r="T29" s="66"/>
      <c r="U29" s="470"/>
      <c r="V29" s="6"/>
      <c r="W29" s="6"/>
      <c r="X29" s="508"/>
      <c r="Y29" s="509"/>
      <c r="Z29" s="6"/>
      <c r="AA29" s="502"/>
      <c r="AB29" s="508"/>
      <c r="AC29" s="66"/>
      <c r="AD29" s="470"/>
      <c r="AE29" s="6"/>
      <c r="AF29" s="6"/>
      <c r="AG29" s="508"/>
      <c r="AH29" s="509"/>
      <c r="AI29" s="6"/>
      <c r="AJ29" s="502"/>
      <c r="AK29" s="508"/>
    </row>
    <row r="30" spans="1:37" x14ac:dyDescent="0.35">
      <c r="A30" s="1477"/>
      <c r="B30" s="533">
        <v>2</v>
      </c>
      <c r="C30" s="493"/>
      <c r="D30" s="494"/>
      <c r="E30" s="494">
        <v>60</v>
      </c>
      <c r="F30" s="495"/>
      <c r="G30" s="478"/>
      <c r="H30" s="479"/>
      <c r="I30" s="483" t="s">
        <v>356</v>
      </c>
      <c r="J30" s="480"/>
      <c r="L30" s="470"/>
      <c r="M30" s="468"/>
      <c r="N30" s="468"/>
      <c r="O30" s="508"/>
      <c r="P30" s="509"/>
      <c r="Q30" s="6"/>
      <c r="R30" s="6"/>
      <c r="S30" s="508"/>
      <c r="T30" s="66"/>
      <c r="U30" s="470"/>
      <c r="V30" s="6"/>
      <c r="W30" s="6"/>
      <c r="X30" s="508"/>
      <c r="Y30" s="509"/>
      <c r="Z30" s="6"/>
      <c r="AA30" s="502"/>
      <c r="AB30" s="508"/>
      <c r="AC30" s="66"/>
      <c r="AD30" s="470"/>
      <c r="AE30" s="6"/>
      <c r="AF30" s="6"/>
      <c r="AG30" s="508"/>
      <c r="AH30" s="469"/>
      <c r="AI30" s="66"/>
      <c r="AJ30" s="6"/>
      <c r="AK30" s="508"/>
    </row>
    <row r="31" spans="1:37" x14ac:dyDescent="0.35">
      <c r="A31" s="1478">
        <v>44635</v>
      </c>
      <c r="B31" s="472">
        <v>1</v>
      </c>
      <c r="C31" s="493"/>
      <c r="D31" s="494"/>
      <c r="E31" s="494"/>
      <c r="F31" s="495"/>
      <c r="G31" s="478"/>
      <c r="H31" s="479"/>
      <c r="I31" s="483"/>
      <c r="J31" s="480"/>
      <c r="L31" s="439"/>
      <c r="M31" s="433"/>
      <c r="N31" s="433"/>
      <c r="O31" s="508"/>
      <c r="P31" s="509"/>
      <c r="Q31" s="6"/>
      <c r="R31" s="6"/>
      <c r="S31" s="508"/>
      <c r="T31" s="66"/>
      <c r="U31" s="470"/>
      <c r="V31" s="6"/>
      <c r="W31" s="6"/>
      <c r="X31" s="508"/>
      <c r="Y31" s="509"/>
      <c r="Z31" s="6"/>
      <c r="AA31" s="6"/>
      <c r="AB31" s="508"/>
      <c r="AC31" s="66"/>
      <c r="AD31" s="470"/>
      <c r="AE31" s="6"/>
      <c r="AF31" s="6"/>
      <c r="AG31" s="508"/>
      <c r="AH31" s="509"/>
      <c r="AI31" s="6"/>
      <c r="AJ31" s="6"/>
      <c r="AK31" s="508"/>
    </row>
    <row r="32" spans="1:37" ht="45" customHeight="1" x14ac:dyDescent="0.35">
      <c r="A32" s="1477"/>
      <c r="B32" s="472">
        <v>2</v>
      </c>
      <c r="C32" s="493"/>
      <c r="D32" s="494"/>
      <c r="E32" s="494"/>
      <c r="F32" s="495"/>
      <c r="G32" s="478"/>
      <c r="H32" s="479"/>
      <c r="I32" s="483"/>
      <c r="J32" s="1489"/>
      <c r="L32" s="439"/>
      <c r="M32" s="433"/>
      <c r="N32" s="433"/>
      <c r="O32" s="508"/>
      <c r="P32" s="509"/>
      <c r="Q32" s="6"/>
      <c r="R32" s="6"/>
      <c r="S32" s="508"/>
      <c r="T32" s="66"/>
      <c r="U32" s="470"/>
      <c r="V32" s="6"/>
      <c r="W32" s="6"/>
      <c r="X32" s="508"/>
      <c r="Y32" s="509"/>
      <c r="Z32" s="6"/>
      <c r="AA32" s="6"/>
      <c r="AB32" s="508"/>
      <c r="AC32" s="66"/>
      <c r="AD32" s="470"/>
      <c r="AE32" s="6"/>
      <c r="AF32" s="6"/>
      <c r="AG32" s="508"/>
      <c r="AH32" s="509"/>
      <c r="AI32" s="6"/>
      <c r="AJ32" s="6"/>
      <c r="AK32" s="508"/>
    </row>
    <row r="33" spans="1:37" x14ac:dyDescent="0.35">
      <c r="A33" s="1478">
        <v>44636</v>
      </c>
      <c r="B33" s="472">
        <v>1</v>
      </c>
      <c r="C33" s="493"/>
      <c r="D33" s="494"/>
      <c r="E33" s="494">
        <v>25</v>
      </c>
      <c r="F33" s="495"/>
      <c r="G33" s="478"/>
      <c r="H33" s="479"/>
      <c r="I33" s="483" t="s">
        <v>356</v>
      </c>
      <c r="J33" s="1490"/>
      <c r="L33" s="439"/>
      <c r="M33" s="433"/>
      <c r="N33" s="433"/>
      <c r="O33" s="508"/>
      <c r="P33" s="509"/>
      <c r="Q33" s="6"/>
      <c r="R33" s="6"/>
      <c r="S33" s="508"/>
      <c r="T33" s="66"/>
      <c r="U33" s="470"/>
      <c r="V33" s="6"/>
      <c r="W33" s="6"/>
      <c r="X33" s="508"/>
      <c r="Y33" s="509"/>
      <c r="Z33" s="6"/>
      <c r="AA33" s="6"/>
      <c r="AB33" s="508"/>
      <c r="AC33" s="66"/>
      <c r="AD33" s="470"/>
      <c r="AE33" s="6"/>
      <c r="AF33" s="6"/>
      <c r="AG33" s="508"/>
      <c r="AH33" s="509"/>
      <c r="AI33" s="502"/>
      <c r="AJ33" s="6"/>
      <c r="AK33" s="508"/>
    </row>
    <row r="34" spans="1:37" x14ac:dyDescent="0.35">
      <c r="A34" s="1477"/>
      <c r="B34" s="533">
        <v>2</v>
      </c>
      <c r="C34" s="494"/>
      <c r="D34" s="494"/>
      <c r="E34" s="494">
        <v>34</v>
      </c>
      <c r="F34" s="495"/>
      <c r="G34" s="478"/>
      <c r="H34" s="483"/>
      <c r="I34" s="483" t="s">
        <v>356</v>
      </c>
      <c r="J34" s="480"/>
      <c r="L34" s="439"/>
      <c r="M34" s="6"/>
      <c r="N34" s="433"/>
      <c r="O34" s="508"/>
      <c r="P34" s="509"/>
      <c r="Q34" s="483"/>
      <c r="R34" s="6"/>
      <c r="S34" s="508"/>
      <c r="T34" s="66"/>
      <c r="U34" s="470"/>
      <c r="V34" s="6"/>
      <c r="W34" s="6"/>
      <c r="X34" s="508"/>
      <c r="Y34" s="6"/>
      <c r="Z34" s="502"/>
      <c r="AA34" s="502"/>
      <c r="AB34" s="508"/>
      <c r="AC34" s="66"/>
      <c r="AD34" s="470"/>
      <c r="AE34" s="6"/>
      <c r="AF34" s="6"/>
      <c r="AG34" s="508"/>
      <c r="AH34" s="509"/>
      <c r="AI34" s="6"/>
      <c r="AJ34" s="6"/>
      <c r="AK34" s="508"/>
    </row>
    <row r="35" spans="1:37" x14ac:dyDescent="0.35">
      <c r="A35" s="1478">
        <v>44637</v>
      </c>
      <c r="B35" s="472">
        <v>1</v>
      </c>
      <c r="C35" s="494"/>
      <c r="D35" s="494"/>
      <c r="E35" s="494"/>
      <c r="F35" s="495"/>
      <c r="G35" s="478"/>
      <c r="H35" s="479"/>
      <c r="I35" s="483"/>
      <c r="J35" s="480"/>
      <c r="L35" s="439"/>
      <c r="M35" s="6"/>
      <c r="N35" s="433"/>
      <c r="O35" s="508"/>
      <c r="P35" s="465"/>
      <c r="Q35" s="539"/>
      <c r="R35" s="515"/>
      <c r="S35" s="508"/>
      <c r="T35" s="66"/>
      <c r="U35" s="470"/>
      <c r="V35" s="6"/>
      <c r="W35" s="6"/>
      <c r="X35" s="508"/>
      <c r="Y35" s="509"/>
      <c r="Z35" s="502"/>
      <c r="AA35" s="6"/>
      <c r="AB35" s="508"/>
      <c r="AC35" s="66"/>
      <c r="AD35" s="470"/>
      <c r="AE35" s="6"/>
      <c r="AF35" s="6"/>
      <c r="AG35" s="508"/>
      <c r="AH35" s="509"/>
      <c r="AI35" s="515"/>
      <c r="AJ35" s="515"/>
      <c r="AK35" s="508"/>
    </row>
    <row r="36" spans="1:37" x14ac:dyDescent="0.35">
      <c r="A36" s="1477"/>
      <c r="B36" s="472">
        <v>2</v>
      </c>
      <c r="C36" s="494"/>
      <c r="D36" s="494"/>
      <c r="E36" s="494"/>
      <c r="F36" s="495"/>
      <c r="G36" s="481"/>
      <c r="H36" s="515"/>
      <c r="I36" s="483"/>
      <c r="J36" s="480"/>
      <c r="L36" s="519"/>
      <c r="M36" s="6"/>
      <c r="N36" s="433"/>
      <c r="O36" s="508"/>
      <c r="P36" s="465"/>
      <c r="Q36" s="539"/>
      <c r="R36" s="6"/>
      <c r="S36" s="508"/>
      <c r="T36" s="66"/>
      <c r="U36" s="470"/>
      <c r="V36" s="6"/>
      <c r="W36" s="6"/>
      <c r="X36" s="508"/>
      <c r="Y36" s="509"/>
      <c r="Z36" s="502"/>
      <c r="AA36" s="502"/>
      <c r="AB36" s="508"/>
      <c r="AC36" s="66"/>
      <c r="AD36" s="470"/>
      <c r="AE36" s="6"/>
      <c r="AF36" s="6"/>
      <c r="AG36" s="508"/>
      <c r="AH36" s="509"/>
      <c r="AI36" s="502"/>
      <c r="AJ36" s="502"/>
      <c r="AK36" s="508"/>
    </row>
    <row r="37" spans="1:37" x14ac:dyDescent="0.35">
      <c r="A37" s="1478">
        <v>44638</v>
      </c>
      <c r="B37" s="533">
        <v>1</v>
      </c>
      <c r="C37" s="494"/>
      <c r="D37" s="494"/>
      <c r="E37" s="494">
        <v>30</v>
      </c>
      <c r="F37" s="495"/>
      <c r="G37" s="478"/>
      <c r="H37" s="479"/>
      <c r="I37" s="483" t="s">
        <v>356</v>
      </c>
      <c r="J37" s="480"/>
      <c r="L37" s="439"/>
      <c r="M37" s="433"/>
      <c r="N37" s="433"/>
      <c r="O37" s="508"/>
      <c r="P37" s="509"/>
      <c r="Q37" s="6"/>
      <c r="R37" s="6"/>
      <c r="S37" s="508"/>
      <c r="T37" s="66"/>
      <c r="U37" s="470"/>
      <c r="V37" s="6"/>
      <c r="W37" s="6"/>
      <c r="X37" s="508"/>
      <c r="Y37" s="509"/>
      <c r="Z37" s="502"/>
      <c r="AA37" s="502"/>
      <c r="AB37" s="508"/>
      <c r="AC37" s="66"/>
      <c r="AD37" s="470"/>
      <c r="AE37" s="6"/>
      <c r="AF37" s="6"/>
      <c r="AG37" s="508"/>
      <c r="AH37" s="509"/>
      <c r="AI37" s="6"/>
      <c r="AJ37" s="6"/>
      <c r="AK37" s="508"/>
    </row>
    <row r="38" spans="1:37" x14ac:dyDescent="0.35">
      <c r="A38" s="1477"/>
      <c r="B38" s="472">
        <v>2</v>
      </c>
      <c r="C38" s="493"/>
      <c r="D38" s="494"/>
      <c r="E38" s="494"/>
      <c r="F38" s="495"/>
      <c r="G38" s="478"/>
      <c r="H38" s="479"/>
      <c r="I38" s="479"/>
      <c r="J38" s="480"/>
      <c r="L38" s="470"/>
      <c r="M38" s="433"/>
      <c r="N38" s="433"/>
      <c r="O38" s="508"/>
      <c r="P38" s="469"/>
      <c r="Q38" s="6"/>
      <c r="R38" s="6"/>
      <c r="S38" s="508"/>
      <c r="T38" s="66"/>
      <c r="U38" s="470"/>
      <c r="V38" s="6"/>
      <c r="W38" s="6"/>
      <c r="X38" s="508"/>
      <c r="Y38" s="509"/>
      <c r="Z38" s="6"/>
      <c r="AA38" s="502"/>
      <c r="AB38" s="508"/>
      <c r="AC38" s="66"/>
      <c r="AD38" s="470"/>
      <c r="AE38" s="6"/>
      <c r="AF38" s="6"/>
      <c r="AG38" s="508"/>
      <c r="AH38" s="509"/>
      <c r="AI38" s="6"/>
      <c r="AJ38" s="6"/>
      <c r="AK38" s="508"/>
    </row>
    <row r="39" spans="1:37" x14ac:dyDescent="0.35">
      <c r="A39" s="1478">
        <v>44639</v>
      </c>
      <c r="B39" s="472">
        <v>1</v>
      </c>
      <c r="C39" s="493"/>
      <c r="D39" s="494"/>
      <c r="E39" s="494">
        <v>10</v>
      </c>
      <c r="F39" s="495"/>
      <c r="G39" s="478"/>
      <c r="H39" s="479"/>
      <c r="I39" s="479" t="s">
        <v>152</v>
      </c>
      <c r="J39" s="480"/>
      <c r="L39" s="439"/>
      <c r="M39" s="433"/>
      <c r="N39" s="433"/>
      <c r="O39" s="508"/>
      <c r="P39" s="509"/>
      <c r="Q39" s="6"/>
      <c r="R39" s="6"/>
      <c r="S39" s="508"/>
      <c r="T39" s="66"/>
      <c r="U39" s="470"/>
      <c r="V39" s="6"/>
      <c r="W39" s="6"/>
      <c r="X39" s="508"/>
      <c r="Y39" s="509"/>
      <c r="Z39" s="6"/>
      <c r="AA39" s="6"/>
      <c r="AB39" s="508"/>
      <c r="AC39" s="66"/>
      <c r="AD39" s="470"/>
      <c r="AE39" s="6"/>
      <c r="AF39" s="6">
        <v>11</v>
      </c>
      <c r="AG39" s="508"/>
      <c r="AH39" s="509"/>
      <c r="AI39" s="6"/>
      <c r="AJ39" s="6" t="s">
        <v>325</v>
      </c>
      <c r="AK39" s="508"/>
    </row>
    <row r="40" spans="1:37" x14ac:dyDescent="0.35">
      <c r="A40" s="1477"/>
      <c r="B40" s="472">
        <v>2</v>
      </c>
      <c r="C40" s="493"/>
      <c r="D40" s="494"/>
      <c r="E40" s="494"/>
      <c r="F40" s="495"/>
      <c r="G40" s="478"/>
      <c r="H40" s="479"/>
      <c r="I40" s="483"/>
      <c r="J40" s="480"/>
      <c r="L40" s="439"/>
      <c r="M40" s="433"/>
      <c r="N40" s="433"/>
      <c r="O40" s="508"/>
      <c r="P40" s="509"/>
      <c r="Q40" s="6"/>
      <c r="R40" s="6"/>
      <c r="S40" s="508"/>
      <c r="T40" s="66"/>
      <c r="U40" s="470"/>
      <c r="V40" s="6"/>
      <c r="W40" s="6"/>
      <c r="X40" s="508"/>
      <c r="Y40" s="509"/>
      <c r="Z40" s="6"/>
      <c r="AA40" s="6"/>
      <c r="AB40" s="508"/>
      <c r="AC40" s="66"/>
      <c r="AD40" s="470"/>
      <c r="AE40" s="6"/>
      <c r="AF40" s="6"/>
      <c r="AG40" s="508"/>
      <c r="AH40" s="509"/>
      <c r="AI40" s="6"/>
      <c r="AJ40" s="6"/>
      <c r="AK40" s="508"/>
    </row>
    <row r="41" spans="1:37" ht="28.3" x14ac:dyDescent="0.35">
      <c r="A41" s="1478">
        <v>44640</v>
      </c>
      <c r="B41" s="472">
        <v>1</v>
      </c>
      <c r="C41" s="493"/>
      <c r="D41" s="494">
        <v>35</v>
      </c>
      <c r="E41" s="494"/>
      <c r="F41" s="495"/>
      <c r="G41" s="478"/>
      <c r="H41" s="483" t="s">
        <v>357</v>
      </c>
      <c r="I41" s="483"/>
      <c r="J41" s="480"/>
      <c r="L41" s="439"/>
      <c r="M41" s="433"/>
      <c r="N41" s="433"/>
      <c r="O41" s="508"/>
      <c r="P41" s="509"/>
      <c r="Q41" s="6"/>
      <c r="R41" s="6"/>
      <c r="S41" s="508"/>
      <c r="T41" s="66"/>
      <c r="U41" s="470"/>
      <c r="V41" s="6"/>
      <c r="W41" s="6"/>
      <c r="X41" s="508"/>
      <c r="Y41" s="509"/>
      <c r="Z41" s="502"/>
      <c r="AA41" s="502"/>
      <c r="AB41" s="508"/>
      <c r="AC41" s="66"/>
      <c r="AD41" s="470"/>
      <c r="AE41" s="6"/>
      <c r="AF41" s="6"/>
      <c r="AG41" s="508"/>
      <c r="AH41" s="509"/>
      <c r="AI41" s="6"/>
      <c r="AJ41" s="6"/>
      <c r="AK41" s="508"/>
    </row>
    <row r="42" spans="1:37" x14ac:dyDescent="0.35">
      <c r="A42" s="1477"/>
      <c r="B42" s="472">
        <v>2</v>
      </c>
      <c r="C42" s="493"/>
      <c r="D42" s="494"/>
      <c r="E42" s="494">
        <v>25</v>
      </c>
      <c r="F42" s="495"/>
      <c r="G42" s="478"/>
      <c r="H42" s="479"/>
      <c r="I42" s="483" t="s">
        <v>356</v>
      </c>
      <c r="J42" s="434"/>
      <c r="L42" s="439"/>
      <c r="M42" s="433"/>
      <c r="N42" s="433"/>
      <c r="O42" s="508"/>
      <c r="P42" s="509"/>
      <c r="Q42" s="6"/>
      <c r="R42" s="6"/>
      <c r="S42" s="508"/>
      <c r="T42" s="66"/>
      <c r="U42" s="470"/>
      <c r="V42" s="6"/>
      <c r="W42" s="6"/>
      <c r="X42" s="508"/>
      <c r="Y42" s="509"/>
      <c r="Z42" s="6"/>
      <c r="AA42" s="6"/>
      <c r="AB42" s="508"/>
      <c r="AC42" s="66"/>
      <c r="AD42" s="470"/>
      <c r="AE42" s="6"/>
      <c r="AF42" s="6"/>
      <c r="AG42" s="508"/>
      <c r="AH42" s="509"/>
      <c r="AI42" s="6"/>
      <c r="AJ42" s="6"/>
      <c r="AK42" s="508"/>
    </row>
    <row r="43" spans="1:37" x14ac:dyDescent="0.35">
      <c r="A43" s="1478">
        <v>44641</v>
      </c>
      <c r="B43" s="472">
        <v>1</v>
      </c>
      <c r="C43" s="493"/>
      <c r="D43" s="494"/>
      <c r="E43" s="494">
        <v>10</v>
      </c>
      <c r="F43" s="495"/>
      <c r="G43" s="478"/>
      <c r="H43" s="479"/>
      <c r="I43" s="515" t="s">
        <v>325</v>
      </c>
      <c r="J43" s="480"/>
      <c r="L43" s="439"/>
      <c r="M43" s="433"/>
      <c r="N43" s="433"/>
      <c r="O43" s="508"/>
      <c r="P43" s="509"/>
      <c r="Q43" s="6"/>
      <c r="R43" s="6"/>
      <c r="S43" s="508"/>
      <c r="T43" s="66"/>
      <c r="U43" s="470"/>
      <c r="V43" s="6"/>
      <c r="W43" s="6">
        <v>10</v>
      </c>
      <c r="X43" s="508"/>
      <c r="Y43" s="509"/>
      <c r="Z43" s="6"/>
      <c r="AA43" s="6" t="s">
        <v>325</v>
      </c>
      <c r="AB43" s="508"/>
      <c r="AC43" s="66"/>
      <c r="AD43" s="470"/>
      <c r="AE43" s="6"/>
      <c r="AF43" s="6">
        <v>10</v>
      </c>
      <c r="AG43" s="508"/>
      <c r="AH43" s="502"/>
      <c r="AI43" s="6"/>
      <c r="AJ43" s="6" t="s">
        <v>325</v>
      </c>
      <c r="AK43" s="508"/>
    </row>
    <row r="44" spans="1:37" ht="56.6" x14ac:dyDescent="0.35">
      <c r="A44" s="1477"/>
      <c r="B44" s="472">
        <v>2</v>
      </c>
      <c r="C44" s="493">
        <v>60</v>
      </c>
      <c r="D44" s="494"/>
      <c r="E44" s="494">
        <v>47</v>
      </c>
      <c r="F44" s="495"/>
      <c r="G44" s="481" t="s">
        <v>363</v>
      </c>
      <c r="H44" s="479"/>
      <c r="I44" s="483" t="s">
        <v>340</v>
      </c>
      <c r="J44" s="480"/>
      <c r="L44" s="439"/>
      <c r="M44" s="433"/>
      <c r="N44" s="433"/>
      <c r="O44" s="508"/>
      <c r="P44" s="509"/>
      <c r="Q44" s="6"/>
      <c r="R44" s="6"/>
      <c r="S44" s="508"/>
      <c r="T44" s="66"/>
      <c r="U44" s="470"/>
      <c r="V44" s="6"/>
      <c r="W44" s="6"/>
      <c r="X44" s="508"/>
      <c r="Y44" s="509"/>
      <c r="Z44" s="6"/>
      <c r="AA44" s="502"/>
      <c r="AB44" s="508"/>
      <c r="AC44" s="66"/>
      <c r="AD44" s="470"/>
      <c r="AE44" s="6"/>
      <c r="AF44" s="6"/>
      <c r="AG44" s="508"/>
      <c r="AH44" s="509"/>
      <c r="AI44" s="6"/>
      <c r="AJ44" s="502"/>
      <c r="AK44" s="508"/>
    </row>
    <row r="45" spans="1:37" x14ac:dyDescent="0.35">
      <c r="A45" s="1478">
        <v>44642</v>
      </c>
      <c r="B45" s="472">
        <v>1</v>
      </c>
      <c r="C45" s="493"/>
      <c r="D45" s="494"/>
      <c r="E45" s="494">
        <v>7</v>
      </c>
      <c r="F45" s="495"/>
      <c r="G45" s="478"/>
      <c r="H45" s="479"/>
      <c r="I45" s="515" t="s">
        <v>325</v>
      </c>
      <c r="J45" s="480"/>
      <c r="L45" s="439"/>
      <c r="M45" s="6"/>
      <c r="N45" s="433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09"/>
      <c r="Z45" s="6"/>
      <c r="AA45" s="502"/>
      <c r="AB45" s="508"/>
      <c r="AC45" s="66"/>
      <c r="AD45" s="470"/>
      <c r="AE45" s="6"/>
      <c r="AF45" s="6"/>
      <c r="AG45" s="508"/>
      <c r="AH45" s="509"/>
      <c r="AI45" s="6"/>
      <c r="AJ45" s="502"/>
      <c r="AK45" s="508"/>
    </row>
    <row r="46" spans="1:37" ht="28.3" x14ac:dyDescent="0.35">
      <c r="A46" s="1477"/>
      <c r="B46" s="472">
        <v>2</v>
      </c>
      <c r="C46" s="493"/>
      <c r="D46" s="494">
        <v>31</v>
      </c>
      <c r="E46" s="494">
        <v>19</v>
      </c>
      <c r="F46" s="495"/>
      <c r="G46" s="478"/>
      <c r="H46" s="483" t="s">
        <v>358</v>
      </c>
      <c r="I46" s="483" t="s">
        <v>356</v>
      </c>
      <c r="J46" s="480"/>
      <c r="L46" s="439"/>
      <c r="M46" s="6">
        <v>50</v>
      </c>
      <c r="N46" s="433"/>
      <c r="O46" s="508"/>
      <c r="P46" s="509"/>
      <c r="Q46" s="483" t="s">
        <v>358</v>
      </c>
      <c r="R46" s="6"/>
      <c r="S46" s="508"/>
      <c r="T46" s="66"/>
      <c r="U46" s="470"/>
      <c r="V46" s="6"/>
      <c r="W46" s="6"/>
      <c r="X46" s="508"/>
      <c r="Y46" s="509"/>
      <c r="Z46" s="6"/>
      <c r="AA46" s="502"/>
      <c r="AB46" s="508"/>
      <c r="AC46" s="66"/>
      <c r="AD46" s="470"/>
      <c r="AE46" s="6"/>
      <c r="AF46" s="6"/>
      <c r="AG46" s="508"/>
      <c r="AH46" s="509"/>
      <c r="AI46" s="6"/>
      <c r="AJ46" s="483"/>
      <c r="AK46" s="508"/>
    </row>
    <row r="47" spans="1:37" ht="28.3" x14ac:dyDescent="0.35">
      <c r="A47" s="1478">
        <v>44643</v>
      </c>
      <c r="B47" s="472">
        <v>1</v>
      </c>
      <c r="C47" s="493"/>
      <c r="D47" s="494"/>
      <c r="E47" s="494"/>
      <c r="F47" s="495"/>
      <c r="G47" s="478"/>
      <c r="H47" s="479"/>
      <c r="I47" s="483"/>
      <c r="J47" s="480"/>
      <c r="L47" s="439"/>
      <c r="M47" s="433"/>
      <c r="N47" s="433"/>
      <c r="O47" s="508"/>
      <c r="P47" s="509"/>
      <c r="Q47" s="6"/>
      <c r="R47" s="6"/>
      <c r="S47" s="508"/>
      <c r="T47" s="66"/>
      <c r="U47" s="470"/>
      <c r="V47" s="6">
        <v>15</v>
      </c>
      <c r="W47" s="6"/>
      <c r="X47" s="508"/>
      <c r="Y47" s="509"/>
      <c r="Z47" s="502" t="s">
        <v>359</v>
      </c>
      <c r="AA47" s="502"/>
      <c r="AB47" s="508"/>
      <c r="AC47" s="66"/>
      <c r="AD47" s="470"/>
      <c r="AE47" s="6"/>
      <c r="AF47" s="6"/>
      <c r="AG47" s="508"/>
      <c r="AH47" s="509"/>
      <c r="AI47" s="6"/>
      <c r="AJ47" s="6"/>
      <c r="AK47" s="508"/>
    </row>
    <row r="48" spans="1:37" ht="56.6" x14ac:dyDescent="0.35">
      <c r="A48" s="1477"/>
      <c r="B48" s="472">
        <v>2</v>
      </c>
      <c r="C48" s="493"/>
      <c r="D48" s="494"/>
      <c r="E48" s="494">
        <v>12</v>
      </c>
      <c r="F48" s="495">
        <v>27</v>
      </c>
      <c r="G48" s="478"/>
      <c r="H48" s="483"/>
      <c r="I48" s="483" t="s">
        <v>356</v>
      </c>
      <c r="J48" s="482" t="s">
        <v>360</v>
      </c>
      <c r="L48" s="439"/>
      <c r="M48" s="433"/>
      <c r="N48" s="433"/>
      <c r="O48" s="508">
        <v>20</v>
      </c>
      <c r="P48" s="509"/>
      <c r="Q48" s="515"/>
      <c r="R48" s="6"/>
      <c r="S48" s="482" t="s">
        <v>360</v>
      </c>
      <c r="T48" s="66"/>
      <c r="U48" s="470"/>
      <c r="V48" s="6"/>
      <c r="W48" s="6"/>
      <c r="X48" s="508">
        <v>24</v>
      </c>
      <c r="Y48" s="509"/>
      <c r="Z48" s="6"/>
      <c r="AA48" s="6"/>
      <c r="AB48" s="482" t="s">
        <v>360</v>
      </c>
      <c r="AC48" s="66"/>
      <c r="AD48" s="470"/>
      <c r="AE48" s="6"/>
      <c r="AF48" s="6"/>
      <c r="AG48" s="508">
        <v>9</v>
      </c>
      <c r="AH48" s="509"/>
      <c r="AI48" s="6"/>
      <c r="AJ48" s="6"/>
      <c r="AK48" s="482" t="s">
        <v>360</v>
      </c>
    </row>
    <row r="49" spans="1:37" ht="29.25" customHeight="1" x14ac:dyDescent="0.35">
      <c r="A49" s="1478">
        <v>44644</v>
      </c>
      <c r="B49" s="472">
        <v>1</v>
      </c>
      <c r="C49" s="493"/>
      <c r="D49" s="494"/>
      <c r="E49" s="494">
        <v>14</v>
      </c>
      <c r="F49" s="495"/>
      <c r="G49" s="478"/>
      <c r="H49" s="479"/>
      <c r="I49" s="483" t="s">
        <v>356</v>
      </c>
      <c r="J49" s="482"/>
      <c r="L49" s="439"/>
      <c r="M49" s="433"/>
      <c r="N49" s="433"/>
      <c r="O49" s="508"/>
      <c r="P49" s="509"/>
      <c r="Q49" s="6"/>
      <c r="R49" s="6"/>
      <c r="S49" s="526"/>
      <c r="T49" s="66"/>
      <c r="U49" s="470"/>
      <c r="V49" s="6"/>
      <c r="W49" s="6"/>
      <c r="X49" s="508"/>
      <c r="Y49" s="509"/>
      <c r="Z49" s="502"/>
      <c r="AA49" s="502"/>
      <c r="AB49" s="526"/>
      <c r="AC49" s="66"/>
      <c r="AD49" s="470"/>
      <c r="AE49" s="6"/>
      <c r="AF49" s="6"/>
      <c r="AG49" s="508"/>
      <c r="AH49" s="509"/>
      <c r="AI49" s="6"/>
      <c r="AJ49" s="6"/>
      <c r="AK49" s="526"/>
    </row>
    <row r="50" spans="1:37" ht="61.5" customHeight="1" x14ac:dyDescent="0.35">
      <c r="A50" s="1477"/>
      <c r="B50" s="472">
        <v>2</v>
      </c>
      <c r="C50" s="493">
        <v>357</v>
      </c>
      <c r="D50" s="494"/>
      <c r="E50" s="494"/>
      <c r="F50" s="495"/>
      <c r="G50" s="481" t="s">
        <v>361</v>
      </c>
      <c r="H50" s="479"/>
      <c r="I50" s="483"/>
      <c r="J50" s="480"/>
      <c r="L50" s="439"/>
      <c r="M50" s="6"/>
      <c r="N50" s="6"/>
      <c r="O50" s="508"/>
      <c r="P50" s="509"/>
      <c r="Q50" s="502"/>
      <c r="R50" s="502"/>
      <c r="S50" s="508"/>
      <c r="T50" s="66"/>
      <c r="U50" s="470"/>
      <c r="V50" s="6"/>
      <c r="W50" s="6"/>
      <c r="X50" s="508"/>
      <c r="Y50" s="469"/>
      <c r="Z50" s="502"/>
      <c r="AA50" s="502"/>
      <c r="AB50" s="508"/>
      <c r="AC50" s="66"/>
      <c r="AD50" s="470"/>
      <c r="AE50" s="6"/>
      <c r="AF50" s="6"/>
      <c r="AG50" s="508"/>
      <c r="AH50" s="509"/>
      <c r="AI50" s="6"/>
      <c r="AJ50" s="6"/>
      <c r="AK50" s="508"/>
    </row>
    <row r="51" spans="1:37" x14ac:dyDescent="0.35">
      <c r="A51" s="1478">
        <v>44645</v>
      </c>
      <c r="B51" s="472">
        <v>1</v>
      </c>
      <c r="C51" s="493"/>
      <c r="D51" s="494"/>
      <c r="E51" s="494"/>
      <c r="F51" s="495"/>
      <c r="G51" s="478"/>
      <c r="H51" s="479"/>
      <c r="I51" s="483"/>
      <c r="J51" s="480"/>
      <c r="L51" s="439"/>
      <c r="M51" s="433"/>
      <c r="N51" s="433"/>
      <c r="O51" s="508"/>
      <c r="P51" s="509"/>
      <c r="Q51" s="6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</row>
    <row r="52" spans="1:37" ht="42.45" x14ac:dyDescent="0.35">
      <c r="A52" s="1477"/>
      <c r="B52" s="472">
        <v>2</v>
      </c>
      <c r="C52" s="493"/>
      <c r="D52" s="494">
        <v>110</v>
      </c>
      <c r="E52" s="494">
        <v>10</v>
      </c>
      <c r="F52" s="495"/>
      <c r="G52" s="478"/>
      <c r="H52" s="483" t="s">
        <v>362</v>
      </c>
      <c r="I52" s="483" t="s">
        <v>82</v>
      </c>
      <c r="J52" s="482"/>
      <c r="L52" s="439"/>
      <c r="M52" s="433"/>
      <c r="N52" s="433"/>
      <c r="O52" s="508"/>
      <c r="P52" s="509"/>
      <c r="Q52" s="6"/>
      <c r="R52" s="6"/>
      <c r="S52" s="527"/>
      <c r="T52" s="66"/>
      <c r="U52" s="470"/>
      <c r="V52" s="6"/>
      <c r="W52" s="6"/>
      <c r="X52" s="508"/>
      <c r="Y52" s="469"/>
      <c r="Z52" s="502"/>
      <c r="AA52" s="502"/>
      <c r="AB52" s="527"/>
      <c r="AC52" s="66"/>
      <c r="AD52" s="470"/>
      <c r="AE52" s="6"/>
      <c r="AF52" s="6"/>
      <c r="AG52" s="508"/>
      <c r="AH52" s="509"/>
      <c r="AI52" s="6"/>
      <c r="AJ52" s="6"/>
      <c r="AK52" s="527"/>
    </row>
    <row r="53" spans="1:37" ht="42.45" x14ac:dyDescent="0.35">
      <c r="A53" s="1478">
        <v>44646</v>
      </c>
      <c r="B53" s="472">
        <v>1</v>
      </c>
      <c r="C53" s="493"/>
      <c r="D53" s="494"/>
      <c r="E53" s="494"/>
      <c r="F53" s="495"/>
      <c r="G53" s="478"/>
      <c r="H53" s="479"/>
      <c r="I53" s="479"/>
      <c r="J53" s="480"/>
      <c r="L53" s="439"/>
      <c r="M53" s="433"/>
      <c r="N53" s="433"/>
      <c r="O53" s="508"/>
      <c r="P53" s="509"/>
      <c r="Q53" s="6"/>
      <c r="R53" s="6"/>
      <c r="S53" s="508"/>
      <c r="T53" s="66"/>
      <c r="U53" s="470"/>
      <c r="V53" s="6"/>
      <c r="W53" s="6"/>
      <c r="X53" s="508"/>
      <c r="Y53" s="469"/>
      <c r="Z53" s="6"/>
      <c r="AA53" s="6"/>
      <c r="AB53" s="508"/>
      <c r="AC53" s="66"/>
      <c r="AD53" s="470"/>
      <c r="AE53" s="502">
        <v>20</v>
      </c>
      <c r="AF53" s="6"/>
      <c r="AG53" s="508"/>
      <c r="AH53" s="509"/>
      <c r="AI53" s="502" t="s">
        <v>364</v>
      </c>
      <c r="AJ53" s="502"/>
      <c r="AK53" s="508"/>
    </row>
    <row r="54" spans="1:37" ht="60" customHeight="1" x14ac:dyDescent="0.35">
      <c r="A54" s="1477"/>
      <c r="B54" s="500">
        <v>2</v>
      </c>
      <c r="C54" s="493"/>
      <c r="D54" s="494"/>
      <c r="E54" s="494"/>
      <c r="F54" s="495"/>
      <c r="G54" s="478"/>
      <c r="H54" s="479"/>
      <c r="I54" s="483"/>
      <c r="J54" s="480"/>
      <c r="L54" s="439"/>
      <c r="M54" s="433"/>
      <c r="N54" s="433"/>
      <c r="O54" s="508"/>
      <c r="P54" s="509"/>
      <c r="Q54" s="6"/>
      <c r="R54" s="6"/>
      <c r="S54" s="508"/>
      <c r="T54" s="66"/>
      <c r="U54" s="470"/>
      <c r="V54" s="6"/>
      <c r="W54" s="6"/>
      <c r="X54" s="508"/>
      <c r="Y54" s="1491"/>
      <c r="Z54" s="1492"/>
      <c r="AA54" s="1493"/>
      <c r="AB54" s="508"/>
      <c r="AC54" s="66"/>
      <c r="AD54" s="470"/>
      <c r="AE54" s="6"/>
      <c r="AF54" s="6"/>
      <c r="AG54" s="508"/>
      <c r="AH54" s="509"/>
      <c r="AI54" s="6"/>
      <c r="AJ54" s="6"/>
      <c r="AK54" s="508"/>
    </row>
    <row r="55" spans="1:37" x14ac:dyDescent="0.35">
      <c r="A55" s="1478">
        <v>44647</v>
      </c>
      <c r="B55" s="472">
        <v>1</v>
      </c>
      <c r="C55" s="493"/>
      <c r="D55" s="494"/>
      <c r="E55" s="494"/>
      <c r="F55" s="495"/>
      <c r="G55" s="478"/>
      <c r="H55" s="479"/>
      <c r="I55" s="483"/>
      <c r="J55" s="480"/>
      <c r="L55" s="439"/>
      <c r="M55" s="433"/>
      <c r="N55" s="433"/>
      <c r="O55" s="508"/>
      <c r="P55" s="509"/>
      <c r="Q55" s="6"/>
      <c r="R55" s="6"/>
      <c r="S55" s="508"/>
      <c r="T55" s="66"/>
      <c r="U55" s="470"/>
      <c r="V55" s="6"/>
      <c r="W55" s="6"/>
      <c r="X55" s="508"/>
      <c r="Y55" s="509"/>
      <c r="Z55" s="6"/>
      <c r="AA55" s="6"/>
      <c r="AB55" s="508"/>
      <c r="AC55" s="66"/>
      <c r="AD55" s="470"/>
      <c r="AE55" s="6"/>
      <c r="AF55" s="6"/>
      <c r="AG55" s="508"/>
      <c r="AH55" s="509"/>
      <c r="AI55" s="6"/>
      <c r="AJ55" s="6"/>
      <c r="AK55" s="508"/>
    </row>
    <row r="56" spans="1:37" x14ac:dyDescent="0.35">
      <c r="A56" s="1477"/>
      <c r="B56" s="500">
        <v>2</v>
      </c>
      <c r="C56" s="493"/>
      <c r="D56" s="494"/>
      <c r="E56" s="494"/>
      <c r="F56" s="495"/>
      <c r="G56" s="478"/>
      <c r="H56" s="479"/>
      <c r="I56" s="483"/>
      <c r="J56" s="480"/>
      <c r="L56" s="439"/>
      <c r="M56" s="433"/>
      <c r="N56" s="433"/>
      <c r="O56" s="508"/>
      <c r="P56" s="509"/>
      <c r="Q56" s="6"/>
      <c r="R56" s="6"/>
      <c r="S56" s="508"/>
      <c r="T56" s="66"/>
      <c r="U56" s="470"/>
      <c r="V56" s="6"/>
      <c r="W56" s="6"/>
      <c r="X56" s="508"/>
      <c r="Y56" s="469"/>
      <c r="Z56" s="502"/>
      <c r="AA56" s="479"/>
      <c r="AB56" s="508"/>
      <c r="AC56" s="66"/>
      <c r="AD56" s="470"/>
      <c r="AE56" s="6"/>
      <c r="AF56" s="6"/>
      <c r="AG56" s="508"/>
      <c r="AH56" s="509"/>
      <c r="AI56" s="502"/>
      <c r="AJ56" s="479"/>
      <c r="AK56" s="508"/>
    </row>
    <row r="57" spans="1:37" ht="62.25" customHeight="1" x14ac:dyDescent="0.35">
      <c r="A57" s="1478">
        <v>44648</v>
      </c>
      <c r="B57" s="472">
        <v>1</v>
      </c>
      <c r="C57" s="493"/>
      <c r="D57" s="494"/>
      <c r="E57" s="494"/>
      <c r="F57" s="495"/>
      <c r="G57" s="478"/>
      <c r="H57" s="479"/>
      <c r="I57" s="483"/>
      <c r="J57" s="480"/>
      <c r="L57" s="439"/>
      <c r="M57" s="433"/>
      <c r="N57" s="433"/>
      <c r="O57" s="508"/>
      <c r="P57" s="509"/>
      <c r="Q57" s="6"/>
      <c r="R57" s="502"/>
      <c r="S57" s="508"/>
      <c r="T57" s="66"/>
      <c r="U57" s="470"/>
      <c r="V57" s="6"/>
      <c r="W57" s="6"/>
      <c r="X57" s="508"/>
      <c r="Y57" s="469"/>
      <c r="Z57" s="502"/>
      <c r="AA57" s="502"/>
      <c r="AB57" s="508"/>
      <c r="AC57" s="66"/>
      <c r="AD57" s="470"/>
      <c r="AE57" s="6"/>
      <c r="AF57" s="6"/>
      <c r="AG57" s="508"/>
      <c r="AH57" s="509"/>
      <c r="AI57" s="6"/>
      <c r="AJ57" s="483"/>
      <c r="AK57" s="508"/>
    </row>
    <row r="58" spans="1:37" x14ac:dyDescent="0.35">
      <c r="A58" s="1477"/>
      <c r="B58" s="500">
        <v>2</v>
      </c>
      <c r="C58" s="493"/>
      <c r="D58" s="494"/>
      <c r="E58" s="494">
        <v>21</v>
      </c>
      <c r="F58" s="495"/>
      <c r="G58" s="481"/>
      <c r="H58" s="479"/>
      <c r="I58" s="479" t="s">
        <v>152</v>
      </c>
      <c r="J58" s="480"/>
      <c r="L58" s="439"/>
      <c r="M58" s="433"/>
      <c r="N58" s="433"/>
      <c r="O58" s="508"/>
      <c r="P58" s="509"/>
      <c r="Q58" s="6"/>
      <c r="R58" s="6"/>
      <c r="S58" s="508"/>
      <c r="T58" s="66"/>
      <c r="U58" s="470"/>
      <c r="V58" s="6"/>
      <c r="W58" s="6">
        <v>15</v>
      </c>
      <c r="X58" s="508"/>
      <c r="Y58" s="509"/>
      <c r="Z58" s="502"/>
      <c r="AA58" s="6" t="s">
        <v>152</v>
      </c>
      <c r="AB58" s="508"/>
      <c r="AC58" s="66"/>
      <c r="AD58" s="470"/>
      <c r="AE58" s="6"/>
      <c r="AF58" s="6"/>
      <c r="AG58" s="508"/>
      <c r="AH58" s="509"/>
      <c r="AI58" s="6"/>
      <c r="AJ58" s="6"/>
      <c r="AK58" s="508"/>
    </row>
    <row r="59" spans="1:37" x14ac:dyDescent="0.35">
      <c r="A59" s="1478">
        <v>44649</v>
      </c>
      <c r="B59" s="472">
        <v>1</v>
      </c>
      <c r="C59" s="493"/>
      <c r="D59" s="494"/>
      <c r="E59" s="494"/>
      <c r="F59" s="495"/>
      <c r="G59" s="478"/>
      <c r="H59" s="479"/>
      <c r="I59" s="6"/>
      <c r="J59" s="480"/>
      <c r="L59" s="439"/>
      <c r="M59" s="433"/>
      <c r="N59" s="433"/>
      <c r="O59" s="508"/>
      <c r="P59" s="509"/>
      <c r="Q59" s="502"/>
      <c r="R59" s="6"/>
      <c r="S59" s="508"/>
      <c r="T59" s="66"/>
      <c r="U59" s="470"/>
      <c r="V59" s="6"/>
      <c r="W59" s="6"/>
      <c r="X59" s="508"/>
      <c r="Y59" s="509"/>
      <c r="Z59" s="6"/>
      <c r="AA59" s="6"/>
      <c r="AB59" s="508"/>
      <c r="AC59" s="66"/>
      <c r="AD59" s="470"/>
      <c r="AE59" s="6"/>
      <c r="AF59" s="6"/>
      <c r="AG59" s="508"/>
      <c r="AH59" s="469"/>
      <c r="AI59" s="6"/>
      <c r="AJ59" s="6"/>
      <c r="AK59" s="508"/>
    </row>
    <row r="60" spans="1:37" x14ac:dyDescent="0.35">
      <c r="A60" s="1477"/>
      <c r="B60" s="500">
        <v>2</v>
      </c>
      <c r="C60" s="493"/>
      <c r="D60" s="494"/>
      <c r="E60" s="494"/>
      <c r="F60" s="495"/>
      <c r="G60" s="481"/>
      <c r="H60" s="483"/>
      <c r="I60" s="479"/>
      <c r="J60" s="480"/>
      <c r="L60" s="439"/>
      <c r="M60" s="433"/>
      <c r="N60" s="433"/>
      <c r="O60" s="508"/>
      <c r="P60" s="509"/>
      <c r="Q60" s="6"/>
      <c r="R60" s="6"/>
      <c r="S60" s="508"/>
      <c r="T60" s="66"/>
      <c r="U60" s="470"/>
      <c r="V60" s="6"/>
      <c r="W60" s="6"/>
      <c r="X60" s="508"/>
      <c r="Y60" s="509"/>
      <c r="Z60" s="502"/>
      <c r="AA60" s="6"/>
      <c r="AB60" s="508"/>
      <c r="AC60" s="66"/>
      <c r="AD60" s="470"/>
      <c r="AE60" s="6"/>
      <c r="AF60" s="6"/>
      <c r="AG60" s="508"/>
      <c r="AH60" s="509"/>
      <c r="AI60" s="6"/>
      <c r="AJ60" s="6"/>
      <c r="AK60" s="508"/>
    </row>
    <row r="61" spans="1:37" ht="90" customHeight="1" x14ac:dyDescent="0.35">
      <c r="A61" s="1478">
        <v>44650</v>
      </c>
      <c r="B61" s="472">
        <v>1</v>
      </c>
      <c r="C61" s="493"/>
      <c r="D61" s="494"/>
      <c r="E61" s="494"/>
      <c r="F61" s="495">
        <v>700</v>
      </c>
      <c r="G61" s="478"/>
      <c r="H61" s="479"/>
      <c r="I61" s="479"/>
      <c r="J61" s="1489" t="s">
        <v>365</v>
      </c>
      <c r="L61" s="439"/>
      <c r="M61" s="433"/>
      <c r="N61" s="433"/>
      <c r="O61" s="495">
        <v>700</v>
      </c>
      <c r="P61" s="478"/>
      <c r="Q61" s="479"/>
      <c r="R61" s="479"/>
      <c r="S61" s="1489" t="s">
        <v>365</v>
      </c>
      <c r="T61" s="66"/>
      <c r="U61" s="470"/>
      <c r="V61" s="6"/>
      <c r="W61" s="6"/>
      <c r="X61" s="495">
        <v>700</v>
      </c>
      <c r="Y61" s="478"/>
      <c r="Z61" s="479"/>
      <c r="AA61" s="479"/>
      <c r="AB61" s="1489" t="s">
        <v>365</v>
      </c>
      <c r="AC61" s="66"/>
      <c r="AD61" s="470"/>
      <c r="AE61" s="6"/>
      <c r="AF61" s="6"/>
      <c r="AG61" s="495">
        <v>700</v>
      </c>
      <c r="AH61" s="478"/>
      <c r="AI61" s="479"/>
      <c r="AJ61" s="479"/>
      <c r="AK61" s="1489" t="s">
        <v>365</v>
      </c>
    </row>
    <row r="62" spans="1:37" x14ac:dyDescent="0.35">
      <c r="A62" s="1477"/>
      <c r="B62" s="500">
        <v>2</v>
      </c>
      <c r="C62" s="493"/>
      <c r="D62" s="494"/>
      <c r="E62" s="494"/>
      <c r="F62" s="495">
        <v>465</v>
      </c>
      <c r="G62" s="481"/>
      <c r="H62" s="479"/>
      <c r="I62" s="479"/>
      <c r="J62" s="1490"/>
      <c r="L62" s="439"/>
      <c r="M62" s="433"/>
      <c r="N62" s="433"/>
      <c r="O62" s="508">
        <v>473</v>
      </c>
      <c r="P62" s="509"/>
      <c r="Q62" s="6"/>
      <c r="R62" s="6"/>
      <c r="S62" s="1490"/>
      <c r="T62" s="66"/>
      <c r="U62" s="470"/>
      <c r="V62" s="6"/>
      <c r="W62" s="6"/>
      <c r="X62" s="508">
        <v>468</v>
      </c>
      <c r="Y62" s="509"/>
      <c r="Z62" s="6"/>
      <c r="AA62" s="502"/>
      <c r="AB62" s="1490"/>
      <c r="AC62" s="66"/>
      <c r="AD62" s="470"/>
      <c r="AE62" s="6"/>
      <c r="AF62" s="6"/>
      <c r="AG62" s="508">
        <v>477</v>
      </c>
      <c r="AH62" s="509"/>
      <c r="AI62" s="6"/>
      <c r="AJ62" s="6"/>
      <c r="AK62" s="1490"/>
    </row>
    <row r="63" spans="1:37" x14ac:dyDescent="0.35">
      <c r="A63" s="1478">
        <v>44651</v>
      </c>
      <c r="B63" s="472">
        <v>1</v>
      </c>
      <c r="C63" s="493"/>
      <c r="D63" s="494"/>
      <c r="E63" s="494"/>
      <c r="F63" s="495"/>
      <c r="G63" s="478"/>
      <c r="H63" s="479"/>
      <c r="I63" s="479"/>
      <c r="J63" s="480"/>
      <c r="L63" s="439"/>
      <c r="M63" s="433"/>
      <c r="N63" s="433"/>
      <c r="O63" s="508"/>
      <c r="P63" s="509"/>
      <c r="Q63" s="6"/>
      <c r="R63" s="6"/>
      <c r="S63" s="508"/>
      <c r="T63" s="66"/>
      <c r="U63" s="470"/>
      <c r="V63" s="6"/>
      <c r="W63" s="6"/>
      <c r="X63" s="508"/>
      <c r="Y63" s="509"/>
      <c r="Z63" s="6"/>
      <c r="AA63" s="6"/>
      <c r="AB63" s="508"/>
      <c r="AC63" s="66"/>
      <c r="AD63" s="470"/>
      <c r="AE63" s="6"/>
      <c r="AF63" s="6"/>
      <c r="AG63" s="508"/>
      <c r="AH63" s="509"/>
      <c r="AI63" s="6"/>
      <c r="AJ63" s="6"/>
      <c r="AK63" s="508"/>
    </row>
    <row r="64" spans="1:37" x14ac:dyDescent="0.35">
      <c r="A64" s="1477"/>
      <c r="B64" s="472">
        <v>2</v>
      </c>
      <c r="C64" s="496"/>
      <c r="D64" s="497"/>
      <c r="E64" s="497"/>
      <c r="F64" s="498"/>
      <c r="G64" s="537"/>
      <c r="H64" s="485"/>
      <c r="I64" s="485"/>
      <c r="J64" s="535"/>
      <c r="L64" s="440"/>
      <c r="M64" s="436"/>
      <c r="N64" s="436"/>
      <c r="O64" s="528"/>
      <c r="P64" s="529"/>
      <c r="Q64" s="530"/>
      <c r="R64" s="530"/>
      <c r="S64" s="536"/>
      <c r="T64" s="66"/>
      <c r="U64" s="531"/>
      <c r="V64" s="530"/>
      <c r="W64" s="530"/>
      <c r="X64" s="528"/>
      <c r="Y64" s="532"/>
      <c r="Z64" s="530"/>
      <c r="AA64" s="530"/>
      <c r="AB64" s="536"/>
      <c r="AC64" s="66"/>
      <c r="AD64" s="531"/>
      <c r="AE64" s="530"/>
      <c r="AF64" s="530"/>
      <c r="AG64" s="528"/>
      <c r="AH64" s="529"/>
      <c r="AI64" s="530"/>
      <c r="AJ64" s="559"/>
      <c r="AK64" s="536"/>
    </row>
    <row r="65" spans="1:33" x14ac:dyDescent="0.35">
      <c r="A65" s="423" t="s">
        <v>225</v>
      </c>
      <c r="C65" s="65">
        <f>SUM(C3:C64)</f>
        <v>632</v>
      </c>
      <c r="D65" s="65">
        <f>SUM(D3:D64)</f>
        <v>539</v>
      </c>
      <c r="E65" s="65">
        <f>SUM(E3:E64)</f>
        <v>524</v>
      </c>
      <c r="F65" s="65">
        <f>SUM(F3:F64)</f>
        <v>1849</v>
      </c>
      <c r="L65" s="65">
        <f>SUM(L3:L64)</f>
        <v>0</v>
      </c>
      <c r="M65" s="65">
        <f>SUM(M3:M64)</f>
        <v>187</v>
      </c>
      <c r="N65" s="65">
        <f>SUM(N3:N64)</f>
        <v>0</v>
      </c>
      <c r="O65" s="65">
        <f>SUM(O3:O64)</f>
        <v>1853</v>
      </c>
      <c r="U65" s="65">
        <f>SUM(U3:U64)</f>
        <v>870</v>
      </c>
      <c r="V65" s="65">
        <f>SUM(V3:V64)</f>
        <v>15</v>
      </c>
      <c r="W65" s="65">
        <f>SUM(W3:W64)</f>
        <v>505</v>
      </c>
      <c r="X65" s="65">
        <f>SUM(X3:X64)</f>
        <v>1852</v>
      </c>
      <c r="AD65" s="65">
        <f>SUM(AD3:AD64)</f>
        <v>0</v>
      </c>
      <c r="AE65" s="65">
        <f>SUM(AE3:AE64)</f>
        <v>65</v>
      </c>
      <c r="AF65" s="65">
        <f>SUM(AF3:AF64)</f>
        <v>36</v>
      </c>
      <c r="AG65" s="65">
        <f>SUM(AG3:AG64)</f>
        <v>1846</v>
      </c>
    </row>
    <row r="73" spans="1:33" ht="14.6" thickBot="1" x14ac:dyDescent="0.4"/>
    <row r="74" spans="1:3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3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33" ht="21.75" customHeight="1" x14ac:dyDescent="0.4">
      <c r="B76" s="541" t="s">
        <v>218</v>
      </c>
      <c r="C76" s="542">
        <f>C65</f>
        <v>632</v>
      </c>
      <c r="D76" s="543">
        <f>C76/60</f>
        <v>10.533333333333333</v>
      </c>
      <c r="E76" s="542">
        <f>D65</f>
        <v>539</v>
      </c>
      <c r="F76" s="544">
        <f>E76/60</f>
        <v>8.9833333333333325</v>
      </c>
      <c r="G76" s="542">
        <f>E65</f>
        <v>524</v>
      </c>
      <c r="H76" s="543">
        <f>G76/60</f>
        <v>8.7333333333333325</v>
      </c>
      <c r="I76" s="542">
        <f>F65</f>
        <v>1849</v>
      </c>
      <c r="J76" s="543">
        <f>I76/60</f>
        <v>30.816666666666666</v>
      </c>
    </row>
    <row r="77" spans="1:33" ht="19.5" customHeight="1" x14ac:dyDescent="0.4">
      <c r="B77" s="541" t="s">
        <v>219</v>
      </c>
      <c r="C77" s="545">
        <f>L65</f>
        <v>0</v>
      </c>
      <c r="D77" s="546">
        <f t="shared" ref="D77:F79" si="0">C77/60</f>
        <v>0</v>
      </c>
      <c r="E77" s="545">
        <f>M65</f>
        <v>187</v>
      </c>
      <c r="F77" s="547">
        <f t="shared" si="0"/>
        <v>3.1166666666666667</v>
      </c>
      <c r="G77" s="545">
        <f>N65</f>
        <v>0</v>
      </c>
      <c r="H77" s="546">
        <f t="shared" ref="H77:J79" si="1">G77/60</f>
        <v>0</v>
      </c>
      <c r="I77" s="545">
        <f>O65</f>
        <v>1853</v>
      </c>
      <c r="J77" s="546">
        <f t="shared" si="1"/>
        <v>30.883333333333333</v>
      </c>
    </row>
    <row r="78" spans="1:33" ht="20.25" customHeight="1" x14ac:dyDescent="0.4">
      <c r="B78" s="541" t="s">
        <v>220</v>
      </c>
      <c r="C78" s="545">
        <f>U65</f>
        <v>870</v>
      </c>
      <c r="D78" s="546">
        <f t="shared" si="0"/>
        <v>14.5</v>
      </c>
      <c r="E78" s="545">
        <f>V65</f>
        <v>15</v>
      </c>
      <c r="F78" s="547">
        <f t="shared" si="0"/>
        <v>0.25</v>
      </c>
      <c r="G78" s="545">
        <f>W65</f>
        <v>505</v>
      </c>
      <c r="H78" s="546">
        <f t="shared" si="1"/>
        <v>8.4166666666666661</v>
      </c>
      <c r="I78" s="545">
        <f>X65</f>
        <v>1852</v>
      </c>
      <c r="J78" s="546">
        <f t="shared" si="1"/>
        <v>30.866666666666667</v>
      </c>
    </row>
    <row r="79" spans="1:33" ht="22.5" customHeight="1" thickBot="1" x14ac:dyDescent="0.45">
      <c r="B79" s="541" t="s">
        <v>221</v>
      </c>
      <c r="C79" s="548">
        <f>AD65</f>
        <v>0</v>
      </c>
      <c r="D79" s="549">
        <f t="shared" si="0"/>
        <v>0</v>
      </c>
      <c r="E79" s="548">
        <f>AE65</f>
        <v>65</v>
      </c>
      <c r="F79" s="550">
        <f t="shared" si="0"/>
        <v>1.0833333333333333</v>
      </c>
      <c r="G79" s="548">
        <f>AF65</f>
        <v>36</v>
      </c>
      <c r="H79" s="549">
        <f t="shared" si="1"/>
        <v>0.6</v>
      </c>
      <c r="I79" s="548">
        <f>AG65</f>
        <v>1846</v>
      </c>
      <c r="J79" s="549">
        <f t="shared" si="1"/>
        <v>30.766666666666666</v>
      </c>
    </row>
    <row r="80" spans="1:33" ht="18.45" thickBot="1" x14ac:dyDescent="0.5">
      <c r="B80" s="354"/>
      <c r="C80" s="255"/>
      <c r="D80" s="255"/>
      <c r="E80" s="255"/>
      <c r="F80" s="255"/>
      <c r="G80" s="255"/>
      <c r="H80" s="255"/>
      <c r="I80" s="255"/>
      <c r="J80" s="255"/>
    </row>
    <row r="81" spans="2:10" ht="18.45" thickBot="1" x14ac:dyDescent="0.5">
      <c r="B81" s="551" t="s">
        <v>217</v>
      </c>
      <c r="C81" s="556"/>
      <c r="D81" s="557">
        <f>SUM(D76:D80)</f>
        <v>25.033333333333331</v>
      </c>
      <c r="E81" s="556"/>
      <c r="F81" s="557">
        <f>SUM(F76:F80)</f>
        <v>13.433333333333334</v>
      </c>
      <c r="G81" s="556"/>
      <c r="H81" s="557">
        <f>SUM(H76:H80)</f>
        <v>17.75</v>
      </c>
      <c r="I81" s="556"/>
      <c r="J81" s="558">
        <f>SUM(J76:J80)</f>
        <v>123.33333333333333</v>
      </c>
    </row>
  </sheetData>
  <mergeCells count="50">
    <mergeCell ref="AK61:AK62"/>
    <mergeCell ref="AB61:AB62"/>
    <mergeCell ref="S61:S62"/>
    <mergeCell ref="J61:J62"/>
    <mergeCell ref="C74:D74"/>
    <mergeCell ref="E74:F74"/>
    <mergeCell ref="G74:H74"/>
    <mergeCell ref="I74:J74"/>
    <mergeCell ref="Y54:AA54"/>
    <mergeCell ref="A55:A56"/>
    <mergeCell ref="A57:A58"/>
    <mergeCell ref="A59:A60"/>
    <mergeCell ref="A63:A64"/>
    <mergeCell ref="A61:A62"/>
    <mergeCell ref="A51:A52"/>
    <mergeCell ref="A53:A54"/>
    <mergeCell ref="A39:A40"/>
    <mergeCell ref="A23:A24"/>
    <mergeCell ref="A25:A26"/>
    <mergeCell ref="A35:A36"/>
    <mergeCell ref="A37:A38"/>
    <mergeCell ref="A41:A42"/>
    <mergeCell ref="A43:A44"/>
    <mergeCell ref="A45:A46"/>
    <mergeCell ref="A47:A48"/>
    <mergeCell ref="A49:A50"/>
    <mergeCell ref="AH25:AH26"/>
    <mergeCell ref="A27:A28"/>
    <mergeCell ref="A29:A30"/>
    <mergeCell ref="A21:A22"/>
    <mergeCell ref="A31:A32"/>
    <mergeCell ref="J32:J33"/>
    <mergeCell ref="A33:A34"/>
    <mergeCell ref="A11:A12"/>
    <mergeCell ref="A13:A14"/>
    <mergeCell ref="A15:A16"/>
    <mergeCell ref="A17:A18"/>
    <mergeCell ref="A19:A20"/>
    <mergeCell ref="AD1:AG1"/>
    <mergeCell ref="AH1:AK1"/>
    <mergeCell ref="A3:A4"/>
    <mergeCell ref="A5:A6"/>
    <mergeCell ref="A7:A8"/>
    <mergeCell ref="U1:X1"/>
    <mergeCell ref="Y1:AB1"/>
    <mergeCell ref="A9:A10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  <ignoredErrors>
    <ignoredError sqref="I76:I79 G76:G79 E76:E79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79"/>
  <sheetViews>
    <sheetView zoomScale="70" zoomScaleNormal="70" workbookViewId="0">
      <pane xSplit="2" ySplit="2" topLeftCell="Q21" activePane="bottomRight" state="frozen"/>
      <selection pane="topRight" activeCell="C1" sqref="C1"/>
      <selection pane="bottomLeft" activeCell="A3" sqref="A3"/>
      <selection pane="bottomRight" activeCell="H79" sqref="H79"/>
    </sheetView>
  </sheetViews>
  <sheetFormatPr defaultColWidth="8.84375" defaultRowHeight="14.15" x14ac:dyDescent="0.35"/>
  <cols>
    <col min="1" max="1" width="14.53515625" style="423" customWidth="1"/>
    <col min="2" max="2" width="15.69140625" style="65" customWidth="1"/>
    <col min="3" max="3" width="10.69140625" style="423" customWidth="1"/>
    <col min="4" max="5" width="10.3046875" style="423" customWidth="1"/>
    <col min="6" max="6" width="10.84375" style="423" customWidth="1"/>
    <col min="7" max="7" width="17.69140625" style="423" bestFit="1" customWidth="1"/>
    <col min="8" max="8" width="19.3046875" style="423" customWidth="1"/>
    <col min="9" max="9" width="17.15234375" style="423" customWidth="1"/>
    <col min="10" max="10" width="24.3046875" style="423" customWidth="1"/>
    <col min="11" max="11" width="8.84375" style="423"/>
    <col min="12" max="13" width="9.69140625" style="423" customWidth="1"/>
    <col min="14" max="14" width="6.3046875" style="423" customWidth="1"/>
    <col min="15" max="15" width="9.84375" style="423" customWidth="1"/>
    <col min="16" max="16" width="16.84375" style="423" customWidth="1"/>
    <col min="17" max="17" width="17.3046875" style="423" customWidth="1"/>
    <col min="18" max="18" width="21.69140625" style="423" customWidth="1"/>
    <col min="19" max="19" width="15.3046875" style="423" bestFit="1" customWidth="1"/>
    <col min="20" max="21" width="8.84375" style="423"/>
    <col min="22" max="22" width="15.3828125" style="423" customWidth="1"/>
    <col min="23" max="23" width="8.84375" style="423"/>
    <col min="24" max="24" width="9.3828125" style="423" bestFit="1" customWidth="1"/>
    <col min="25" max="26" width="17.15234375" style="423" customWidth="1"/>
    <col min="27" max="27" width="18.3828125" style="423" customWidth="1"/>
    <col min="28" max="28" width="15.3046875" style="423" customWidth="1"/>
    <col min="29" max="33" width="8.84375" style="423"/>
    <col min="34" max="34" width="17.69140625" style="423" bestFit="1" customWidth="1"/>
    <col min="35" max="35" width="15" style="423" bestFit="1" customWidth="1"/>
    <col min="36" max="36" width="15.84375" style="423" customWidth="1"/>
    <col min="37" max="37" width="15.3046875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202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203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14.6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28.75" thickTop="1" x14ac:dyDescent="0.35">
      <c r="A3" s="1478">
        <v>44652</v>
      </c>
      <c r="B3" s="501">
        <v>1</v>
      </c>
      <c r="C3" s="490"/>
      <c r="D3" s="491"/>
      <c r="E3" s="491">
        <v>20</v>
      </c>
      <c r="F3" s="492"/>
      <c r="G3" s="566"/>
      <c r="H3" s="514"/>
      <c r="I3" s="515" t="s">
        <v>152</v>
      </c>
      <c r="J3" s="567"/>
      <c r="K3" s="66"/>
      <c r="L3" s="507"/>
      <c r="M3" s="522">
        <v>88</v>
      </c>
      <c r="N3" s="522"/>
      <c r="O3" s="520"/>
      <c r="P3" s="521"/>
      <c r="Q3" s="580" t="s">
        <v>366</v>
      </c>
      <c r="R3" s="581"/>
      <c r="S3" s="520"/>
      <c r="T3" s="66"/>
      <c r="U3" s="507"/>
      <c r="V3" s="522"/>
      <c r="W3" s="522">
        <v>15</v>
      </c>
      <c r="X3" s="508"/>
      <c r="Y3" s="469"/>
      <c r="Z3" s="521"/>
      <c r="AA3" s="600" t="s">
        <v>152</v>
      </c>
      <c r="AB3" s="601"/>
      <c r="AC3" s="66"/>
      <c r="AD3" s="507"/>
      <c r="AE3" s="522"/>
      <c r="AF3" s="6"/>
      <c r="AG3" s="520"/>
      <c r="AH3" s="521"/>
      <c r="AI3" s="522"/>
      <c r="AJ3" s="6"/>
      <c r="AK3" s="520"/>
    </row>
    <row r="4" spans="1:37" ht="28.3" x14ac:dyDescent="0.35">
      <c r="A4" s="1477"/>
      <c r="B4" s="472">
        <v>2</v>
      </c>
      <c r="C4" s="493"/>
      <c r="D4" s="494"/>
      <c r="E4" s="494"/>
      <c r="F4" s="495"/>
      <c r="G4" s="565"/>
      <c r="H4" s="502"/>
      <c r="I4" s="514"/>
      <c r="J4" s="568"/>
      <c r="K4" s="66"/>
      <c r="L4" s="470"/>
      <c r="M4" s="6">
        <v>80</v>
      </c>
      <c r="N4" s="6"/>
      <c r="O4" s="508"/>
      <c r="P4" s="509"/>
      <c r="Q4" s="579" t="s">
        <v>366</v>
      </c>
      <c r="R4" s="28"/>
      <c r="S4" s="508"/>
      <c r="T4" s="66"/>
      <c r="U4" s="470"/>
      <c r="V4" s="502"/>
      <c r="W4" s="6">
        <v>20</v>
      </c>
      <c r="X4" s="508"/>
      <c r="Y4" s="469"/>
      <c r="Z4" s="47"/>
      <c r="AA4" s="602" t="s">
        <v>152</v>
      </c>
      <c r="AB4" s="603"/>
      <c r="AC4" s="66"/>
      <c r="AD4" s="470"/>
      <c r="AE4" s="6"/>
      <c r="AF4" s="6"/>
      <c r="AG4" s="508"/>
      <c r="AH4" s="509"/>
      <c r="AI4" s="6"/>
      <c r="AJ4" s="6"/>
      <c r="AK4" s="508"/>
    </row>
    <row r="5" spans="1:37" x14ac:dyDescent="0.35">
      <c r="A5" s="1478">
        <v>44653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47"/>
      <c r="AA5" s="605"/>
      <c r="AB5" s="604"/>
      <c r="AC5" s="66"/>
      <c r="AD5" s="470"/>
      <c r="AE5" s="6"/>
      <c r="AF5" s="6"/>
      <c r="AG5" s="508"/>
      <c r="AH5" s="509"/>
      <c r="AI5" s="6"/>
      <c r="AJ5" s="6"/>
      <c r="AK5" s="508"/>
    </row>
    <row r="6" spans="1:37" x14ac:dyDescent="0.35">
      <c r="A6" s="1477"/>
      <c r="B6" s="472">
        <v>2</v>
      </c>
      <c r="C6" s="493"/>
      <c r="D6" s="494"/>
      <c r="E6" s="494"/>
      <c r="F6" s="495"/>
      <c r="G6" s="566"/>
      <c r="H6" s="514"/>
      <c r="I6" s="514"/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>
        <v>15</v>
      </c>
      <c r="X6" s="508"/>
      <c r="Y6" s="469"/>
      <c r="Z6" s="6"/>
      <c r="AA6" s="28" t="s">
        <v>152</v>
      </c>
      <c r="AB6" s="508"/>
      <c r="AC6" s="66"/>
      <c r="AD6" s="470"/>
      <c r="AE6" s="6"/>
      <c r="AF6" s="6">
        <v>10</v>
      </c>
      <c r="AG6" s="508"/>
      <c r="AH6" s="509"/>
      <c r="AI6" s="6"/>
      <c r="AJ6" s="6" t="s">
        <v>152</v>
      </c>
      <c r="AK6" s="508"/>
    </row>
    <row r="7" spans="1:37" x14ac:dyDescent="0.35">
      <c r="A7" s="1478">
        <v>44654</v>
      </c>
      <c r="B7" s="472">
        <v>1</v>
      </c>
      <c r="C7" s="493"/>
      <c r="D7" s="494"/>
      <c r="E7" s="494">
        <v>115</v>
      </c>
      <c r="F7" s="495"/>
      <c r="G7" s="566"/>
      <c r="H7" s="515"/>
      <c r="I7" s="514" t="s">
        <v>367</v>
      </c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524"/>
      <c r="W7" s="6"/>
      <c r="X7" s="508"/>
      <c r="Y7" s="509"/>
      <c r="Z7" s="6"/>
      <c r="AA7" s="606"/>
      <c r="AB7" s="508"/>
      <c r="AC7" s="66"/>
      <c r="AD7" s="470"/>
      <c r="AE7" s="6"/>
      <c r="AF7" s="6"/>
      <c r="AG7" s="508"/>
      <c r="AH7" s="509"/>
      <c r="AI7" s="6"/>
      <c r="AJ7" s="6"/>
      <c r="AK7" s="508"/>
    </row>
    <row r="8" spans="1:37" x14ac:dyDescent="0.35">
      <c r="A8" s="1477"/>
      <c r="B8" s="472">
        <v>2</v>
      </c>
      <c r="C8" s="493">
        <v>255</v>
      </c>
      <c r="D8" s="494"/>
      <c r="E8" s="494"/>
      <c r="F8" s="495"/>
      <c r="G8" s="565" t="s">
        <v>45</v>
      </c>
      <c r="H8" s="515"/>
      <c r="I8" s="513"/>
      <c r="J8" s="568"/>
      <c r="K8" s="66"/>
      <c r="L8" s="470"/>
      <c r="M8" s="6"/>
      <c r="N8" s="6"/>
      <c r="O8" s="508"/>
      <c r="P8" s="469"/>
      <c r="Q8" s="6"/>
      <c r="R8" s="502"/>
      <c r="S8" s="508"/>
      <c r="T8" s="66"/>
      <c r="U8" s="470"/>
      <c r="V8" s="525"/>
      <c r="W8" s="509">
        <v>10</v>
      </c>
      <c r="X8" s="508"/>
      <c r="Y8" s="469"/>
      <c r="Z8" s="6"/>
      <c r="AA8" s="28" t="s">
        <v>152</v>
      </c>
      <c r="AB8" s="508"/>
      <c r="AC8" s="66"/>
      <c r="AD8" s="470"/>
      <c r="AE8" s="6"/>
      <c r="AF8" s="6"/>
      <c r="AG8" s="508"/>
      <c r="AH8" s="509"/>
      <c r="AI8" s="6"/>
      <c r="AJ8" s="6"/>
      <c r="AK8" s="508"/>
    </row>
    <row r="9" spans="1:37" x14ac:dyDescent="0.35">
      <c r="A9" s="1478">
        <v>44655</v>
      </c>
      <c r="B9" s="472">
        <v>1</v>
      </c>
      <c r="C9" s="493"/>
      <c r="D9" s="494"/>
      <c r="E9" s="494"/>
      <c r="F9" s="495"/>
      <c r="G9" s="566"/>
      <c r="H9" s="514"/>
      <c r="I9" s="514"/>
      <c r="J9" s="568"/>
      <c r="K9" s="66"/>
      <c r="L9" s="470"/>
      <c r="M9" s="6"/>
      <c r="N9" s="6"/>
      <c r="O9" s="508"/>
      <c r="P9" s="469"/>
      <c r="Q9" s="6"/>
      <c r="R9" s="502"/>
      <c r="S9" s="508"/>
      <c r="T9" s="66"/>
      <c r="U9" s="470"/>
      <c r="V9" s="6"/>
      <c r="W9" s="6"/>
      <c r="X9" s="508"/>
      <c r="Y9" s="509"/>
      <c r="Z9" s="6"/>
      <c r="AA9" s="6"/>
      <c r="AB9" s="508"/>
      <c r="AC9" s="66"/>
      <c r="AD9" s="470">
        <v>320</v>
      </c>
      <c r="AE9" s="6"/>
      <c r="AF9" s="6"/>
      <c r="AG9" s="508"/>
      <c r="AH9" s="509" t="s">
        <v>45</v>
      </c>
      <c r="AI9" s="6"/>
      <c r="AJ9" s="6"/>
      <c r="AK9" s="508"/>
    </row>
    <row r="10" spans="1:37" x14ac:dyDescent="0.35">
      <c r="A10" s="1477"/>
      <c r="B10" s="472">
        <v>2</v>
      </c>
      <c r="C10" s="493"/>
      <c r="D10" s="494"/>
      <c r="E10" s="494"/>
      <c r="F10" s="495"/>
      <c r="G10" s="566"/>
      <c r="H10" s="514"/>
      <c r="I10" s="514"/>
      <c r="J10" s="568"/>
      <c r="K10" s="66"/>
      <c r="L10" s="470"/>
      <c r="M10" s="6"/>
      <c r="N10" s="6"/>
      <c r="O10" s="508"/>
      <c r="P10" s="469"/>
      <c r="Q10" s="6"/>
      <c r="R10" s="502"/>
      <c r="S10" s="508"/>
      <c r="T10" s="66"/>
      <c r="U10" s="470"/>
      <c r="V10" s="6"/>
      <c r="W10" s="6"/>
      <c r="X10" s="508"/>
      <c r="Y10" s="469"/>
      <c r="Z10" s="6"/>
      <c r="AA10" s="6"/>
      <c r="AB10" s="508"/>
      <c r="AC10" s="66"/>
      <c r="AD10" s="470"/>
      <c r="AE10" s="6"/>
      <c r="AF10" s="6"/>
      <c r="AG10" s="508"/>
      <c r="AH10" s="509"/>
      <c r="AI10" s="6"/>
      <c r="AJ10" s="6"/>
      <c r="AK10" s="508"/>
    </row>
    <row r="11" spans="1:37" ht="28.3" x14ac:dyDescent="0.35">
      <c r="A11" s="1478">
        <v>44656</v>
      </c>
      <c r="B11" s="472">
        <v>1</v>
      </c>
      <c r="C11" s="493"/>
      <c r="D11" s="494"/>
      <c r="E11" s="494">
        <v>28</v>
      </c>
      <c r="F11" s="495"/>
      <c r="G11" s="565"/>
      <c r="H11" s="514"/>
      <c r="I11" s="515" t="s">
        <v>354</v>
      </c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</row>
    <row r="12" spans="1:37" x14ac:dyDescent="0.35">
      <c r="A12" s="1477"/>
      <c r="B12" s="472">
        <v>2</v>
      </c>
      <c r="C12" s="493"/>
      <c r="D12" s="494"/>
      <c r="E12" s="494">
        <v>15</v>
      </c>
      <c r="F12" s="495"/>
      <c r="G12" s="566"/>
      <c r="H12" s="514"/>
      <c r="I12" s="515" t="s">
        <v>152</v>
      </c>
      <c r="J12" s="568"/>
      <c r="K12" s="66"/>
      <c r="L12" s="470"/>
      <c r="M12" s="6"/>
      <c r="N12" s="6"/>
      <c r="O12" s="508"/>
      <c r="P12" s="469"/>
      <c r="Q12" s="6"/>
      <c r="R12" s="502"/>
      <c r="S12" s="508"/>
      <c r="T12" s="66"/>
      <c r="U12" s="470"/>
      <c r="V12" s="6"/>
      <c r="W12" s="6"/>
      <c r="X12" s="508"/>
      <c r="Y12" s="509"/>
      <c r="Z12" s="6"/>
      <c r="AA12" s="6"/>
      <c r="AB12" s="508"/>
      <c r="AC12" s="66"/>
      <c r="AD12" s="470"/>
      <c r="AE12" s="6"/>
      <c r="AF12" s="6"/>
      <c r="AG12" s="508"/>
      <c r="AH12" s="509"/>
      <c r="AI12" s="6"/>
      <c r="AJ12" s="6"/>
      <c r="AK12" s="508"/>
    </row>
    <row r="13" spans="1:37" ht="28.3" x14ac:dyDescent="0.35">
      <c r="A13" s="1478">
        <v>44657</v>
      </c>
      <c r="B13" s="472">
        <v>1</v>
      </c>
      <c r="C13" s="493"/>
      <c r="D13" s="494"/>
      <c r="E13" s="494"/>
      <c r="F13" s="495"/>
      <c r="G13" s="566"/>
      <c r="H13" s="514"/>
      <c r="I13" s="515"/>
      <c r="J13" s="568"/>
      <c r="K13" s="66"/>
      <c r="L13" s="470"/>
      <c r="M13" s="6"/>
      <c r="N13" s="6"/>
      <c r="O13" s="508"/>
      <c r="P13" s="469"/>
      <c r="Q13" s="6"/>
      <c r="R13" s="502"/>
      <c r="S13" s="508"/>
      <c r="T13" s="66"/>
      <c r="U13" s="470">
        <v>21</v>
      </c>
      <c r="V13" s="6"/>
      <c r="W13" s="6">
        <v>20</v>
      </c>
      <c r="X13" s="508"/>
      <c r="Y13" s="469" t="s">
        <v>368</v>
      </c>
      <c r="Z13" s="6"/>
      <c r="AA13" s="502" t="s">
        <v>152</v>
      </c>
      <c r="AB13" s="526"/>
      <c r="AC13" s="66"/>
      <c r="AD13" s="470"/>
      <c r="AE13" s="6"/>
      <c r="AF13" s="6"/>
      <c r="AG13" s="508"/>
      <c r="AH13" s="509"/>
      <c r="AI13" s="6"/>
      <c r="AJ13" s="6"/>
      <c r="AK13" s="508"/>
    </row>
    <row r="14" spans="1:37" ht="18" customHeight="1" x14ac:dyDescent="0.35">
      <c r="A14" s="1477"/>
      <c r="B14" s="472">
        <v>2</v>
      </c>
      <c r="C14" s="493"/>
      <c r="D14" s="494"/>
      <c r="E14" s="494">
        <v>20</v>
      </c>
      <c r="F14" s="495"/>
      <c r="G14" s="566"/>
      <c r="H14" s="515"/>
      <c r="I14" s="515" t="s">
        <v>369</v>
      </c>
      <c r="J14" s="527"/>
      <c r="K14" s="66"/>
      <c r="L14" s="470"/>
      <c r="M14" s="6"/>
      <c r="N14" s="6"/>
      <c r="O14" s="508"/>
      <c r="P14" s="509"/>
      <c r="Q14" s="6"/>
      <c r="R14" s="6"/>
      <c r="S14" s="527"/>
      <c r="T14" s="66"/>
      <c r="U14" s="470"/>
      <c r="V14" s="6"/>
      <c r="W14" s="6"/>
      <c r="X14" s="508"/>
      <c r="Y14" s="509"/>
      <c r="Z14" s="6"/>
      <c r="AA14" s="571"/>
      <c r="AB14" s="607"/>
      <c r="AC14" s="66"/>
      <c r="AD14" s="470"/>
      <c r="AE14" s="6"/>
      <c r="AF14" s="6">
        <v>10</v>
      </c>
      <c r="AG14" s="508"/>
      <c r="AH14" s="469"/>
      <c r="AI14" s="6"/>
      <c r="AJ14" s="6" t="s">
        <v>152</v>
      </c>
      <c r="AK14" s="527"/>
    </row>
    <row r="15" spans="1:37" x14ac:dyDescent="0.35">
      <c r="A15" s="1478">
        <v>44658</v>
      </c>
      <c r="B15" s="472">
        <v>1</v>
      </c>
      <c r="C15" s="493"/>
      <c r="D15" s="494"/>
      <c r="E15" s="6"/>
      <c r="F15" s="495"/>
      <c r="G15" s="566"/>
      <c r="H15" s="515"/>
      <c r="I15" s="515"/>
      <c r="J15" s="568"/>
      <c r="K15" s="66"/>
      <c r="L15" s="470"/>
      <c r="M15" s="6"/>
      <c r="N15" s="6"/>
      <c r="O15" s="508"/>
      <c r="P15" s="470"/>
      <c r="Q15" s="515"/>
      <c r="R15" s="6"/>
      <c r="S15" s="508"/>
      <c r="T15" s="66"/>
      <c r="U15" s="470"/>
      <c r="V15" s="6"/>
      <c r="W15" s="6">
        <v>7</v>
      </c>
      <c r="X15" s="508"/>
      <c r="Y15" s="470"/>
      <c r="Z15" s="515"/>
      <c r="AA15" s="609" t="s">
        <v>152</v>
      </c>
      <c r="AB15" s="608"/>
      <c r="AC15" s="66"/>
      <c r="AD15" s="470"/>
      <c r="AE15" s="6"/>
      <c r="AF15" s="6"/>
      <c r="AG15" s="508"/>
      <c r="AH15" s="470"/>
      <c r="AI15" s="515"/>
      <c r="AJ15" s="502"/>
      <c r="AK15" s="508"/>
    </row>
    <row r="16" spans="1:37" x14ac:dyDescent="0.35">
      <c r="A16" s="1477"/>
      <c r="B16" s="472">
        <v>2</v>
      </c>
      <c r="C16" s="493"/>
      <c r="D16" s="494"/>
      <c r="E16" s="494">
        <v>15</v>
      </c>
      <c r="F16" s="495"/>
      <c r="G16" s="566"/>
      <c r="H16" s="514"/>
      <c r="I16" s="514" t="s">
        <v>370</v>
      </c>
      <c r="J16" s="568"/>
      <c r="K16" s="66"/>
      <c r="L16" s="470"/>
      <c r="M16" s="6"/>
      <c r="N16" s="6"/>
      <c r="O16" s="508"/>
      <c r="P16" s="470"/>
      <c r="Q16" s="6"/>
      <c r="R16" s="6"/>
      <c r="S16" s="508"/>
      <c r="T16" s="66"/>
      <c r="U16" s="470"/>
      <c r="V16" s="6"/>
      <c r="W16" s="6">
        <v>15</v>
      </c>
      <c r="X16" s="508"/>
      <c r="Y16" s="514"/>
      <c r="Z16" s="514"/>
      <c r="AA16" s="6" t="s">
        <v>370</v>
      </c>
      <c r="AB16" s="508"/>
      <c r="AC16" s="66"/>
      <c r="AD16" s="470"/>
      <c r="AE16" s="6"/>
      <c r="AF16" s="6">
        <v>10</v>
      </c>
      <c r="AG16" s="508"/>
      <c r="AH16" s="470"/>
      <c r="AI16" s="6"/>
      <c r="AJ16" s="6" t="s">
        <v>152</v>
      </c>
      <c r="AK16" s="508"/>
    </row>
    <row r="17" spans="1:37" x14ac:dyDescent="0.35">
      <c r="A17" s="1478">
        <v>44659</v>
      </c>
      <c r="B17" s="534">
        <v>1</v>
      </c>
      <c r="C17" s="493"/>
      <c r="D17" s="494"/>
      <c r="E17" s="494"/>
      <c r="F17" s="495"/>
      <c r="G17" s="566"/>
      <c r="H17" s="514"/>
      <c r="I17" s="514"/>
      <c r="J17" s="568"/>
      <c r="K17" s="66"/>
      <c r="L17" s="470"/>
      <c r="M17" s="6"/>
      <c r="N17" s="6"/>
      <c r="O17" s="508"/>
      <c r="P17" s="470"/>
      <c r="Q17" s="6"/>
      <c r="R17" s="6"/>
      <c r="S17" s="508"/>
      <c r="T17" s="66"/>
      <c r="U17" s="470"/>
      <c r="V17" s="6"/>
      <c r="W17" s="6"/>
      <c r="X17" s="508"/>
      <c r="Y17" s="514"/>
      <c r="Z17" s="514"/>
      <c r="AA17" s="6"/>
      <c r="AB17" s="508"/>
      <c r="AC17" s="66"/>
      <c r="AD17" s="470"/>
      <c r="AE17" s="6"/>
      <c r="AF17" s="6"/>
      <c r="AG17" s="508"/>
      <c r="AH17" s="470"/>
      <c r="AI17" s="6"/>
      <c r="AJ17" s="502"/>
      <c r="AK17" s="508"/>
    </row>
    <row r="18" spans="1:37" x14ac:dyDescent="0.35">
      <c r="A18" s="1477"/>
      <c r="B18" s="472">
        <v>2</v>
      </c>
      <c r="C18" s="493"/>
      <c r="D18" s="494"/>
      <c r="E18" s="494"/>
      <c r="F18" s="495"/>
      <c r="G18" s="566"/>
      <c r="H18" s="515"/>
      <c r="I18" s="514"/>
      <c r="J18" s="568"/>
      <c r="K18" s="66"/>
      <c r="L18" s="470"/>
      <c r="M18" s="6"/>
      <c r="N18" s="6"/>
      <c r="O18" s="508"/>
      <c r="P18" s="470"/>
      <c r="Q18" s="6"/>
      <c r="R18" s="6"/>
      <c r="S18" s="508"/>
      <c r="T18" s="66"/>
      <c r="U18" s="470">
        <v>115</v>
      </c>
      <c r="V18" s="6"/>
      <c r="W18" s="6"/>
      <c r="X18" s="508"/>
      <c r="Y18" s="465" t="s">
        <v>45</v>
      </c>
      <c r="Z18" s="6"/>
      <c r="AA18" s="6"/>
      <c r="AB18" s="508"/>
      <c r="AC18" s="66"/>
      <c r="AD18" s="470"/>
      <c r="AE18" s="6"/>
      <c r="AF18" s="6">
        <v>10</v>
      </c>
      <c r="AG18" s="508"/>
      <c r="AH18" s="470"/>
      <c r="AI18" s="6"/>
      <c r="AJ18" s="502" t="s">
        <v>169</v>
      </c>
      <c r="AK18" s="508"/>
    </row>
    <row r="19" spans="1:37" ht="18" customHeight="1" x14ac:dyDescent="0.35">
      <c r="A19" s="1478">
        <v>44660</v>
      </c>
      <c r="B19" s="472">
        <v>1</v>
      </c>
      <c r="C19" s="66"/>
      <c r="D19" s="494"/>
      <c r="E19" s="494">
        <v>10</v>
      </c>
      <c r="F19" s="495"/>
      <c r="G19" s="566"/>
      <c r="H19" s="514"/>
      <c r="I19" s="515" t="s">
        <v>152</v>
      </c>
      <c r="J19" s="568"/>
      <c r="K19" s="66"/>
      <c r="L19" s="470"/>
      <c r="M19" s="6"/>
      <c r="N19" s="6"/>
      <c r="O19" s="508"/>
      <c r="P19" s="470"/>
      <c r="Q19" s="6"/>
      <c r="R19" s="6"/>
      <c r="S19" s="508"/>
      <c r="T19" s="66"/>
      <c r="U19" s="470"/>
      <c r="V19" s="6"/>
      <c r="W19" s="6"/>
      <c r="X19" s="508"/>
      <c r="Y19" s="470"/>
      <c r="Z19" s="502"/>
      <c r="AA19" s="502"/>
      <c r="AB19" s="508"/>
      <c r="AC19" s="66"/>
      <c r="AD19" s="470"/>
      <c r="AE19" s="6"/>
      <c r="AF19" s="6"/>
      <c r="AG19" s="508"/>
      <c r="AH19" s="470"/>
      <c r="AI19" s="6"/>
      <c r="AJ19" s="502"/>
      <c r="AK19" s="508"/>
    </row>
    <row r="20" spans="1:37" ht="15" customHeight="1" x14ac:dyDescent="0.35">
      <c r="A20" s="1477"/>
      <c r="B20" s="472">
        <v>2</v>
      </c>
      <c r="C20" s="493"/>
      <c r="D20" s="494"/>
      <c r="E20" s="494">
        <v>15</v>
      </c>
      <c r="F20" s="495"/>
      <c r="G20" s="566"/>
      <c r="H20" s="515"/>
      <c r="I20" s="515" t="s">
        <v>152</v>
      </c>
      <c r="J20" s="568"/>
      <c r="K20" s="66"/>
      <c r="L20" s="470"/>
      <c r="M20" s="6"/>
      <c r="N20" s="6"/>
      <c r="O20" s="508"/>
      <c r="P20" s="470"/>
      <c r="Q20" s="6"/>
      <c r="R20" s="6"/>
      <c r="S20" s="508"/>
      <c r="T20" s="66"/>
      <c r="U20" s="470"/>
      <c r="V20" s="214"/>
      <c r="W20" s="6">
        <v>35</v>
      </c>
      <c r="X20" s="508"/>
      <c r="Y20" s="470"/>
      <c r="Z20" s="502"/>
      <c r="AA20" s="502" t="s">
        <v>152</v>
      </c>
      <c r="AB20" s="508"/>
      <c r="AC20" s="66"/>
      <c r="AD20" s="470"/>
      <c r="AE20" s="6"/>
      <c r="AF20" s="6"/>
      <c r="AG20" s="508"/>
      <c r="AH20" s="470"/>
      <c r="AI20" s="6"/>
      <c r="AJ20" s="6"/>
      <c r="AK20" s="508"/>
    </row>
    <row r="21" spans="1:37" ht="16.95" customHeight="1" x14ac:dyDescent="0.35">
      <c r="A21" s="1478">
        <v>44661</v>
      </c>
      <c r="B21" s="472">
        <v>1</v>
      </c>
      <c r="C21" s="493"/>
      <c r="D21" s="494"/>
      <c r="E21" s="494">
        <v>20</v>
      </c>
      <c r="F21" s="495"/>
      <c r="G21" s="569"/>
      <c r="H21" s="514"/>
      <c r="I21" s="515" t="s">
        <v>152</v>
      </c>
      <c r="J21" s="568"/>
      <c r="K21" s="66"/>
      <c r="L21" s="470"/>
      <c r="M21" s="6"/>
      <c r="N21" s="6"/>
      <c r="O21" s="508"/>
      <c r="P21" s="470"/>
      <c r="Q21" s="6"/>
      <c r="R21" s="6"/>
      <c r="S21" s="508"/>
      <c r="T21" s="66"/>
      <c r="U21" s="470"/>
      <c r="V21" s="6"/>
      <c r="W21" s="6"/>
      <c r="X21" s="508"/>
      <c r="Y21" s="470"/>
      <c r="Z21" s="6"/>
      <c r="AA21" s="502"/>
      <c r="AB21" s="508"/>
      <c r="AC21" s="66"/>
      <c r="AD21" s="470"/>
      <c r="AE21" s="6"/>
      <c r="AF21" s="6"/>
      <c r="AG21" s="508"/>
      <c r="AH21" s="470"/>
      <c r="AI21" s="6"/>
      <c r="AJ21" s="6"/>
      <c r="AK21" s="508"/>
    </row>
    <row r="22" spans="1:37" ht="18.649999999999999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515"/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/>
      <c r="X22" s="495"/>
      <c r="Y22" s="470"/>
      <c r="Z22" s="6"/>
      <c r="AA22" s="502"/>
      <c r="AB22" s="527"/>
      <c r="AC22" s="66"/>
      <c r="AD22" s="470"/>
      <c r="AE22" s="6"/>
      <c r="AF22" s="6"/>
      <c r="AG22" s="495"/>
      <c r="AH22" s="470"/>
      <c r="AI22" s="6"/>
      <c r="AJ22" s="6"/>
      <c r="AK22" s="527"/>
    </row>
    <row r="23" spans="1:37" x14ac:dyDescent="0.35">
      <c r="A23" s="1478">
        <v>44662</v>
      </c>
      <c r="B23" s="534">
        <v>1</v>
      </c>
      <c r="C23" s="493">
        <v>30</v>
      </c>
      <c r="D23" s="494"/>
      <c r="E23" s="494"/>
      <c r="F23" s="495"/>
      <c r="G23" s="566" t="s">
        <v>97</v>
      </c>
      <c r="H23" s="514"/>
      <c r="I23" s="514"/>
      <c r="J23" s="568"/>
      <c r="K23" s="66"/>
      <c r="L23" s="470"/>
      <c r="M23" s="6"/>
      <c r="N23" s="6"/>
      <c r="O23" s="508"/>
      <c r="P23" s="470"/>
      <c r="Q23" s="6"/>
      <c r="R23" s="6"/>
      <c r="S23" s="508"/>
      <c r="T23" s="66"/>
      <c r="U23" s="470"/>
      <c r="V23" s="6"/>
      <c r="W23" s="6"/>
      <c r="X23" s="508"/>
      <c r="Y23" s="470"/>
      <c r="Z23" s="6"/>
      <c r="AA23" s="6"/>
      <c r="AB23" s="508"/>
      <c r="AC23" s="66"/>
      <c r="AD23" s="470"/>
      <c r="AE23" s="6"/>
      <c r="AF23" s="6"/>
      <c r="AG23" s="508"/>
      <c r="AH23" s="465"/>
      <c r="AI23" s="6"/>
      <c r="AJ23" s="6"/>
      <c r="AK23" s="508"/>
    </row>
    <row r="24" spans="1:37" x14ac:dyDescent="0.35">
      <c r="A24" s="1477"/>
      <c r="B24" s="472">
        <v>2</v>
      </c>
      <c r="C24" s="493"/>
      <c r="D24" s="494">
        <v>7</v>
      </c>
      <c r="E24" s="494">
        <v>15</v>
      </c>
      <c r="F24" s="495"/>
      <c r="G24" s="566"/>
      <c r="H24" s="514" t="s">
        <v>276</v>
      </c>
      <c r="I24" s="515" t="s">
        <v>152</v>
      </c>
      <c r="J24" s="568"/>
      <c r="K24" s="66"/>
      <c r="L24" s="470"/>
      <c r="M24" s="6"/>
      <c r="N24" s="6"/>
      <c r="O24" s="508"/>
      <c r="P24" s="470"/>
      <c r="Q24" s="6"/>
      <c r="R24" s="6"/>
      <c r="S24" s="508"/>
      <c r="T24" s="66"/>
      <c r="U24" s="470"/>
      <c r="V24" s="6"/>
      <c r="W24" s="6">
        <v>10</v>
      </c>
      <c r="X24" s="508"/>
      <c r="Y24" s="470"/>
      <c r="Z24" s="6"/>
      <c r="AA24" s="6" t="s">
        <v>152</v>
      </c>
      <c r="AB24" s="508"/>
      <c r="AC24" s="66"/>
      <c r="AD24" s="470"/>
      <c r="AE24" s="6"/>
      <c r="AF24" s="6"/>
      <c r="AG24" s="508"/>
      <c r="AH24" s="583"/>
      <c r="AI24" s="6"/>
      <c r="AJ24" s="6"/>
      <c r="AK24" s="508"/>
    </row>
    <row r="25" spans="1:37" ht="15" customHeight="1" x14ac:dyDescent="0.35">
      <c r="A25" s="1478">
        <v>44663</v>
      </c>
      <c r="B25" s="472">
        <v>1</v>
      </c>
      <c r="C25" s="493"/>
      <c r="D25" s="494"/>
      <c r="E25" s="494"/>
      <c r="F25" s="495"/>
      <c r="G25" s="566"/>
      <c r="H25" s="514"/>
      <c r="I25" s="515"/>
      <c r="J25" s="568"/>
      <c r="K25" s="66"/>
      <c r="L25" s="470"/>
      <c r="M25" s="6"/>
      <c r="N25" s="6"/>
      <c r="O25" s="508"/>
      <c r="P25" s="470"/>
      <c r="Q25" s="514"/>
      <c r="R25" s="6"/>
      <c r="S25" s="508"/>
      <c r="T25" s="66"/>
      <c r="U25" s="470"/>
      <c r="V25" s="6"/>
      <c r="W25" s="6"/>
      <c r="X25" s="508"/>
      <c r="Y25" s="470"/>
      <c r="Z25" s="6"/>
      <c r="AA25" s="6"/>
      <c r="AB25" s="508"/>
      <c r="AC25" s="66"/>
      <c r="AD25" s="470"/>
      <c r="AE25" s="6"/>
      <c r="AF25" s="6"/>
      <c r="AG25" s="47"/>
      <c r="AH25" s="585"/>
      <c r="AI25" s="509"/>
      <c r="AJ25" s="6"/>
      <c r="AK25" s="508"/>
    </row>
    <row r="26" spans="1:37" ht="28.3" x14ac:dyDescent="0.35">
      <c r="A26" s="1477"/>
      <c r="B26" s="472">
        <v>2</v>
      </c>
      <c r="C26" s="493"/>
      <c r="D26" s="494">
        <v>15</v>
      </c>
      <c r="E26" s="494"/>
      <c r="F26" s="495"/>
      <c r="G26" s="566"/>
      <c r="H26" s="515" t="s">
        <v>371</v>
      </c>
      <c r="I26" s="515"/>
      <c r="J26" s="568"/>
      <c r="K26" s="66"/>
      <c r="L26" s="470"/>
      <c r="M26" s="6"/>
      <c r="N26" s="6"/>
      <c r="O26" s="508"/>
      <c r="P26" s="470"/>
      <c r="Q26" s="514"/>
      <c r="R26" s="6"/>
      <c r="S26" s="508"/>
      <c r="T26" s="66"/>
      <c r="U26" s="470"/>
      <c r="V26" s="494">
        <v>15</v>
      </c>
      <c r="W26" s="6"/>
      <c r="X26" s="508"/>
      <c r="Y26" s="470"/>
      <c r="Z26" s="515" t="s">
        <v>371</v>
      </c>
      <c r="AA26" s="502"/>
      <c r="AB26" s="508"/>
      <c r="AC26" s="66"/>
      <c r="AD26" s="470"/>
      <c r="AE26" s="494">
        <v>15</v>
      </c>
      <c r="AF26" s="6"/>
      <c r="AG26" s="47"/>
      <c r="AH26" s="584"/>
      <c r="AI26" s="515" t="s">
        <v>371</v>
      </c>
      <c r="AJ26" s="6"/>
      <c r="AK26" s="508"/>
    </row>
    <row r="27" spans="1:37" ht="99" x14ac:dyDescent="0.35">
      <c r="A27" s="1478">
        <v>44664</v>
      </c>
      <c r="B27" s="534">
        <v>1</v>
      </c>
      <c r="C27" s="493"/>
      <c r="D27" s="494"/>
      <c r="E27" s="494">
        <v>180</v>
      </c>
      <c r="F27" s="495"/>
      <c r="G27" s="566"/>
      <c r="H27" s="514"/>
      <c r="I27" s="515" t="s">
        <v>372</v>
      </c>
      <c r="J27" s="527"/>
      <c r="K27" s="66"/>
      <c r="L27" s="470"/>
      <c r="M27" s="6"/>
      <c r="N27" s="6">
        <v>170</v>
      </c>
      <c r="O27" s="508"/>
      <c r="P27" s="470"/>
      <c r="Q27" s="6"/>
      <c r="R27" s="515" t="s">
        <v>372</v>
      </c>
      <c r="S27" s="508"/>
      <c r="T27" s="66"/>
      <c r="U27" s="470"/>
      <c r="V27" s="6"/>
      <c r="W27" s="6">
        <v>177</v>
      </c>
      <c r="X27" s="508"/>
      <c r="Y27" s="509"/>
      <c r="Z27" s="6"/>
      <c r="AA27" s="515" t="s">
        <v>372</v>
      </c>
      <c r="AB27" s="508"/>
      <c r="AC27" s="66"/>
      <c r="AD27" s="470"/>
      <c r="AE27" s="6"/>
      <c r="AF27" s="6">
        <v>175</v>
      </c>
      <c r="AG27" s="508"/>
      <c r="AH27" s="582"/>
      <c r="AI27" s="6"/>
      <c r="AJ27" s="515" t="s">
        <v>372</v>
      </c>
      <c r="AK27" s="508"/>
    </row>
    <row r="28" spans="1:37" ht="99" x14ac:dyDescent="0.35">
      <c r="A28" s="1477"/>
      <c r="B28" s="472">
        <v>2</v>
      </c>
      <c r="C28" s="493"/>
      <c r="D28" s="494"/>
      <c r="E28" s="494">
        <v>496</v>
      </c>
      <c r="F28" s="495"/>
      <c r="G28" s="515"/>
      <c r="H28" s="514"/>
      <c r="I28" s="515" t="s">
        <v>372</v>
      </c>
      <c r="J28" s="527"/>
      <c r="K28" s="66"/>
      <c r="L28" s="470"/>
      <c r="M28" s="6"/>
      <c r="N28" s="6">
        <v>510</v>
      </c>
      <c r="O28" s="508"/>
      <c r="P28" s="509"/>
      <c r="Q28" s="6"/>
      <c r="R28" s="515" t="s">
        <v>372</v>
      </c>
      <c r="S28" s="508"/>
      <c r="T28" s="66"/>
      <c r="U28" s="470"/>
      <c r="V28" s="6"/>
      <c r="W28" s="6">
        <v>499</v>
      </c>
      <c r="X28" s="508"/>
      <c r="Y28" s="509"/>
      <c r="Z28" s="6"/>
      <c r="AA28" s="515" t="s">
        <v>372</v>
      </c>
      <c r="AB28" s="508"/>
      <c r="AC28" s="66"/>
      <c r="AD28" s="470"/>
      <c r="AE28" s="6"/>
      <c r="AF28" s="6">
        <v>532</v>
      </c>
      <c r="AG28" s="508"/>
      <c r="AH28" s="509"/>
      <c r="AI28" s="6"/>
      <c r="AJ28" s="515" t="s">
        <v>372</v>
      </c>
      <c r="AK28" s="508"/>
    </row>
    <row r="29" spans="1:37" ht="28.3" x14ac:dyDescent="0.35">
      <c r="A29" s="1478">
        <v>44665</v>
      </c>
      <c r="B29" s="472">
        <v>1</v>
      </c>
      <c r="C29" s="493"/>
      <c r="D29" s="494"/>
      <c r="E29" s="494"/>
      <c r="F29" s="495"/>
      <c r="G29" s="566"/>
      <c r="H29" s="514"/>
      <c r="I29" s="515"/>
      <c r="J29" s="568"/>
      <c r="K29" s="66"/>
      <c r="L29" s="470"/>
      <c r="M29" s="6"/>
      <c r="N29" s="6"/>
      <c r="O29" s="508"/>
      <c r="P29" s="509"/>
      <c r="Q29" s="6"/>
      <c r="R29" s="502"/>
      <c r="S29" s="508"/>
      <c r="T29" s="66"/>
      <c r="U29" s="470"/>
      <c r="V29" s="6"/>
      <c r="W29" s="6">
        <v>12</v>
      </c>
      <c r="X29" s="508"/>
      <c r="Y29" s="509"/>
      <c r="Z29" s="6"/>
      <c r="AA29" s="502" t="s">
        <v>373</v>
      </c>
      <c r="AB29" s="508"/>
      <c r="AC29" s="66"/>
      <c r="AD29" s="470"/>
      <c r="AE29" s="6"/>
      <c r="AF29" s="6">
        <v>30</v>
      </c>
      <c r="AG29" s="508"/>
      <c r="AH29" s="509"/>
      <c r="AI29" s="6"/>
      <c r="AJ29" s="502" t="s">
        <v>373</v>
      </c>
      <c r="AK29" s="508"/>
    </row>
    <row r="30" spans="1:37" ht="28.3" x14ac:dyDescent="0.35">
      <c r="A30" s="1477"/>
      <c r="B30" s="534">
        <v>2</v>
      </c>
      <c r="C30" s="493"/>
      <c r="D30" s="494"/>
      <c r="E30" s="494">
        <v>28</v>
      </c>
      <c r="F30" s="495"/>
      <c r="G30" s="566"/>
      <c r="H30" s="514"/>
      <c r="I30" s="515" t="s">
        <v>152</v>
      </c>
      <c r="J30" s="568"/>
      <c r="K30" s="66"/>
      <c r="L30" s="470"/>
      <c r="M30" s="6"/>
      <c r="N30" s="6"/>
      <c r="O30" s="508"/>
      <c r="P30" s="509"/>
      <c r="Q30" s="6"/>
      <c r="R30" s="6"/>
      <c r="S30" s="508"/>
      <c r="T30" s="66"/>
      <c r="U30" s="470"/>
      <c r="V30" s="6"/>
      <c r="W30" s="6">
        <v>7</v>
      </c>
      <c r="X30" s="508"/>
      <c r="Y30" s="509"/>
      <c r="Z30" s="6"/>
      <c r="AA30" s="502" t="s">
        <v>373</v>
      </c>
      <c r="AB30" s="508"/>
      <c r="AC30" s="66"/>
      <c r="AD30" s="470"/>
      <c r="AE30" s="6"/>
      <c r="AF30" s="6">
        <v>32</v>
      </c>
      <c r="AG30" s="508"/>
      <c r="AH30" s="469"/>
      <c r="AI30" s="66"/>
      <c r="AJ30" s="502" t="s">
        <v>373</v>
      </c>
      <c r="AK30" s="508"/>
    </row>
    <row r="31" spans="1:37" x14ac:dyDescent="0.35">
      <c r="A31" s="1478">
        <v>44666</v>
      </c>
      <c r="B31" s="472">
        <v>1</v>
      </c>
      <c r="C31" s="493"/>
      <c r="D31" s="494"/>
      <c r="E31" s="494"/>
      <c r="F31" s="495"/>
      <c r="G31" s="566"/>
      <c r="H31" s="514"/>
      <c r="I31" s="515"/>
      <c r="J31" s="570"/>
      <c r="K31" s="66"/>
      <c r="L31" s="470"/>
      <c r="M31" s="6"/>
      <c r="N31" s="6"/>
      <c r="O31" s="508"/>
      <c r="P31" s="509"/>
      <c r="Q31" s="6"/>
      <c r="R31" s="6"/>
      <c r="S31" s="508"/>
      <c r="T31" s="66"/>
      <c r="U31" s="470"/>
      <c r="V31" s="6"/>
      <c r="W31" s="6"/>
      <c r="X31" s="508"/>
      <c r="Y31" s="509"/>
      <c r="Z31" s="6"/>
      <c r="AA31" s="6"/>
      <c r="AB31" s="508"/>
      <c r="AC31" s="66"/>
      <c r="AD31" s="470"/>
      <c r="AE31" s="6">
        <v>20</v>
      </c>
      <c r="AF31" s="6"/>
      <c r="AG31" s="508"/>
      <c r="AH31" s="509"/>
      <c r="AI31" s="6" t="s">
        <v>334</v>
      </c>
      <c r="AJ31" s="6"/>
      <c r="AK31" s="508"/>
    </row>
    <row r="32" spans="1:37" ht="16.95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14"/>
      <c r="I32" s="571"/>
      <c r="J32" s="572"/>
      <c r="K32" s="66"/>
      <c r="L32" s="470"/>
      <c r="M32" s="6"/>
      <c r="N32" s="6"/>
      <c r="O32" s="508"/>
      <c r="P32" s="509"/>
      <c r="Q32" s="6"/>
      <c r="R32" s="6"/>
      <c r="S32" s="508"/>
      <c r="T32" s="66"/>
      <c r="U32" s="470"/>
      <c r="V32" s="6"/>
      <c r="W32" s="6">
        <v>10</v>
      </c>
      <c r="X32" s="508"/>
      <c r="Y32" s="509"/>
      <c r="Z32" s="6"/>
      <c r="AA32" s="6" t="s">
        <v>152</v>
      </c>
      <c r="AB32" s="508"/>
      <c r="AC32" s="66"/>
      <c r="AD32" s="470"/>
      <c r="AE32" s="6"/>
      <c r="AF32" s="6"/>
      <c r="AG32" s="508"/>
      <c r="AH32" s="509"/>
      <c r="AI32" s="6"/>
      <c r="AJ32" s="6"/>
      <c r="AK32" s="508"/>
    </row>
    <row r="33" spans="1:37" x14ac:dyDescent="0.35">
      <c r="A33" s="1478">
        <v>44667</v>
      </c>
      <c r="B33" s="472">
        <v>1</v>
      </c>
      <c r="C33" s="493"/>
      <c r="D33" s="494"/>
      <c r="E33" s="494"/>
      <c r="F33" s="495"/>
      <c r="G33" s="566"/>
      <c r="H33" s="514"/>
      <c r="I33" s="573"/>
      <c r="J33" s="574"/>
      <c r="K33" s="66"/>
      <c r="L33" s="470"/>
      <c r="M33" s="6"/>
      <c r="N33" s="6"/>
      <c r="O33" s="508"/>
      <c r="P33" s="509"/>
      <c r="Q33" s="6"/>
      <c r="R33" s="6"/>
      <c r="S33" s="508"/>
      <c r="T33" s="66"/>
      <c r="U33" s="470"/>
      <c r="V33" s="6"/>
      <c r="W33" s="6"/>
      <c r="X33" s="508"/>
      <c r="Y33" s="509"/>
      <c r="Z33" s="6"/>
      <c r="AA33" s="6"/>
      <c r="AB33" s="508"/>
      <c r="AC33" s="66"/>
      <c r="AD33" s="470"/>
      <c r="AE33" s="6"/>
      <c r="AF33" s="6"/>
      <c r="AG33" s="508"/>
      <c r="AH33" s="509"/>
      <c r="AI33" s="502"/>
      <c r="AJ33" s="6"/>
      <c r="AK33" s="508"/>
    </row>
    <row r="34" spans="1:37" ht="42.45" x14ac:dyDescent="0.35">
      <c r="A34" s="1477"/>
      <c r="B34" s="534">
        <v>2</v>
      </c>
      <c r="C34" s="494"/>
      <c r="D34" s="494">
        <v>59</v>
      </c>
      <c r="E34" s="494"/>
      <c r="F34" s="495"/>
      <c r="G34" s="566"/>
      <c r="H34" s="515" t="s">
        <v>374</v>
      </c>
      <c r="I34" s="515"/>
      <c r="J34" s="575"/>
      <c r="K34" s="66"/>
      <c r="L34" s="470"/>
      <c r="M34" s="6"/>
      <c r="N34" s="6"/>
      <c r="O34" s="508"/>
      <c r="P34" s="509"/>
      <c r="Q34" s="515"/>
      <c r="R34" s="6"/>
      <c r="S34" s="508"/>
      <c r="T34" s="66"/>
      <c r="U34" s="470"/>
      <c r="V34" s="6"/>
      <c r="W34" s="6"/>
      <c r="X34" s="508"/>
      <c r="Y34" s="6"/>
      <c r="Z34" s="502"/>
      <c r="AA34" s="502"/>
      <c r="AB34" s="508"/>
      <c r="AC34" s="66"/>
      <c r="AD34" s="470"/>
      <c r="AE34" s="6"/>
      <c r="AF34" s="6"/>
      <c r="AG34" s="508"/>
      <c r="AH34" s="509"/>
      <c r="AI34" s="6"/>
      <c r="AJ34" s="6"/>
      <c r="AK34" s="508"/>
    </row>
    <row r="35" spans="1:37" x14ac:dyDescent="0.35">
      <c r="A35" s="1478">
        <v>44668</v>
      </c>
      <c r="B35" s="472">
        <v>1</v>
      </c>
      <c r="C35" s="494"/>
      <c r="D35" s="494"/>
      <c r="E35" s="494"/>
      <c r="F35" s="495"/>
      <c r="G35" s="566"/>
      <c r="H35" s="514"/>
      <c r="I35" s="515"/>
      <c r="J35" s="568"/>
      <c r="K35" s="66"/>
      <c r="L35" s="470"/>
      <c r="M35" s="6"/>
      <c r="N35" s="6"/>
      <c r="O35" s="508"/>
      <c r="P35" s="465"/>
      <c r="Q35" s="576"/>
      <c r="R35" s="515"/>
      <c r="S35" s="508"/>
      <c r="T35" s="66"/>
      <c r="U35" s="470"/>
      <c r="V35" s="6"/>
      <c r="W35" s="6">
        <v>10</v>
      </c>
      <c r="X35" s="508"/>
      <c r="Y35" s="509"/>
      <c r="Z35" s="502"/>
      <c r="AA35" s="6" t="s">
        <v>152</v>
      </c>
      <c r="AB35" s="508"/>
      <c r="AC35" s="66"/>
      <c r="AD35" s="470"/>
      <c r="AE35" s="6"/>
      <c r="AF35" s="6"/>
      <c r="AG35" s="508"/>
      <c r="AH35" s="509"/>
      <c r="AI35" s="515"/>
      <c r="AJ35" s="515"/>
      <c r="AK35" s="508"/>
    </row>
    <row r="36" spans="1:37" x14ac:dyDescent="0.35">
      <c r="A36" s="1477"/>
      <c r="B36" s="472">
        <v>2</v>
      </c>
      <c r="C36" s="494"/>
      <c r="D36" s="494"/>
      <c r="E36" s="494"/>
      <c r="F36" s="495"/>
      <c r="G36" s="565"/>
      <c r="H36" s="515"/>
      <c r="I36" s="515"/>
      <c r="J36" s="568"/>
      <c r="K36" s="66"/>
      <c r="L36" s="465"/>
      <c r="M36" s="6"/>
      <c r="N36" s="6"/>
      <c r="O36" s="508"/>
      <c r="P36" s="465"/>
      <c r="Q36" s="576"/>
      <c r="R36" s="6"/>
      <c r="S36" s="508"/>
      <c r="T36" s="66"/>
      <c r="U36" s="470"/>
      <c r="V36" s="6"/>
      <c r="W36" s="6"/>
      <c r="X36" s="508"/>
      <c r="Y36" s="509"/>
      <c r="Z36" s="502"/>
      <c r="AA36" s="502"/>
      <c r="AB36" s="508"/>
      <c r="AC36" s="66"/>
      <c r="AD36" s="470"/>
      <c r="AE36" s="6"/>
      <c r="AF36" s="6"/>
      <c r="AG36" s="508"/>
      <c r="AH36" s="509"/>
      <c r="AI36" s="502"/>
      <c r="AJ36" s="502"/>
      <c r="AK36" s="508"/>
    </row>
    <row r="37" spans="1:37" x14ac:dyDescent="0.35">
      <c r="A37" s="1478">
        <v>44669</v>
      </c>
      <c r="B37" s="534">
        <v>1</v>
      </c>
      <c r="C37" s="494"/>
      <c r="D37" s="494"/>
      <c r="E37" s="494"/>
      <c r="F37" s="495"/>
      <c r="G37" s="566"/>
      <c r="H37" s="514"/>
      <c r="I37" s="515"/>
      <c r="J37" s="568"/>
      <c r="K37" s="66"/>
      <c r="L37" s="470"/>
      <c r="M37" s="6"/>
      <c r="N37" s="6"/>
      <c r="O37" s="508"/>
      <c r="P37" s="509"/>
      <c r="Q37" s="6"/>
      <c r="R37" s="6"/>
      <c r="S37" s="508"/>
      <c r="T37" s="66"/>
      <c r="U37" s="470"/>
      <c r="V37" s="6"/>
      <c r="W37" s="6"/>
      <c r="X37" s="508"/>
      <c r="Y37" s="509"/>
      <c r="Z37" s="502"/>
      <c r="AA37" s="502"/>
      <c r="AB37" s="508"/>
      <c r="AC37" s="66"/>
      <c r="AD37" s="470"/>
      <c r="AE37" s="6"/>
      <c r="AF37" s="6"/>
      <c r="AG37" s="508"/>
      <c r="AH37" s="509"/>
      <c r="AI37" s="6"/>
      <c r="AJ37" s="6"/>
      <c r="AK37" s="508"/>
    </row>
    <row r="38" spans="1:37" x14ac:dyDescent="0.35">
      <c r="A38" s="1477"/>
      <c r="B38" s="472">
        <v>2</v>
      </c>
      <c r="C38" s="493"/>
      <c r="D38" s="494"/>
      <c r="E38" s="494">
        <v>15</v>
      </c>
      <c r="F38" s="495"/>
      <c r="G38" s="566"/>
      <c r="H38" s="514"/>
      <c r="I38" s="515" t="s">
        <v>152</v>
      </c>
      <c r="J38" s="568"/>
      <c r="K38" s="66"/>
      <c r="L38" s="470"/>
      <c r="M38" s="6"/>
      <c r="N38" s="6"/>
      <c r="O38" s="508"/>
      <c r="P38" s="469"/>
      <c r="Q38" s="6"/>
      <c r="R38" s="6"/>
      <c r="S38" s="508"/>
      <c r="T38" s="66"/>
      <c r="U38" s="470"/>
      <c r="V38" s="6"/>
      <c r="W38" s="6">
        <v>10</v>
      </c>
      <c r="X38" s="508"/>
      <c r="Y38" s="509"/>
      <c r="Z38" s="6"/>
      <c r="AA38" s="6" t="s">
        <v>152</v>
      </c>
      <c r="AB38" s="508"/>
      <c r="AC38" s="66"/>
      <c r="AD38" s="470"/>
      <c r="AE38" s="6"/>
      <c r="AF38" s="6">
        <v>25</v>
      </c>
      <c r="AG38" s="508"/>
      <c r="AH38" s="509"/>
      <c r="AI38" s="6"/>
      <c r="AJ38" s="6" t="s">
        <v>152</v>
      </c>
      <c r="AK38" s="508"/>
    </row>
    <row r="39" spans="1:37" ht="28.3" x14ac:dyDescent="0.35">
      <c r="A39" s="1478">
        <v>44670</v>
      </c>
      <c r="B39" s="472">
        <v>1</v>
      </c>
      <c r="C39" s="493"/>
      <c r="D39" s="494"/>
      <c r="E39" s="494">
        <v>55</v>
      </c>
      <c r="F39" s="495"/>
      <c r="G39" s="566"/>
      <c r="H39" s="514"/>
      <c r="I39" s="515" t="s">
        <v>375</v>
      </c>
      <c r="J39" s="568"/>
      <c r="K39" s="66"/>
      <c r="L39" s="470"/>
      <c r="M39" s="6"/>
      <c r="N39" s="6"/>
      <c r="O39" s="508"/>
      <c r="P39" s="509"/>
      <c r="Q39" s="6"/>
      <c r="R39" s="6"/>
      <c r="S39" s="508"/>
      <c r="T39" s="66"/>
      <c r="U39" s="470"/>
      <c r="V39" s="6"/>
      <c r="W39" s="6">
        <v>54</v>
      </c>
      <c r="X39" s="508"/>
      <c r="Y39" s="509"/>
      <c r="Z39" s="6"/>
      <c r="AA39" s="502" t="s">
        <v>152</v>
      </c>
      <c r="AB39" s="508"/>
      <c r="AC39" s="66"/>
      <c r="AD39" s="470"/>
      <c r="AE39" s="6"/>
      <c r="AF39" s="6"/>
      <c r="AG39" s="508"/>
      <c r="AH39" s="509"/>
      <c r="AI39" s="6"/>
      <c r="AJ39" s="6"/>
      <c r="AK39" s="508"/>
    </row>
    <row r="40" spans="1:37" x14ac:dyDescent="0.35">
      <c r="A40" s="1477"/>
      <c r="B40" s="472">
        <v>2</v>
      </c>
      <c r="C40" s="493"/>
      <c r="D40" s="494"/>
      <c r="E40" s="494"/>
      <c r="F40" s="495"/>
      <c r="G40" s="566"/>
      <c r="H40" s="514"/>
      <c r="I40" s="515"/>
      <c r="J40" s="568"/>
      <c r="K40" s="66"/>
      <c r="L40" s="470"/>
      <c r="M40" s="6"/>
      <c r="N40" s="6"/>
      <c r="O40" s="508"/>
      <c r="P40" s="509"/>
      <c r="Q40" s="6"/>
      <c r="R40" s="6"/>
      <c r="S40" s="508"/>
      <c r="T40" s="66"/>
      <c r="U40" s="470"/>
      <c r="V40" s="6"/>
      <c r="W40" s="6">
        <v>20</v>
      </c>
      <c r="X40" s="508"/>
      <c r="Y40" s="509"/>
      <c r="Z40" s="6"/>
      <c r="AA40" s="502" t="s">
        <v>152</v>
      </c>
      <c r="AB40" s="508"/>
      <c r="AC40" s="66"/>
      <c r="AD40" s="470"/>
      <c r="AE40" s="6"/>
      <c r="AF40" s="6"/>
      <c r="AG40" s="508"/>
      <c r="AH40" s="509"/>
      <c r="AI40" s="6"/>
      <c r="AJ40" s="6"/>
      <c r="AK40" s="508"/>
    </row>
    <row r="41" spans="1:37" ht="42.45" x14ac:dyDescent="0.35">
      <c r="A41" s="1478">
        <v>44671</v>
      </c>
      <c r="B41" s="472">
        <v>1</v>
      </c>
      <c r="C41" s="493"/>
      <c r="D41" s="494"/>
      <c r="E41" s="494"/>
      <c r="F41" s="495"/>
      <c r="G41" s="566"/>
      <c r="H41" s="515"/>
      <c r="I41" s="515"/>
      <c r="J41" s="568"/>
      <c r="K41" s="66"/>
      <c r="L41" s="470"/>
      <c r="M41" s="6"/>
      <c r="N41" s="6"/>
      <c r="O41" s="508"/>
      <c r="P41" s="509"/>
      <c r="Q41" s="6"/>
      <c r="R41" s="6"/>
      <c r="S41" s="508"/>
      <c r="T41" s="66"/>
      <c r="U41" s="470"/>
      <c r="V41" s="6"/>
      <c r="W41" s="6">
        <v>50</v>
      </c>
      <c r="X41" s="508"/>
      <c r="Y41" s="509"/>
      <c r="Z41" s="502"/>
      <c r="AA41" s="502" t="s">
        <v>376</v>
      </c>
      <c r="AB41" s="508"/>
      <c r="AC41" s="66"/>
      <c r="AD41" s="470"/>
      <c r="AE41" s="6"/>
      <c r="AF41" s="6"/>
      <c r="AG41" s="508"/>
      <c r="AH41" s="509"/>
      <c r="AI41" s="6"/>
      <c r="AJ41" s="6"/>
      <c r="AK41" s="508"/>
    </row>
    <row r="42" spans="1:37" ht="42.45" x14ac:dyDescent="0.35">
      <c r="A42" s="1477"/>
      <c r="B42" s="472">
        <v>2</v>
      </c>
      <c r="C42" s="493"/>
      <c r="D42" s="494"/>
      <c r="E42" s="494"/>
      <c r="F42" s="495"/>
      <c r="G42" s="566"/>
      <c r="H42" s="514"/>
      <c r="I42" s="515"/>
      <c r="J42" s="508"/>
      <c r="K42" s="66"/>
      <c r="L42" s="470"/>
      <c r="M42" s="6"/>
      <c r="N42" s="6"/>
      <c r="O42" s="508"/>
      <c r="P42" s="509"/>
      <c r="Q42" s="6"/>
      <c r="R42" s="6"/>
      <c r="S42" s="508"/>
      <c r="T42" s="66"/>
      <c r="U42" s="470">
        <v>130</v>
      </c>
      <c r="V42" s="6"/>
      <c r="W42" s="6"/>
      <c r="X42" s="508"/>
      <c r="Y42" s="469" t="s">
        <v>377</v>
      </c>
      <c r="Z42" s="6"/>
      <c r="AA42" s="6"/>
      <c r="AB42" s="508"/>
      <c r="AC42" s="66"/>
      <c r="AD42" s="470"/>
      <c r="AE42" s="6"/>
      <c r="AF42" s="6"/>
      <c r="AG42" s="508"/>
      <c r="AH42" s="509"/>
      <c r="AI42" s="6"/>
      <c r="AJ42" s="6"/>
      <c r="AK42" s="508"/>
    </row>
    <row r="43" spans="1:37" x14ac:dyDescent="0.35">
      <c r="A43" s="1478">
        <v>44672</v>
      </c>
      <c r="B43" s="472">
        <v>1</v>
      </c>
      <c r="C43" s="493"/>
      <c r="D43" s="494"/>
      <c r="E43" s="494"/>
      <c r="F43" s="495"/>
      <c r="G43" s="566"/>
      <c r="H43" s="514"/>
      <c r="I43" s="515"/>
      <c r="J43" s="568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/>
      <c r="W43" s="6"/>
      <c r="X43" s="508"/>
      <c r="Y43" s="509"/>
      <c r="Z43" s="6"/>
      <c r="AA43" s="502" t="s">
        <v>152</v>
      </c>
      <c r="AB43" s="508"/>
      <c r="AC43" s="66"/>
      <c r="AD43" s="470"/>
      <c r="AE43" s="6"/>
      <c r="AF43" s="6"/>
      <c r="AG43" s="508"/>
      <c r="AH43" s="502"/>
      <c r="AI43" s="6"/>
      <c r="AJ43" s="6"/>
      <c r="AK43" s="508"/>
    </row>
    <row r="44" spans="1:37" ht="56.6" x14ac:dyDescent="0.35">
      <c r="A44" s="1477"/>
      <c r="B44" s="472">
        <v>2</v>
      </c>
      <c r="C44" s="493"/>
      <c r="D44" s="494"/>
      <c r="E44" s="494"/>
      <c r="F44" s="495"/>
      <c r="G44" s="565"/>
      <c r="H44" s="514"/>
      <c r="I44" s="515"/>
      <c r="J44" s="568"/>
      <c r="K44" s="66"/>
      <c r="L44" s="470"/>
      <c r="M44" s="6"/>
      <c r="N44" s="6"/>
      <c r="O44" s="508"/>
      <c r="P44" s="509"/>
      <c r="Q44" s="6"/>
      <c r="R44" s="6"/>
      <c r="S44" s="508"/>
      <c r="T44" s="66"/>
      <c r="U44" s="470">
        <v>85</v>
      </c>
      <c r="V44" s="6"/>
      <c r="W44" s="6">
        <v>17</v>
      </c>
      <c r="X44" s="508"/>
      <c r="Y44" s="469" t="s">
        <v>378</v>
      </c>
      <c r="Z44" s="6"/>
      <c r="AA44" s="502" t="s">
        <v>152</v>
      </c>
      <c r="AB44" s="508"/>
      <c r="AC44" s="66"/>
      <c r="AD44" s="470"/>
      <c r="AE44" s="6"/>
      <c r="AF44" s="6"/>
      <c r="AG44" s="508"/>
      <c r="AH44" s="509"/>
      <c r="AI44" s="6"/>
      <c r="AJ44" s="502"/>
      <c r="AK44" s="508"/>
    </row>
    <row r="45" spans="1:37" ht="42.45" x14ac:dyDescent="0.35">
      <c r="A45" s="1478">
        <v>44673</v>
      </c>
      <c r="B45" s="472">
        <v>1</v>
      </c>
      <c r="C45" s="493"/>
      <c r="D45" s="494"/>
      <c r="E45" s="494"/>
      <c r="F45" s="495"/>
      <c r="G45" s="566"/>
      <c r="H45" s="514"/>
      <c r="I45" s="515"/>
      <c r="J45" s="568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>
        <v>38</v>
      </c>
      <c r="X45" s="508"/>
      <c r="Y45" s="509"/>
      <c r="Z45" s="6"/>
      <c r="AA45" s="502" t="s">
        <v>152</v>
      </c>
      <c r="AB45" s="508"/>
      <c r="AC45" s="66"/>
      <c r="AD45" s="470"/>
      <c r="AE45" s="6"/>
      <c r="AF45" s="6">
        <v>21</v>
      </c>
      <c r="AG45" s="508"/>
      <c r="AH45" s="509"/>
      <c r="AI45" s="6"/>
      <c r="AJ45" s="502" t="s">
        <v>379</v>
      </c>
      <c r="AK45" s="508"/>
    </row>
    <row r="46" spans="1:37" x14ac:dyDescent="0.35">
      <c r="A46" s="1477"/>
      <c r="B46" s="472">
        <v>2</v>
      </c>
      <c r="C46" s="493"/>
      <c r="D46" s="494"/>
      <c r="E46" s="494"/>
      <c r="F46" s="495"/>
      <c r="G46" s="566"/>
      <c r="H46" s="515"/>
      <c r="I46" s="515"/>
      <c r="J46" s="568"/>
      <c r="K46" s="66"/>
      <c r="L46" s="470"/>
      <c r="M46" s="6"/>
      <c r="N46" s="6"/>
      <c r="O46" s="508"/>
      <c r="P46" s="509"/>
      <c r="Q46" s="515"/>
      <c r="R46" s="6"/>
      <c r="S46" s="508"/>
      <c r="T46" s="66"/>
      <c r="U46" s="470"/>
      <c r="V46" s="6"/>
      <c r="W46" s="6"/>
      <c r="X46" s="508"/>
      <c r="Y46" s="509"/>
      <c r="Z46" s="6"/>
      <c r="AA46" s="502"/>
      <c r="AB46" s="508"/>
      <c r="AC46" s="66"/>
      <c r="AD46" s="470"/>
      <c r="AE46" s="6"/>
      <c r="AF46" s="6"/>
      <c r="AG46" s="508"/>
      <c r="AH46" s="509"/>
      <c r="AI46" s="6"/>
      <c r="AJ46" s="515"/>
      <c r="AK46" s="508"/>
    </row>
    <row r="47" spans="1:37" ht="28.3" x14ac:dyDescent="0.35">
      <c r="A47" s="1478">
        <v>44674</v>
      </c>
      <c r="B47" s="472">
        <v>1</v>
      </c>
      <c r="C47" s="493"/>
      <c r="D47" s="494"/>
      <c r="E47" s="494">
        <v>13</v>
      </c>
      <c r="F47" s="495"/>
      <c r="G47" s="566"/>
      <c r="H47" s="514"/>
      <c r="I47" s="515" t="s">
        <v>152</v>
      </c>
      <c r="J47" s="568"/>
      <c r="K47" s="66"/>
      <c r="L47" s="470"/>
      <c r="M47" s="6"/>
      <c r="N47" s="6"/>
      <c r="O47" s="508"/>
      <c r="P47" s="509"/>
      <c r="Q47" s="6"/>
      <c r="R47" s="6"/>
      <c r="S47" s="508"/>
      <c r="T47" s="66"/>
      <c r="U47" s="470"/>
      <c r="V47" s="6"/>
      <c r="W47" s="6"/>
      <c r="X47" s="508"/>
      <c r="Y47" s="509"/>
      <c r="Z47" s="502"/>
      <c r="AA47" s="502"/>
      <c r="AB47" s="508"/>
      <c r="AC47" s="66"/>
      <c r="AD47" s="470">
        <v>16</v>
      </c>
      <c r="AE47" s="6"/>
      <c r="AF47" s="6">
        <v>10</v>
      </c>
      <c r="AG47" s="508"/>
      <c r="AH47" s="469" t="s">
        <v>380</v>
      </c>
      <c r="AI47" s="6"/>
      <c r="AJ47" s="6" t="s">
        <v>152</v>
      </c>
      <c r="AK47" s="508"/>
    </row>
    <row r="48" spans="1:37" ht="113.15" x14ac:dyDescent="0.35">
      <c r="A48" s="1477"/>
      <c r="B48" s="472">
        <v>2</v>
      </c>
      <c r="C48" s="493"/>
      <c r="D48" s="494"/>
      <c r="E48" s="494">
        <v>10</v>
      </c>
      <c r="F48" s="495"/>
      <c r="G48" s="566"/>
      <c r="H48" s="515"/>
      <c r="I48" s="515" t="s">
        <v>152</v>
      </c>
      <c r="J48" s="527"/>
      <c r="K48" s="66"/>
      <c r="L48" s="470"/>
      <c r="M48" s="6"/>
      <c r="N48" s="6"/>
      <c r="O48" s="508"/>
      <c r="P48" s="509"/>
      <c r="Q48" s="515"/>
      <c r="R48" s="6"/>
      <c r="S48" s="527"/>
      <c r="T48" s="66"/>
      <c r="U48" s="470">
        <v>82</v>
      </c>
      <c r="V48" s="6"/>
      <c r="W48" s="6">
        <v>24</v>
      </c>
      <c r="X48" s="508"/>
      <c r="Y48" s="469" t="s">
        <v>381</v>
      </c>
      <c r="Z48" s="6"/>
      <c r="AA48" s="502" t="s">
        <v>152</v>
      </c>
      <c r="AB48" s="527"/>
      <c r="AC48" s="66"/>
      <c r="AD48" s="470"/>
      <c r="AE48" s="6"/>
      <c r="AF48" s="6">
        <v>8</v>
      </c>
      <c r="AG48" s="508"/>
      <c r="AH48" s="509"/>
      <c r="AI48" s="6"/>
      <c r="AJ48" s="6" t="s">
        <v>152</v>
      </c>
      <c r="AK48" s="527"/>
    </row>
    <row r="49" spans="1:37" ht="17.5" customHeight="1" x14ac:dyDescent="0.35">
      <c r="A49" s="1478">
        <v>44675</v>
      </c>
      <c r="B49" s="472">
        <v>1</v>
      </c>
      <c r="C49" s="493"/>
      <c r="D49" s="494"/>
      <c r="E49" s="494"/>
      <c r="F49" s="495"/>
      <c r="G49" s="566"/>
      <c r="H49" s="514"/>
      <c r="I49" s="515"/>
      <c r="J49" s="527"/>
      <c r="K49" s="66"/>
      <c r="L49" s="470"/>
      <c r="M49" s="6"/>
      <c r="N49" s="6"/>
      <c r="O49" s="508"/>
      <c r="P49" s="509"/>
      <c r="Q49" s="6"/>
      <c r="R49" s="6"/>
      <c r="S49" s="526"/>
      <c r="T49" s="66"/>
      <c r="U49" s="470"/>
      <c r="V49" s="6"/>
      <c r="W49" s="6"/>
      <c r="X49" s="508"/>
      <c r="Y49" s="509"/>
      <c r="Z49" s="502"/>
      <c r="AA49" s="502"/>
      <c r="AB49" s="526"/>
      <c r="AC49" s="66"/>
      <c r="AD49" s="470"/>
      <c r="AE49" s="6"/>
      <c r="AF49" s="6"/>
      <c r="AG49" s="508"/>
      <c r="AH49" s="509"/>
      <c r="AI49" s="6"/>
      <c r="AJ49" s="6"/>
      <c r="AK49" s="526"/>
    </row>
    <row r="50" spans="1:37" ht="15" customHeight="1" x14ac:dyDescent="0.35">
      <c r="A50" s="1477"/>
      <c r="B50" s="472">
        <v>2</v>
      </c>
      <c r="C50" s="493"/>
      <c r="D50" s="494"/>
      <c r="E50" s="494"/>
      <c r="F50" s="495"/>
      <c r="G50" s="565"/>
      <c r="H50" s="514"/>
      <c r="I50" s="515"/>
      <c r="J50" s="568"/>
      <c r="K50" s="66"/>
      <c r="L50" s="470"/>
      <c r="M50" s="6"/>
      <c r="N50" s="6"/>
      <c r="O50" s="508"/>
      <c r="P50" s="509"/>
      <c r="Q50" s="502"/>
      <c r="R50" s="502"/>
      <c r="S50" s="508"/>
      <c r="T50" s="66"/>
      <c r="U50" s="470"/>
      <c r="V50" s="6"/>
      <c r="W50" s="6"/>
      <c r="X50" s="508"/>
      <c r="Y50" s="469"/>
      <c r="Z50" s="502"/>
      <c r="AA50" s="502"/>
      <c r="AB50" s="508"/>
      <c r="AC50" s="66"/>
      <c r="AD50" s="470"/>
      <c r="AE50" s="6"/>
      <c r="AF50" s="6"/>
      <c r="AG50" s="508"/>
      <c r="AH50" s="509"/>
      <c r="AI50" s="6"/>
      <c r="AJ50" s="6"/>
      <c r="AK50" s="508"/>
    </row>
    <row r="51" spans="1:37" ht="16.2" customHeight="1" x14ac:dyDescent="0.35">
      <c r="A51" s="1478">
        <v>44676</v>
      </c>
      <c r="B51" s="472">
        <v>1</v>
      </c>
      <c r="C51" s="493"/>
      <c r="D51" s="494"/>
      <c r="E51" s="494"/>
      <c r="F51" s="495"/>
      <c r="G51" s="566"/>
      <c r="H51" s="514"/>
      <c r="I51" s="515"/>
      <c r="J51" s="568"/>
      <c r="K51" s="66"/>
      <c r="L51" s="470"/>
      <c r="M51" s="6"/>
      <c r="N51" s="6"/>
      <c r="O51" s="508"/>
      <c r="P51" s="509"/>
      <c r="Q51" s="6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</row>
    <row r="52" spans="1:37" ht="16.2" customHeight="1" x14ac:dyDescent="0.35">
      <c r="A52" s="1477"/>
      <c r="B52" s="472">
        <v>2</v>
      </c>
      <c r="C52" s="493"/>
      <c r="D52" s="494"/>
      <c r="E52" s="494">
        <v>12</v>
      </c>
      <c r="F52" s="495"/>
      <c r="G52" s="566"/>
      <c r="H52" s="515"/>
      <c r="I52" s="515" t="s">
        <v>152</v>
      </c>
      <c r="J52" s="527"/>
      <c r="K52" s="66"/>
      <c r="L52" s="470"/>
      <c r="M52" s="6"/>
      <c r="N52" s="6"/>
      <c r="O52" s="508"/>
      <c r="P52" s="509"/>
      <c r="Q52" s="6"/>
      <c r="R52" s="6"/>
      <c r="S52" s="527"/>
      <c r="T52" s="66"/>
      <c r="U52" s="470"/>
      <c r="V52" s="6"/>
      <c r="W52" s="6"/>
      <c r="X52" s="508"/>
      <c r="Y52" s="469"/>
      <c r="Z52" s="502"/>
      <c r="AA52" s="502"/>
      <c r="AB52" s="527"/>
      <c r="AC52" s="66"/>
      <c r="AD52" s="470"/>
      <c r="AE52" s="6">
        <v>12</v>
      </c>
      <c r="AF52" s="6"/>
      <c r="AG52" s="508"/>
      <c r="AH52" s="509"/>
      <c r="AI52" s="6" t="s">
        <v>382</v>
      </c>
      <c r="AJ52" s="6"/>
      <c r="AK52" s="527"/>
    </row>
    <row r="53" spans="1:37" x14ac:dyDescent="0.35">
      <c r="A53" s="1478">
        <v>44677</v>
      </c>
      <c r="B53" s="472">
        <v>1</v>
      </c>
      <c r="C53" s="493"/>
      <c r="D53" s="494"/>
      <c r="E53" s="494"/>
      <c r="F53" s="495"/>
      <c r="G53" s="566"/>
      <c r="H53" s="514"/>
      <c r="I53" s="514"/>
      <c r="J53" s="568"/>
      <c r="K53" s="66"/>
      <c r="L53" s="470"/>
      <c r="M53" s="6"/>
      <c r="N53" s="6"/>
      <c r="O53" s="508"/>
      <c r="P53" s="509"/>
      <c r="Q53" s="6"/>
      <c r="R53" s="6"/>
      <c r="S53" s="508"/>
      <c r="T53" s="66"/>
      <c r="U53" s="470"/>
      <c r="V53" s="6"/>
      <c r="W53" s="6"/>
      <c r="X53" s="508"/>
      <c r="Y53" s="469"/>
      <c r="Z53" s="6"/>
      <c r="AA53" s="6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</row>
    <row r="54" spans="1:37" ht="40.950000000000003" customHeight="1" x14ac:dyDescent="0.35">
      <c r="A54" s="1477"/>
      <c r="B54" s="500">
        <v>2</v>
      </c>
      <c r="C54" s="493"/>
      <c r="D54" s="494"/>
      <c r="E54" s="494">
        <v>25</v>
      </c>
      <c r="F54" s="495"/>
      <c r="G54" s="566"/>
      <c r="H54" s="514"/>
      <c r="I54" s="515" t="s">
        <v>152</v>
      </c>
      <c r="J54" s="568"/>
      <c r="K54" s="66"/>
      <c r="L54" s="470"/>
      <c r="M54" s="6"/>
      <c r="N54" s="6"/>
      <c r="O54" s="508"/>
      <c r="P54" s="509"/>
      <c r="Q54" s="6"/>
      <c r="R54" s="6"/>
      <c r="S54" s="508"/>
      <c r="T54" s="66"/>
      <c r="U54" s="470"/>
      <c r="V54" s="6"/>
      <c r="W54" s="6"/>
      <c r="X54" s="508"/>
      <c r="Y54" s="577"/>
      <c r="Z54" s="564"/>
      <c r="AA54" s="578"/>
      <c r="AB54" s="508"/>
      <c r="AC54" s="66"/>
      <c r="AD54" s="470"/>
      <c r="AE54" s="6"/>
      <c r="AF54" s="6">
        <v>15</v>
      </c>
      <c r="AG54" s="508"/>
      <c r="AH54" s="509"/>
      <c r="AI54" s="6"/>
      <c r="AJ54" s="502" t="s">
        <v>383</v>
      </c>
      <c r="AK54" s="508"/>
    </row>
    <row r="55" spans="1:37" x14ac:dyDescent="0.35">
      <c r="A55" s="1478">
        <v>44678</v>
      </c>
      <c r="B55" s="472">
        <v>1</v>
      </c>
      <c r="C55" s="493"/>
      <c r="D55" s="494"/>
      <c r="E55" s="494"/>
      <c r="F55" s="495"/>
      <c r="G55" s="566"/>
      <c r="H55" s="514"/>
      <c r="I55" s="515"/>
      <c r="J55" s="568"/>
      <c r="K55" s="66"/>
      <c r="L55" s="470"/>
      <c r="M55" s="6"/>
      <c r="N55" s="6"/>
      <c r="O55" s="508"/>
      <c r="P55" s="509"/>
      <c r="Q55" s="6"/>
      <c r="R55" s="6"/>
      <c r="S55" s="508"/>
      <c r="T55" s="66"/>
      <c r="U55" s="470"/>
      <c r="V55" s="6"/>
      <c r="W55" s="6"/>
      <c r="X55" s="508"/>
      <c r="Y55" s="509"/>
      <c r="Z55" s="6"/>
      <c r="AA55" s="6"/>
      <c r="AB55" s="508"/>
      <c r="AC55" s="66"/>
      <c r="AD55" s="470"/>
      <c r="AE55" s="6"/>
      <c r="AF55" s="6"/>
      <c r="AG55" s="508"/>
      <c r="AH55" s="509"/>
      <c r="AI55" s="6"/>
      <c r="AJ55" s="6"/>
      <c r="AK55" s="508"/>
    </row>
    <row r="56" spans="1:37" ht="28.3" x14ac:dyDescent="0.35">
      <c r="A56" s="1477"/>
      <c r="B56" s="500">
        <v>2</v>
      </c>
      <c r="C56" s="493">
        <v>13</v>
      </c>
      <c r="D56" s="494"/>
      <c r="E56" s="494"/>
      <c r="F56" s="495"/>
      <c r="G56" s="565" t="s">
        <v>315</v>
      </c>
      <c r="H56" s="514"/>
      <c r="I56" s="515"/>
      <c r="J56" s="568"/>
      <c r="K56" s="66"/>
      <c r="L56" s="470"/>
      <c r="M56" s="6"/>
      <c r="N56" s="6"/>
      <c r="O56" s="508"/>
      <c r="P56" s="509"/>
      <c r="Q56" s="6"/>
      <c r="R56" s="6"/>
      <c r="S56" s="508"/>
      <c r="T56" s="66"/>
      <c r="U56" s="470"/>
      <c r="V56" s="6"/>
      <c r="W56" s="6"/>
      <c r="X56" s="508"/>
      <c r="Y56" s="469"/>
      <c r="Z56" s="502"/>
      <c r="AA56" s="514"/>
      <c r="AB56" s="508"/>
      <c r="AC56" s="66"/>
      <c r="AD56" s="470"/>
      <c r="AE56" s="6"/>
      <c r="AF56" s="6"/>
      <c r="AG56" s="508"/>
      <c r="AH56" s="509"/>
      <c r="AI56" s="502"/>
      <c r="AJ56" s="514"/>
      <c r="AK56" s="508"/>
    </row>
    <row r="57" spans="1:37" ht="16.2" customHeight="1" x14ac:dyDescent="0.35">
      <c r="A57" s="1478">
        <v>44679</v>
      </c>
      <c r="B57" s="472">
        <v>1</v>
      </c>
      <c r="C57" s="493"/>
      <c r="D57" s="494"/>
      <c r="E57" s="494"/>
      <c r="F57" s="495"/>
      <c r="G57" s="566"/>
      <c r="H57" s="514"/>
      <c r="I57" s="515"/>
      <c r="J57" s="568"/>
      <c r="K57" s="66"/>
      <c r="L57" s="470"/>
      <c r="M57" s="6"/>
      <c r="N57" s="6"/>
      <c r="O57" s="508"/>
      <c r="P57" s="509"/>
      <c r="Q57" s="6"/>
      <c r="R57" s="502"/>
      <c r="S57" s="508"/>
      <c r="T57" s="66"/>
      <c r="U57" s="470"/>
      <c r="V57" s="6"/>
      <c r="W57" s="6"/>
      <c r="X57" s="508"/>
      <c r="Y57" s="469"/>
      <c r="Z57" s="502"/>
      <c r="AA57" s="502"/>
      <c r="AB57" s="508"/>
      <c r="AC57" s="66"/>
      <c r="AD57" s="470"/>
      <c r="AE57" s="6"/>
      <c r="AF57" s="6"/>
      <c r="AG57" s="508"/>
      <c r="AH57" s="509"/>
      <c r="AI57" s="6"/>
      <c r="AJ57" s="515"/>
      <c r="AK57" s="508"/>
    </row>
    <row r="58" spans="1:37" x14ac:dyDescent="0.35">
      <c r="A58" s="1477"/>
      <c r="B58" s="500">
        <v>2</v>
      </c>
      <c r="C58" s="493"/>
      <c r="D58" s="494"/>
      <c r="E58" s="494">
        <v>8</v>
      </c>
      <c r="F58" s="495"/>
      <c r="G58" s="565"/>
      <c r="H58" s="514"/>
      <c r="I58" s="515" t="s">
        <v>152</v>
      </c>
      <c r="J58" s="568"/>
      <c r="K58" s="66"/>
      <c r="L58" s="470"/>
      <c r="M58" s="6"/>
      <c r="N58" s="6"/>
      <c r="O58" s="508"/>
      <c r="P58" s="509"/>
      <c r="Q58" s="6"/>
      <c r="R58" s="6"/>
      <c r="S58" s="508"/>
      <c r="T58" s="66"/>
      <c r="U58" s="470"/>
      <c r="V58" s="6"/>
      <c r="W58" s="6"/>
      <c r="X58" s="508"/>
      <c r="Y58" s="509"/>
      <c r="Z58" s="502"/>
      <c r="AA58" s="6"/>
      <c r="AB58" s="508"/>
      <c r="AC58" s="66"/>
      <c r="AD58" s="470"/>
      <c r="AE58" s="6"/>
      <c r="AF58" s="6"/>
      <c r="AG58" s="508"/>
      <c r="AH58" s="509"/>
      <c r="AI58" s="6"/>
      <c r="AJ58" s="6"/>
      <c r="AK58" s="508"/>
    </row>
    <row r="59" spans="1:37" x14ac:dyDescent="0.35">
      <c r="A59" s="1478">
        <v>44680</v>
      </c>
      <c r="B59" s="472">
        <v>1</v>
      </c>
      <c r="C59" s="493"/>
      <c r="D59" s="494"/>
      <c r="E59" s="494"/>
      <c r="F59" s="495"/>
      <c r="G59" s="566"/>
      <c r="H59" s="514"/>
      <c r="I59" s="6"/>
      <c r="J59" s="568"/>
      <c r="K59" s="66"/>
      <c r="L59" s="470"/>
      <c r="M59" s="6"/>
      <c r="N59" s="6"/>
      <c r="O59" s="508"/>
      <c r="P59" s="509"/>
      <c r="Q59" s="502"/>
      <c r="R59" s="6"/>
      <c r="S59" s="508"/>
      <c r="T59" s="66"/>
      <c r="U59" s="470"/>
      <c r="V59" s="6"/>
      <c r="W59" s="6"/>
      <c r="X59" s="508"/>
      <c r="Y59" s="509"/>
      <c r="Z59" s="6"/>
      <c r="AA59" s="6"/>
      <c r="AB59" s="508"/>
      <c r="AC59" s="66"/>
      <c r="AD59" s="470"/>
      <c r="AE59" s="6"/>
      <c r="AF59" s="6"/>
      <c r="AG59" s="508"/>
      <c r="AH59" s="469"/>
      <c r="AI59" s="6"/>
      <c r="AJ59" s="6"/>
      <c r="AK59" s="508"/>
    </row>
    <row r="60" spans="1:37" ht="84.9" x14ac:dyDescent="0.35">
      <c r="A60" s="1477"/>
      <c r="B60" s="500">
        <v>2</v>
      </c>
      <c r="C60" s="493"/>
      <c r="D60" s="494"/>
      <c r="E60" s="494">
        <v>15</v>
      </c>
      <c r="F60" s="495"/>
      <c r="G60" s="565"/>
      <c r="H60" s="515"/>
      <c r="I60" s="515" t="s">
        <v>152</v>
      </c>
      <c r="J60" s="570"/>
      <c r="K60" s="66"/>
      <c r="L60" s="470"/>
      <c r="M60" s="6"/>
      <c r="N60" s="6"/>
      <c r="O60" s="508"/>
      <c r="P60" s="509"/>
      <c r="Q60" s="6"/>
      <c r="R60" s="6"/>
      <c r="S60" s="508"/>
      <c r="T60" s="66"/>
      <c r="U60" s="470">
        <v>42</v>
      </c>
      <c r="V60" s="6"/>
      <c r="W60" s="6"/>
      <c r="X60" s="508"/>
      <c r="Y60" s="469" t="s">
        <v>384</v>
      </c>
      <c r="Z60" s="502"/>
      <c r="AA60" s="6"/>
      <c r="AB60" s="508"/>
      <c r="AC60" s="66"/>
      <c r="AD60" s="470"/>
      <c r="AE60" s="6"/>
      <c r="AF60" s="6"/>
      <c r="AG60" s="508"/>
      <c r="AH60" s="509"/>
      <c r="AI60" s="6"/>
      <c r="AJ60" s="6"/>
      <c r="AK60" s="508"/>
    </row>
    <row r="61" spans="1:37" ht="17.5" customHeight="1" x14ac:dyDescent="0.35">
      <c r="A61" s="1478">
        <v>44681</v>
      </c>
      <c r="B61" s="472">
        <v>1</v>
      </c>
      <c r="C61" s="587"/>
      <c r="D61" s="588"/>
      <c r="E61" s="588"/>
      <c r="F61" s="589"/>
      <c r="G61" s="598"/>
      <c r="H61" s="590"/>
      <c r="I61" s="591"/>
      <c r="J61" s="572"/>
      <c r="K61" s="66"/>
      <c r="L61" s="470"/>
      <c r="M61" s="6"/>
      <c r="N61" s="6"/>
      <c r="O61" s="495"/>
      <c r="P61" s="598"/>
      <c r="Q61" s="590"/>
      <c r="R61" s="590"/>
      <c r="S61" s="599"/>
      <c r="T61" s="66"/>
      <c r="U61" s="470"/>
      <c r="V61" s="6"/>
      <c r="W61" s="6"/>
      <c r="X61" s="495"/>
      <c r="Y61" s="566"/>
      <c r="Z61" s="514"/>
      <c r="AA61" s="514"/>
      <c r="AB61" s="563"/>
      <c r="AC61" s="66"/>
      <c r="AD61" s="470"/>
      <c r="AE61" s="6"/>
      <c r="AF61" s="6"/>
      <c r="AG61" s="495"/>
      <c r="AH61" s="566"/>
      <c r="AI61" s="514"/>
      <c r="AJ61" s="514"/>
      <c r="AK61" s="586"/>
    </row>
    <row r="62" spans="1:37" x14ac:dyDescent="0.35">
      <c r="A62" s="1477"/>
      <c r="B62" s="592">
        <v>2</v>
      </c>
      <c r="C62" s="610"/>
      <c r="D62" s="611"/>
      <c r="E62" s="611"/>
      <c r="F62" s="612"/>
      <c r="G62" s="613"/>
      <c r="H62" s="614"/>
      <c r="I62" s="615"/>
      <c r="J62" s="616"/>
      <c r="K62" s="66"/>
      <c r="L62" s="531"/>
      <c r="M62" s="530"/>
      <c r="N62" s="530"/>
      <c r="O62" s="528"/>
      <c r="P62" s="595"/>
      <c r="Q62" s="596"/>
      <c r="R62" s="596"/>
      <c r="S62" s="597"/>
      <c r="T62" s="66"/>
      <c r="U62" s="531"/>
      <c r="V62" s="530"/>
      <c r="W62" s="530"/>
      <c r="X62" s="528"/>
      <c r="Y62" s="529"/>
      <c r="Z62" s="530"/>
      <c r="AA62" s="559"/>
      <c r="AB62" s="593"/>
      <c r="AC62" s="66"/>
      <c r="AD62" s="531"/>
      <c r="AE62" s="530"/>
      <c r="AF62" s="530"/>
      <c r="AG62" s="528"/>
      <c r="AH62" s="529"/>
      <c r="AI62" s="530"/>
      <c r="AJ62" s="530"/>
      <c r="AK62" s="594"/>
    </row>
    <row r="63" spans="1:37" x14ac:dyDescent="0.35">
      <c r="A63" s="423" t="s">
        <v>225</v>
      </c>
      <c r="C63" s="65">
        <f>SUM(C3:C62)</f>
        <v>298</v>
      </c>
      <c r="D63" s="65">
        <f>SUM(D3:D62)</f>
        <v>81</v>
      </c>
      <c r="E63" s="65">
        <f>SUM(E3:E62)</f>
        <v>1130</v>
      </c>
      <c r="F63" s="65">
        <f>SUM(F3:F62)</f>
        <v>0</v>
      </c>
      <c r="L63" s="65">
        <f>SUM(L3:L62)</f>
        <v>0</v>
      </c>
      <c r="M63" s="65">
        <f>SUM(M3:M62)</f>
        <v>168</v>
      </c>
      <c r="N63" s="65">
        <f>SUM(N3:N62)</f>
        <v>680</v>
      </c>
      <c r="O63" s="65">
        <f>SUM(O3:O62)</f>
        <v>0</v>
      </c>
      <c r="U63" s="65">
        <f>SUM(U3:U62)</f>
        <v>475</v>
      </c>
      <c r="V63" s="65">
        <f>SUM(V3:V62)</f>
        <v>15</v>
      </c>
      <c r="W63" s="65">
        <f>SUM(W3:W62)</f>
        <v>1075</v>
      </c>
      <c r="X63" s="65">
        <f>SUM(X3:X62)</f>
        <v>0</v>
      </c>
      <c r="AD63" s="65">
        <f>SUM(AD3:AD62)</f>
        <v>336</v>
      </c>
      <c r="AE63" s="65">
        <f>SUM(AE3:AE62)</f>
        <v>47</v>
      </c>
      <c r="AF63" s="65">
        <f>SUM(AF3:AF62)</f>
        <v>888</v>
      </c>
      <c r="AG63" s="65">
        <f>SUM(AG3:AG62)</f>
        <v>0</v>
      </c>
    </row>
    <row r="71" spans="2:10" ht="14.6" thickBot="1" x14ac:dyDescent="0.4"/>
    <row r="72" spans="2:10" ht="22.5" customHeight="1" thickBot="1" x14ac:dyDescent="0.5">
      <c r="B72" s="354"/>
      <c r="C72" s="1349" t="s">
        <v>199</v>
      </c>
      <c r="D72" s="1350"/>
      <c r="E72" s="1347" t="s">
        <v>200</v>
      </c>
      <c r="F72" s="1348"/>
      <c r="G72" s="1349" t="s">
        <v>201</v>
      </c>
      <c r="H72" s="1350"/>
      <c r="I72" s="1349" t="s">
        <v>204</v>
      </c>
      <c r="J72" s="1350"/>
    </row>
    <row r="73" spans="2:10" ht="20.25" customHeight="1" thickBot="1" x14ac:dyDescent="0.5">
      <c r="B73" s="354"/>
      <c r="C73" s="552" t="s">
        <v>222</v>
      </c>
      <c r="D73" s="553" t="s">
        <v>223</v>
      </c>
      <c r="E73" s="554" t="s">
        <v>222</v>
      </c>
      <c r="F73" s="555" t="s">
        <v>223</v>
      </c>
      <c r="G73" s="552" t="s">
        <v>222</v>
      </c>
      <c r="H73" s="553" t="s">
        <v>223</v>
      </c>
      <c r="I73" s="552" t="s">
        <v>222</v>
      </c>
      <c r="J73" s="553" t="s">
        <v>223</v>
      </c>
    </row>
    <row r="74" spans="2:10" ht="21.75" customHeight="1" x14ac:dyDescent="0.4">
      <c r="B74" s="541" t="s">
        <v>218</v>
      </c>
      <c r="C74" s="542">
        <f>C63</f>
        <v>298</v>
      </c>
      <c r="D74" s="543">
        <f>C74/60</f>
        <v>4.9666666666666668</v>
      </c>
      <c r="E74" s="542">
        <f>D63</f>
        <v>81</v>
      </c>
      <c r="F74" s="544">
        <f>E74/60</f>
        <v>1.35</v>
      </c>
      <c r="G74" s="542">
        <f>E63</f>
        <v>1130</v>
      </c>
      <c r="H74" s="543">
        <f>G74/60</f>
        <v>18.833333333333332</v>
      </c>
      <c r="I74" s="542">
        <f>F63</f>
        <v>0</v>
      </c>
      <c r="J74" s="543">
        <f>I74/60</f>
        <v>0</v>
      </c>
    </row>
    <row r="75" spans="2:10" ht="19.5" customHeight="1" x14ac:dyDescent="0.4">
      <c r="B75" s="541" t="s">
        <v>219</v>
      </c>
      <c r="C75" s="545">
        <f>L63</f>
        <v>0</v>
      </c>
      <c r="D75" s="546">
        <f t="shared" ref="D75:F77" si="0">C75/60</f>
        <v>0</v>
      </c>
      <c r="E75" s="545">
        <f>M63</f>
        <v>168</v>
      </c>
      <c r="F75" s="547">
        <f t="shared" si="0"/>
        <v>2.8</v>
      </c>
      <c r="G75" s="545">
        <f>N63</f>
        <v>680</v>
      </c>
      <c r="H75" s="546">
        <f t="shared" ref="H75:J77" si="1">G75/60</f>
        <v>11.333333333333334</v>
      </c>
      <c r="I75" s="545">
        <f>O63</f>
        <v>0</v>
      </c>
      <c r="J75" s="546">
        <f t="shared" si="1"/>
        <v>0</v>
      </c>
    </row>
    <row r="76" spans="2:10" ht="20.25" customHeight="1" x14ac:dyDescent="0.4">
      <c r="B76" s="541" t="s">
        <v>220</v>
      </c>
      <c r="C76" s="545">
        <f>U63</f>
        <v>475</v>
      </c>
      <c r="D76" s="546">
        <f t="shared" si="0"/>
        <v>7.916666666666667</v>
      </c>
      <c r="E76" s="545">
        <f>V63</f>
        <v>15</v>
      </c>
      <c r="F76" s="547">
        <f t="shared" si="0"/>
        <v>0.25</v>
      </c>
      <c r="G76" s="545">
        <f>W63</f>
        <v>1075</v>
      </c>
      <c r="H76" s="546">
        <f t="shared" si="1"/>
        <v>17.916666666666668</v>
      </c>
      <c r="I76" s="545">
        <f>X63</f>
        <v>0</v>
      </c>
      <c r="J76" s="546">
        <f t="shared" si="1"/>
        <v>0</v>
      </c>
    </row>
    <row r="77" spans="2:10" ht="22.5" customHeight="1" thickBot="1" x14ac:dyDescent="0.45">
      <c r="B77" s="541" t="s">
        <v>221</v>
      </c>
      <c r="C77" s="548">
        <f>AD63</f>
        <v>336</v>
      </c>
      <c r="D77" s="549">
        <f t="shared" si="0"/>
        <v>5.6</v>
      </c>
      <c r="E77" s="548">
        <f>AE63</f>
        <v>47</v>
      </c>
      <c r="F77" s="550">
        <f t="shared" si="0"/>
        <v>0.78333333333333333</v>
      </c>
      <c r="G77" s="548">
        <f>AF63</f>
        <v>888</v>
      </c>
      <c r="H77" s="549">
        <f t="shared" si="1"/>
        <v>14.8</v>
      </c>
      <c r="I77" s="548">
        <f>AG63</f>
        <v>0</v>
      </c>
      <c r="J77" s="549">
        <f t="shared" si="1"/>
        <v>0</v>
      </c>
    </row>
    <row r="78" spans="2:10" ht="18.45" thickBot="1" x14ac:dyDescent="0.5">
      <c r="B78" s="354"/>
      <c r="C78" s="255"/>
      <c r="D78" s="255"/>
      <c r="E78" s="255"/>
      <c r="F78" s="255"/>
      <c r="G78" s="255"/>
      <c r="H78" s="255"/>
      <c r="I78" s="255"/>
      <c r="J78" s="255"/>
    </row>
    <row r="79" spans="2:10" ht="18.45" thickBot="1" x14ac:dyDescent="0.5">
      <c r="B79" s="551" t="s">
        <v>217</v>
      </c>
      <c r="C79" s="556"/>
      <c r="D79" s="557">
        <f>SUM(D74:D78)</f>
        <v>18.483333333333334</v>
      </c>
      <c r="E79" s="556"/>
      <c r="F79" s="557">
        <f>SUM(F74:F78)</f>
        <v>5.1833333333333336</v>
      </c>
      <c r="G79" s="556"/>
      <c r="H79" s="557">
        <f>SUM(H74:H78)</f>
        <v>62.883333333333326</v>
      </c>
      <c r="I79" s="556"/>
      <c r="J79" s="558">
        <f>SUM(J74:J78)</f>
        <v>0</v>
      </c>
    </row>
  </sheetData>
  <mergeCells count="42">
    <mergeCell ref="A11:A12"/>
    <mergeCell ref="A9:A10"/>
    <mergeCell ref="C1:F1"/>
    <mergeCell ref="G1:J1"/>
    <mergeCell ref="L1:O1"/>
    <mergeCell ref="A7:A8"/>
    <mergeCell ref="P1:S1"/>
    <mergeCell ref="AD1:AG1"/>
    <mergeCell ref="AH1:AK1"/>
    <mergeCell ref="A3:A4"/>
    <mergeCell ref="A5:A6"/>
    <mergeCell ref="U1:X1"/>
    <mergeCell ref="Y1:AB1"/>
    <mergeCell ref="A13:A14"/>
    <mergeCell ref="A15:A16"/>
    <mergeCell ref="A17:A18"/>
    <mergeCell ref="A19:A20"/>
    <mergeCell ref="A27:A28"/>
    <mergeCell ref="A21:A22"/>
    <mergeCell ref="A23:A24"/>
    <mergeCell ref="A25:A26"/>
    <mergeCell ref="A29:A30"/>
    <mergeCell ref="A55:A56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31:A32"/>
    <mergeCell ref="A33:A34"/>
    <mergeCell ref="G72:H72"/>
    <mergeCell ref="I72:J72"/>
    <mergeCell ref="A57:A58"/>
    <mergeCell ref="A59:A60"/>
    <mergeCell ref="A61:A62"/>
    <mergeCell ref="C72:D72"/>
    <mergeCell ref="E72:F72"/>
  </mergeCells>
  <pageMargins left="0.7" right="0.7" top="0.75" bottom="0.75" header="0.3" footer="0.3"/>
  <pageSetup paperSize="9" orientation="portrait" horizontalDpi="180" verticalDpi="180" r:id="rId1"/>
  <ignoredErrors>
    <ignoredError sqref="E74:E77 G74:G77 I74:I77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K81"/>
  <sheetViews>
    <sheetView zoomScale="55" zoomScaleNormal="55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H82" sqref="H82"/>
    </sheetView>
  </sheetViews>
  <sheetFormatPr defaultColWidth="8.84375" defaultRowHeight="14.15" x14ac:dyDescent="0.35"/>
  <cols>
    <col min="1" max="1" width="14.53515625" style="423" customWidth="1"/>
    <col min="2" max="2" width="15.69140625" style="65" customWidth="1"/>
    <col min="3" max="5" width="10.69140625" style="423" customWidth="1"/>
    <col min="6" max="6" width="10.3046875" style="423" customWidth="1"/>
    <col min="7" max="7" width="12.84375" style="423" customWidth="1"/>
    <col min="8" max="8" width="10.69140625" style="423" customWidth="1"/>
    <col min="9" max="9" width="16.3046875" style="423" customWidth="1"/>
    <col min="10" max="10" width="21.15234375" style="423" customWidth="1"/>
    <col min="11" max="18" width="10.69140625" style="423" customWidth="1"/>
    <col min="19" max="19" width="24.3046875" style="423" customWidth="1"/>
    <col min="20" max="25" width="10.69140625" style="423" customWidth="1"/>
    <col min="26" max="26" width="14.3046875" style="423" customWidth="1"/>
    <col min="27" max="27" width="10.69140625" style="423" customWidth="1"/>
    <col min="28" max="28" width="21.15234375" style="423" customWidth="1"/>
    <col min="29" max="33" width="10.69140625" style="423" customWidth="1"/>
    <col min="34" max="34" width="12.84375" style="423" customWidth="1"/>
    <col min="35" max="36" width="10.69140625" style="423" customWidth="1"/>
    <col min="37" max="37" width="23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202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203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14.6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30" customHeight="1" thickTop="1" x14ac:dyDescent="0.35">
      <c r="A3" s="1478">
        <v>44682</v>
      </c>
      <c r="B3" s="501">
        <v>1</v>
      </c>
      <c r="C3" s="490"/>
      <c r="D3" s="491"/>
      <c r="E3" s="491">
        <v>8</v>
      </c>
      <c r="F3" s="492"/>
      <c r="G3" s="566"/>
      <c r="H3" s="514"/>
      <c r="I3" s="515" t="s">
        <v>385</v>
      </c>
      <c r="J3" s="567"/>
      <c r="K3" s="66"/>
      <c r="L3" s="507"/>
      <c r="M3" s="522"/>
      <c r="N3" s="522"/>
      <c r="O3" s="520"/>
      <c r="P3" s="521"/>
      <c r="Q3" s="580"/>
      <c r="R3" s="581"/>
      <c r="S3" s="520"/>
      <c r="T3" s="66"/>
      <c r="U3" s="507"/>
      <c r="V3" s="522"/>
      <c r="W3" s="522"/>
      <c r="X3" s="508"/>
      <c r="Y3" s="469"/>
      <c r="Z3" s="521"/>
      <c r="AA3" s="600"/>
      <c r="AB3" s="601"/>
      <c r="AC3" s="66"/>
      <c r="AD3" s="507"/>
      <c r="AE3" s="522"/>
      <c r="AF3" s="6"/>
      <c r="AG3" s="520"/>
      <c r="AH3" s="521"/>
      <c r="AI3" s="522"/>
      <c r="AJ3" s="6"/>
      <c r="AK3" s="520"/>
    </row>
    <row r="4" spans="1:37" ht="19.95" customHeight="1" x14ac:dyDescent="0.35">
      <c r="A4" s="1477"/>
      <c r="B4" s="472">
        <v>2</v>
      </c>
      <c r="C4" s="493"/>
      <c r="D4" s="494"/>
      <c r="E4" s="494"/>
      <c r="F4" s="495"/>
      <c r="G4" s="565"/>
      <c r="H4" s="502"/>
      <c r="I4" s="514"/>
      <c r="J4" s="568"/>
      <c r="K4" s="66"/>
      <c r="L4" s="470"/>
      <c r="M4" s="6"/>
      <c r="N4" s="6"/>
      <c r="O4" s="508"/>
      <c r="P4" s="509"/>
      <c r="Q4" s="579"/>
      <c r="R4" s="28"/>
      <c r="S4" s="508"/>
      <c r="T4" s="66"/>
      <c r="U4" s="470"/>
      <c r="V4" s="502"/>
      <c r="W4" s="6"/>
      <c r="X4" s="508"/>
      <c r="Y4" s="469"/>
      <c r="Z4" s="47"/>
      <c r="AA4" s="602"/>
      <c r="AB4" s="603"/>
      <c r="AC4" s="66"/>
      <c r="AD4" s="470"/>
      <c r="AE4" s="6"/>
      <c r="AF4" s="6"/>
      <c r="AG4" s="508"/>
      <c r="AH4" s="509"/>
      <c r="AI4" s="6"/>
      <c r="AJ4" s="6"/>
      <c r="AK4" s="508"/>
    </row>
    <row r="5" spans="1:37" ht="19.95" customHeight="1" x14ac:dyDescent="0.35">
      <c r="A5" s="1478">
        <v>44683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47"/>
      <c r="AA5" s="605"/>
      <c r="AB5" s="604"/>
      <c r="AC5" s="66"/>
      <c r="AD5" s="470"/>
      <c r="AE5" s="6"/>
      <c r="AF5" s="6"/>
      <c r="AG5" s="508"/>
      <c r="AH5" s="509"/>
      <c r="AI5" s="6"/>
      <c r="AJ5" s="6"/>
      <c r="AK5" s="508"/>
    </row>
    <row r="6" spans="1:37" ht="30" customHeight="1" x14ac:dyDescent="0.35">
      <c r="A6" s="1477"/>
      <c r="B6" s="472">
        <v>2</v>
      </c>
      <c r="C6" s="493"/>
      <c r="D6" s="494"/>
      <c r="E6" s="494">
        <v>12</v>
      </c>
      <c r="F6" s="495"/>
      <c r="G6" s="566"/>
      <c r="H6" s="514"/>
      <c r="I6" s="515" t="s">
        <v>385</v>
      </c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/>
      <c r="X6" s="508"/>
      <c r="Y6" s="469"/>
      <c r="Z6" s="6"/>
      <c r="AA6" s="28"/>
      <c r="AB6" s="508"/>
      <c r="AC6" s="66"/>
      <c r="AD6" s="470"/>
      <c r="AE6" s="6"/>
      <c r="AF6" s="6">
        <v>5</v>
      </c>
      <c r="AG6" s="508"/>
      <c r="AH6" s="509"/>
      <c r="AI6" s="6"/>
      <c r="AJ6" s="502" t="s">
        <v>385</v>
      </c>
      <c r="AK6" s="508"/>
    </row>
    <row r="7" spans="1:37" ht="19.95" customHeight="1" x14ac:dyDescent="0.35">
      <c r="A7" s="1478">
        <v>44684</v>
      </c>
      <c r="B7" s="472">
        <v>1</v>
      </c>
      <c r="C7" s="493"/>
      <c r="D7" s="494"/>
      <c r="E7" s="494"/>
      <c r="F7" s="495"/>
      <c r="G7" s="566"/>
      <c r="H7" s="515"/>
      <c r="I7" s="514"/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524"/>
      <c r="W7" s="6"/>
      <c r="X7" s="508"/>
      <c r="Y7" s="509"/>
      <c r="Z7" s="6"/>
      <c r="AA7" s="606"/>
      <c r="AB7" s="508"/>
      <c r="AC7" s="66"/>
      <c r="AD7" s="470"/>
      <c r="AE7" s="6"/>
      <c r="AF7" s="6"/>
      <c r="AG7" s="508"/>
      <c r="AH7" s="509"/>
      <c r="AI7" s="6"/>
      <c r="AJ7" s="6"/>
      <c r="AK7" s="508"/>
    </row>
    <row r="8" spans="1:37" ht="31.2" customHeight="1" x14ac:dyDescent="0.35">
      <c r="A8" s="1477"/>
      <c r="B8" s="472">
        <v>2</v>
      </c>
      <c r="C8" s="493"/>
      <c r="D8" s="494"/>
      <c r="E8" s="494">
        <v>7</v>
      </c>
      <c r="F8" s="495"/>
      <c r="G8" s="565"/>
      <c r="H8" s="515"/>
      <c r="I8" s="515" t="s">
        <v>385</v>
      </c>
      <c r="J8" s="568"/>
      <c r="K8" s="66"/>
      <c r="L8" s="470"/>
      <c r="M8" s="6"/>
      <c r="N8" s="6"/>
      <c r="O8" s="508"/>
      <c r="P8" s="469"/>
      <c r="Q8" s="6"/>
      <c r="R8" s="502"/>
      <c r="S8" s="508"/>
      <c r="T8" s="66"/>
      <c r="U8" s="470"/>
      <c r="V8" s="525"/>
      <c r="W8" s="509"/>
      <c r="X8" s="508"/>
      <c r="Y8" s="469"/>
      <c r="Z8" s="6"/>
      <c r="AA8" s="28"/>
      <c r="AB8" s="508"/>
      <c r="AC8" s="66"/>
      <c r="AD8" s="470"/>
      <c r="AE8" s="6"/>
      <c r="AF8" s="6"/>
      <c r="AG8" s="508"/>
      <c r="AH8" s="509"/>
      <c r="AI8" s="6"/>
      <c r="AJ8" s="6"/>
      <c r="AK8" s="508"/>
    </row>
    <row r="9" spans="1:37" ht="19.95" customHeight="1" x14ac:dyDescent="0.35">
      <c r="A9" s="1478">
        <v>44685</v>
      </c>
      <c r="B9" s="472">
        <v>1</v>
      </c>
      <c r="C9" s="493"/>
      <c r="D9" s="494"/>
      <c r="E9" s="494">
        <v>10</v>
      </c>
      <c r="F9" s="495"/>
      <c r="G9" s="566"/>
      <c r="H9" s="514"/>
      <c r="I9" s="514" t="s">
        <v>386</v>
      </c>
      <c r="J9" s="568"/>
      <c r="K9" s="66"/>
      <c r="L9" s="470"/>
      <c r="M9" s="6"/>
      <c r="N9" s="6"/>
      <c r="O9" s="508"/>
      <c r="P9" s="469"/>
      <c r="Q9" s="6"/>
      <c r="R9" s="502"/>
      <c r="S9" s="508"/>
      <c r="T9" s="66"/>
      <c r="U9" s="470"/>
      <c r="V9" s="6"/>
      <c r="W9" s="6"/>
      <c r="X9" s="508"/>
      <c r="Y9" s="509"/>
      <c r="Z9" s="6"/>
      <c r="AA9" s="6"/>
      <c r="AB9" s="508"/>
      <c r="AC9" s="66"/>
      <c r="AD9" s="470"/>
      <c r="AE9" s="6"/>
      <c r="AF9" s="6"/>
      <c r="AG9" s="508"/>
      <c r="AH9" s="509"/>
      <c r="AI9" s="6"/>
      <c r="AJ9" s="6"/>
      <c r="AK9" s="508"/>
    </row>
    <row r="10" spans="1:37" ht="29.5" customHeight="1" x14ac:dyDescent="0.35">
      <c r="A10" s="1477"/>
      <c r="B10" s="472">
        <v>2</v>
      </c>
      <c r="C10" s="493"/>
      <c r="D10" s="494"/>
      <c r="E10" s="494">
        <v>12</v>
      </c>
      <c r="F10" s="495"/>
      <c r="G10" s="566"/>
      <c r="H10" s="514"/>
      <c r="I10" s="515" t="s">
        <v>385</v>
      </c>
      <c r="J10" s="568"/>
      <c r="K10" s="66"/>
      <c r="L10" s="470"/>
      <c r="M10" s="6"/>
      <c r="N10" s="6"/>
      <c r="O10" s="508"/>
      <c r="P10" s="469"/>
      <c r="Q10" s="6"/>
      <c r="R10" s="502"/>
      <c r="S10" s="508"/>
      <c r="T10" s="66"/>
      <c r="U10" s="470"/>
      <c r="V10" s="6"/>
      <c r="W10" s="6"/>
      <c r="X10" s="508"/>
      <c r="Y10" s="469"/>
      <c r="Z10" s="6"/>
      <c r="AA10" s="6"/>
      <c r="AB10" s="508"/>
      <c r="AC10" s="66"/>
      <c r="AD10" s="470"/>
      <c r="AE10" s="6"/>
      <c r="AF10" s="6"/>
      <c r="AG10" s="508"/>
      <c r="AH10" s="509"/>
      <c r="AI10" s="6"/>
      <c r="AJ10" s="6"/>
      <c r="AK10" s="508"/>
    </row>
    <row r="11" spans="1:37" ht="19.95" customHeight="1" x14ac:dyDescent="0.35">
      <c r="A11" s="1478">
        <v>44686</v>
      </c>
      <c r="B11" s="472">
        <v>1</v>
      </c>
      <c r="C11" s="493"/>
      <c r="D11" s="494"/>
      <c r="E11" s="494"/>
      <c r="F11" s="495"/>
      <c r="G11" s="565"/>
      <c r="H11" s="514"/>
      <c r="I11" s="515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</row>
    <row r="12" spans="1:37" ht="19.95" customHeight="1" x14ac:dyDescent="0.35">
      <c r="A12" s="1477"/>
      <c r="B12" s="472">
        <v>2</v>
      </c>
      <c r="C12" s="493"/>
      <c r="D12" s="494"/>
      <c r="E12" s="494">
        <v>10</v>
      </c>
      <c r="F12" s="495"/>
      <c r="G12" s="566"/>
      <c r="H12" s="514"/>
      <c r="I12" s="514" t="s">
        <v>386</v>
      </c>
      <c r="J12" s="568"/>
      <c r="K12" s="66"/>
      <c r="L12" s="470"/>
      <c r="M12" s="6"/>
      <c r="N12" s="6"/>
      <c r="O12" s="508"/>
      <c r="P12" s="469"/>
      <c r="Q12" s="6"/>
      <c r="R12" s="502"/>
      <c r="S12" s="508"/>
      <c r="T12" s="66"/>
      <c r="U12" s="470"/>
      <c r="V12" s="6"/>
      <c r="W12" s="6"/>
      <c r="X12" s="508"/>
      <c r="Y12" s="509"/>
      <c r="Z12" s="6"/>
      <c r="AA12" s="6"/>
      <c r="AB12" s="508"/>
      <c r="AC12" s="66"/>
      <c r="AD12" s="470"/>
      <c r="AE12" s="6"/>
      <c r="AF12" s="6"/>
      <c r="AG12" s="508"/>
      <c r="AH12" s="509"/>
      <c r="AI12" s="6"/>
      <c r="AJ12" s="6"/>
      <c r="AK12" s="508"/>
    </row>
    <row r="13" spans="1:37" ht="27.65" customHeight="1" x14ac:dyDescent="0.35">
      <c r="A13" s="1478">
        <v>44687</v>
      </c>
      <c r="B13" s="472">
        <v>1</v>
      </c>
      <c r="C13" s="493"/>
      <c r="D13" s="494"/>
      <c r="E13" s="494">
        <v>11</v>
      </c>
      <c r="F13" s="495"/>
      <c r="G13" s="566"/>
      <c r="H13" s="514"/>
      <c r="I13" s="515" t="s">
        <v>385</v>
      </c>
      <c r="J13" s="568"/>
      <c r="K13" s="66"/>
      <c r="L13" s="470"/>
      <c r="M13" s="6"/>
      <c r="N13" s="6"/>
      <c r="O13" s="508"/>
      <c r="P13" s="469"/>
      <c r="Q13" s="6"/>
      <c r="R13" s="502"/>
      <c r="S13" s="508"/>
      <c r="T13" s="66"/>
      <c r="U13" s="470"/>
      <c r="V13" s="6"/>
      <c r="W13" s="6"/>
      <c r="X13" s="508"/>
      <c r="Y13" s="469"/>
      <c r="Z13" s="6"/>
      <c r="AA13" s="502"/>
      <c r="AB13" s="526"/>
      <c r="AC13" s="66"/>
      <c r="AD13" s="470"/>
      <c r="AE13" s="6"/>
      <c r="AF13" s="6"/>
      <c r="AG13" s="508"/>
      <c r="AH13" s="509"/>
      <c r="AI13" s="6"/>
      <c r="AJ13" s="6"/>
      <c r="AK13" s="508"/>
    </row>
    <row r="14" spans="1:37" ht="55.95" customHeight="1" x14ac:dyDescent="0.35">
      <c r="A14" s="1477"/>
      <c r="B14" s="472">
        <v>2</v>
      </c>
      <c r="C14" s="493"/>
      <c r="D14" s="494"/>
      <c r="E14" s="494">
        <v>62</v>
      </c>
      <c r="F14" s="495"/>
      <c r="G14" s="566"/>
      <c r="H14" s="515"/>
      <c r="I14" s="515" t="s">
        <v>383</v>
      </c>
      <c r="J14" s="527"/>
      <c r="K14" s="66"/>
      <c r="L14" s="470"/>
      <c r="M14" s="6"/>
      <c r="N14" s="6"/>
      <c r="O14" s="508"/>
      <c r="P14" s="509"/>
      <c r="Q14" s="6"/>
      <c r="R14" s="6"/>
      <c r="S14" s="527"/>
      <c r="T14" s="66"/>
      <c r="U14" s="470"/>
      <c r="V14" s="6"/>
      <c r="W14" s="6">
        <v>14</v>
      </c>
      <c r="X14" s="508"/>
      <c r="Y14" s="509"/>
      <c r="Z14" s="6"/>
      <c r="AA14" s="571" t="s">
        <v>152</v>
      </c>
      <c r="AB14" s="607"/>
      <c r="AC14" s="66"/>
      <c r="AD14" s="470">
        <v>15</v>
      </c>
      <c r="AE14" s="6"/>
      <c r="AF14" s="6"/>
      <c r="AG14" s="508"/>
      <c r="AH14" s="469" t="s">
        <v>387</v>
      </c>
      <c r="AI14" s="6"/>
      <c r="AJ14" s="6"/>
      <c r="AK14" s="527"/>
    </row>
    <row r="15" spans="1:37" ht="43.95" customHeight="1" x14ac:dyDescent="0.35">
      <c r="A15" s="1478">
        <v>44688</v>
      </c>
      <c r="B15" s="472">
        <v>1</v>
      </c>
      <c r="C15" s="493">
        <v>81</v>
      </c>
      <c r="D15" s="494"/>
      <c r="E15" s="6"/>
      <c r="F15" s="495"/>
      <c r="G15" s="565" t="s">
        <v>315</v>
      </c>
      <c r="H15" s="515"/>
      <c r="I15" s="515"/>
      <c r="J15" s="568"/>
      <c r="K15" s="66"/>
      <c r="L15" s="470"/>
      <c r="M15" s="6"/>
      <c r="N15" s="6"/>
      <c r="O15" s="508"/>
      <c r="P15" s="470"/>
      <c r="Q15" s="515"/>
      <c r="R15" s="6"/>
      <c r="S15" s="508"/>
      <c r="T15" s="66"/>
      <c r="U15" s="470"/>
      <c r="V15" s="6"/>
      <c r="W15" s="6"/>
      <c r="X15" s="508"/>
      <c r="Y15" s="470"/>
      <c r="Z15" s="515"/>
      <c r="AA15" s="609"/>
      <c r="AB15" s="608"/>
      <c r="AC15" s="66"/>
      <c r="AD15" s="470"/>
      <c r="AE15" s="6"/>
      <c r="AF15" s="6"/>
      <c r="AG15" s="508"/>
      <c r="AH15" s="470"/>
      <c r="AI15" s="515"/>
      <c r="AJ15" s="502"/>
      <c r="AK15" s="508"/>
    </row>
    <row r="16" spans="1:37" ht="19.95" customHeight="1" x14ac:dyDescent="0.35">
      <c r="A16" s="1477"/>
      <c r="B16" s="472">
        <v>2</v>
      </c>
      <c r="C16" s="493"/>
      <c r="D16" s="494"/>
      <c r="E16" s="494">
        <v>45</v>
      </c>
      <c r="F16" s="495"/>
      <c r="G16" s="566"/>
      <c r="H16" s="514"/>
      <c r="I16" s="514" t="s">
        <v>386</v>
      </c>
      <c r="J16" s="568"/>
      <c r="K16" s="66"/>
      <c r="L16" s="470"/>
      <c r="M16" s="6"/>
      <c r="N16" s="6"/>
      <c r="O16" s="508"/>
      <c r="P16" s="470"/>
      <c r="Q16" s="6"/>
      <c r="R16" s="6"/>
      <c r="S16" s="508"/>
      <c r="T16" s="66"/>
      <c r="U16" s="470"/>
      <c r="V16" s="6"/>
      <c r="W16" s="6"/>
      <c r="X16" s="508"/>
      <c r="Y16" s="514"/>
      <c r="Z16" s="514"/>
      <c r="AA16" s="6"/>
      <c r="AB16" s="508"/>
      <c r="AC16" s="66"/>
      <c r="AD16" s="470"/>
      <c r="AE16" s="6"/>
      <c r="AF16" s="6"/>
      <c r="AG16" s="508"/>
      <c r="AH16" s="470"/>
      <c r="AI16" s="6"/>
      <c r="AJ16" s="6"/>
      <c r="AK16" s="508"/>
    </row>
    <row r="17" spans="1:37" ht="32.5" customHeight="1" x14ac:dyDescent="0.35">
      <c r="A17" s="1478">
        <v>44689</v>
      </c>
      <c r="B17" s="534">
        <v>1</v>
      </c>
      <c r="C17" s="493"/>
      <c r="D17" s="494"/>
      <c r="E17" s="494">
        <v>15</v>
      </c>
      <c r="F17" s="495"/>
      <c r="G17" s="566"/>
      <c r="H17" s="514"/>
      <c r="I17" s="515" t="s">
        <v>385</v>
      </c>
      <c r="J17" s="568"/>
      <c r="K17" s="66"/>
      <c r="L17" s="470"/>
      <c r="M17" s="6"/>
      <c r="N17" s="6"/>
      <c r="O17" s="508"/>
      <c r="P17" s="470"/>
      <c r="Q17" s="6"/>
      <c r="R17" s="6"/>
      <c r="S17" s="508"/>
      <c r="T17" s="66"/>
      <c r="U17" s="470"/>
      <c r="V17" s="6"/>
      <c r="W17" s="6"/>
      <c r="X17" s="508"/>
      <c r="Y17" s="514"/>
      <c r="Z17" s="514"/>
      <c r="AA17" s="6"/>
      <c r="AB17" s="508"/>
      <c r="AC17" s="66"/>
      <c r="AD17" s="470"/>
      <c r="AE17" s="6"/>
      <c r="AF17" s="6">
        <v>8</v>
      </c>
      <c r="AG17" s="508"/>
      <c r="AH17" s="470"/>
      <c r="AI17" s="6"/>
      <c r="AJ17" s="502" t="s">
        <v>385</v>
      </c>
      <c r="AK17" s="508"/>
    </row>
    <row r="18" spans="1:37" ht="19.95" customHeight="1" x14ac:dyDescent="0.35">
      <c r="A18" s="1477"/>
      <c r="B18" s="472">
        <v>2</v>
      </c>
      <c r="C18" s="493"/>
      <c r="D18" s="494"/>
      <c r="E18" s="494">
        <v>6</v>
      </c>
      <c r="F18" s="495"/>
      <c r="G18" s="566"/>
      <c r="H18" s="515"/>
      <c r="I18" s="514" t="s">
        <v>152</v>
      </c>
      <c r="J18" s="568"/>
      <c r="K18" s="66"/>
      <c r="L18" s="470"/>
      <c r="M18" s="6"/>
      <c r="N18" s="6"/>
      <c r="O18" s="508"/>
      <c r="P18" s="470"/>
      <c r="Q18" s="6"/>
      <c r="R18" s="6"/>
      <c r="S18" s="508"/>
      <c r="T18" s="66"/>
      <c r="U18" s="470"/>
      <c r="V18" s="6"/>
      <c r="W18" s="6"/>
      <c r="X18" s="508"/>
      <c r="Y18" s="465"/>
      <c r="Z18" s="6"/>
      <c r="AA18" s="6"/>
      <c r="AB18" s="508"/>
      <c r="AC18" s="66"/>
      <c r="AD18" s="470"/>
      <c r="AE18" s="6"/>
      <c r="AF18" s="6"/>
      <c r="AG18" s="508"/>
      <c r="AH18" s="470"/>
      <c r="AI18" s="6"/>
      <c r="AJ18" s="502"/>
      <c r="AK18" s="508"/>
    </row>
    <row r="19" spans="1:37" ht="33.65" customHeight="1" x14ac:dyDescent="0.35">
      <c r="A19" s="1478">
        <v>44690</v>
      </c>
      <c r="B19" s="472">
        <v>1</v>
      </c>
      <c r="C19" s="66"/>
      <c r="D19" s="494"/>
      <c r="E19" s="494"/>
      <c r="F19" s="495"/>
      <c r="G19" s="566"/>
      <c r="H19" s="514"/>
      <c r="I19" s="515"/>
      <c r="J19" s="568"/>
      <c r="K19" s="66"/>
      <c r="L19" s="470"/>
      <c r="M19" s="6"/>
      <c r="N19" s="6"/>
      <c r="O19" s="508"/>
      <c r="P19" s="470"/>
      <c r="Q19" s="6"/>
      <c r="R19" s="6"/>
      <c r="S19" s="508"/>
      <c r="T19" s="66"/>
      <c r="U19" s="470"/>
      <c r="V19" s="6">
        <v>164</v>
      </c>
      <c r="W19" s="6"/>
      <c r="X19" s="508"/>
      <c r="Y19" s="470"/>
      <c r="Z19" s="502" t="s">
        <v>96</v>
      </c>
      <c r="AA19" s="502"/>
      <c r="AB19" s="508"/>
      <c r="AC19" s="66"/>
      <c r="AD19" s="470"/>
      <c r="AE19" s="6"/>
      <c r="AF19" s="6"/>
      <c r="AG19" s="508"/>
      <c r="AH19" s="470"/>
      <c r="AI19" s="6"/>
      <c r="AJ19" s="502"/>
      <c r="AK19" s="508"/>
    </row>
    <row r="20" spans="1:37" ht="19.95" customHeight="1" x14ac:dyDescent="0.35">
      <c r="A20" s="1477"/>
      <c r="B20" s="472">
        <v>2</v>
      </c>
      <c r="C20" s="493"/>
      <c r="D20" s="494"/>
      <c r="E20" s="494"/>
      <c r="F20" s="495"/>
      <c r="G20" s="566"/>
      <c r="H20" s="515"/>
      <c r="I20" s="515"/>
      <c r="J20" s="568"/>
      <c r="K20" s="66"/>
      <c r="L20" s="470"/>
      <c r="M20" s="6"/>
      <c r="N20" s="6"/>
      <c r="O20" s="508"/>
      <c r="P20" s="470"/>
      <c r="Q20" s="6"/>
      <c r="R20" s="6"/>
      <c r="S20" s="508"/>
      <c r="T20" s="66"/>
      <c r="U20" s="470"/>
      <c r="V20" s="214"/>
      <c r="W20" s="6"/>
      <c r="X20" s="508"/>
      <c r="Y20" s="470"/>
      <c r="Z20" s="502"/>
      <c r="AA20" s="502"/>
      <c r="AB20" s="508"/>
      <c r="AC20" s="66"/>
      <c r="AD20" s="470"/>
      <c r="AE20" s="6"/>
      <c r="AF20" s="6"/>
      <c r="AG20" s="508"/>
      <c r="AH20" s="470"/>
      <c r="AI20" s="6"/>
      <c r="AJ20" s="6"/>
      <c r="AK20" s="508"/>
    </row>
    <row r="21" spans="1:37" ht="19.95" customHeight="1" x14ac:dyDescent="0.35">
      <c r="A21" s="1478">
        <v>44691</v>
      </c>
      <c r="B21" s="472">
        <v>1</v>
      </c>
      <c r="C21" s="493"/>
      <c r="D21" s="494"/>
      <c r="E21" s="494"/>
      <c r="F21" s="495"/>
      <c r="G21" s="569"/>
      <c r="H21" s="514"/>
      <c r="I21" s="515"/>
      <c r="J21" s="568"/>
      <c r="K21" s="66"/>
      <c r="L21" s="470"/>
      <c r="M21" s="6"/>
      <c r="N21" s="6"/>
      <c r="O21" s="508"/>
      <c r="P21" s="470"/>
      <c r="Q21" s="6"/>
      <c r="R21" s="6"/>
      <c r="S21" s="508"/>
      <c r="T21" s="66"/>
      <c r="U21" s="470"/>
      <c r="V21" s="6"/>
      <c r="W21" s="6"/>
      <c r="X21" s="508"/>
      <c r="Y21" s="470"/>
      <c r="Z21" s="6"/>
      <c r="AA21" s="502"/>
      <c r="AB21" s="508"/>
      <c r="AC21" s="66"/>
      <c r="AD21" s="470"/>
      <c r="AE21" s="6"/>
      <c r="AF21" s="6"/>
      <c r="AG21" s="508"/>
      <c r="AH21" s="470"/>
      <c r="AI21" s="6"/>
      <c r="AJ21" s="6"/>
      <c r="AK21" s="508"/>
    </row>
    <row r="22" spans="1:37" ht="19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515"/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>
        <v>5</v>
      </c>
      <c r="X22" s="495"/>
      <c r="Y22" s="470"/>
      <c r="Z22" s="6"/>
      <c r="AA22" s="502" t="s">
        <v>388</v>
      </c>
      <c r="AB22" s="527"/>
      <c r="AC22" s="66"/>
      <c r="AD22" s="470"/>
      <c r="AE22" s="6"/>
      <c r="AF22" s="6"/>
      <c r="AG22" s="495"/>
      <c r="AH22" s="470"/>
      <c r="AI22" s="6"/>
      <c r="AJ22" s="6"/>
      <c r="AK22" s="527"/>
    </row>
    <row r="23" spans="1:37" ht="19.95" customHeight="1" x14ac:dyDescent="0.35">
      <c r="A23" s="1478">
        <v>44692</v>
      </c>
      <c r="B23" s="534">
        <v>1</v>
      </c>
      <c r="C23" s="493"/>
      <c r="D23" s="494"/>
      <c r="E23" s="494"/>
      <c r="F23" s="495"/>
      <c r="G23" s="566"/>
      <c r="H23" s="514"/>
      <c r="I23" s="514"/>
      <c r="J23" s="568"/>
      <c r="K23" s="66"/>
      <c r="L23" s="470"/>
      <c r="M23" s="6"/>
      <c r="N23" s="6">
        <v>115</v>
      </c>
      <c r="O23" s="508"/>
      <c r="P23" s="470"/>
      <c r="Q23" s="6"/>
      <c r="R23" s="502" t="s">
        <v>389</v>
      </c>
      <c r="S23" s="508"/>
      <c r="T23" s="66"/>
      <c r="U23" s="470"/>
      <c r="V23" s="6"/>
      <c r="W23" s="6"/>
      <c r="X23" s="508"/>
      <c r="Y23" s="470"/>
      <c r="Z23" s="6"/>
      <c r="AA23" s="6"/>
      <c r="AB23" s="508"/>
      <c r="AC23" s="66"/>
      <c r="AD23" s="470"/>
      <c r="AE23" s="6"/>
      <c r="AF23" s="6"/>
      <c r="AG23" s="508"/>
      <c r="AH23" s="465"/>
      <c r="AI23" s="6"/>
      <c r="AJ23" s="6"/>
      <c r="AK23" s="508"/>
    </row>
    <row r="24" spans="1:37" ht="35.5" customHeight="1" x14ac:dyDescent="0.35">
      <c r="A24" s="1477"/>
      <c r="B24" s="472">
        <v>2</v>
      </c>
      <c r="C24" s="493"/>
      <c r="D24" s="494"/>
      <c r="E24" s="494"/>
      <c r="F24" s="495">
        <v>30</v>
      </c>
      <c r="G24" s="566"/>
      <c r="H24" s="514"/>
      <c r="I24" s="515"/>
      <c r="J24" s="527" t="s">
        <v>390</v>
      </c>
      <c r="K24" s="66"/>
      <c r="L24" s="470"/>
      <c r="M24" s="6"/>
      <c r="N24" s="6"/>
      <c r="O24" s="495">
        <v>30</v>
      </c>
      <c r="P24" s="566"/>
      <c r="Q24" s="514"/>
      <c r="R24" s="515"/>
      <c r="S24" s="527" t="s">
        <v>390</v>
      </c>
      <c r="T24" s="66"/>
      <c r="U24" s="470"/>
      <c r="V24" s="6"/>
      <c r="W24" s="6"/>
      <c r="X24" s="495">
        <v>30</v>
      </c>
      <c r="Y24" s="566"/>
      <c r="Z24" s="514"/>
      <c r="AA24" s="515"/>
      <c r="AB24" s="527" t="s">
        <v>390</v>
      </c>
      <c r="AC24" s="66"/>
      <c r="AD24" s="470"/>
      <c r="AE24" s="6"/>
      <c r="AF24" s="6">
        <v>6</v>
      </c>
      <c r="AG24" s="495">
        <v>30</v>
      </c>
      <c r="AH24" s="566"/>
      <c r="AI24" s="514"/>
      <c r="AJ24" s="515" t="s">
        <v>97</v>
      </c>
      <c r="AK24" s="527" t="s">
        <v>390</v>
      </c>
    </row>
    <row r="25" spans="1:37" ht="19.95" customHeight="1" x14ac:dyDescent="0.35">
      <c r="A25" s="1478">
        <v>44693</v>
      </c>
      <c r="B25" s="472">
        <v>1</v>
      </c>
      <c r="C25" s="493"/>
      <c r="D25" s="494"/>
      <c r="E25" s="494">
        <v>8</v>
      </c>
      <c r="F25" s="495"/>
      <c r="G25" s="566"/>
      <c r="H25" s="514"/>
      <c r="I25" s="515" t="s">
        <v>97</v>
      </c>
      <c r="J25" s="568"/>
      <c r="K25" s="66"/>
      <c r="L25" s="470"/>
      <c r="M25" s="6"/>
      <c r="N25" s="6"/>
      <c r="O25" s="508"/>
      <c r="P25" s="470"/>
      <c r="Q25" s="514"/>
      <c r="R25" s="6"/>
      <c r="S25" s="508"/>
      <c r="T25" s="66"/>
      <c r="U25" s="470"/>
      <c r="V25" s="6"/>
      <c r="W25" s="6"/>
      <c r="X25" s="508"/>
      <c r="Y25" s="470"/>
      <c r="Z25" s="6"/>
      <c r="AA25" s="6"/>
      <c r="AB25" s="508"/>
      <c r="AC25" s="66"/>
      <c r="AD25" s="470"/>
      <c r="AE25" s="6"/>
      <c r="AF25" s="6"/>
      <c r="AG25" s="47"/>
      <c r="AH25" s="585"/>
      <c r="AI25" s="509"/>
      <c r="AJ25" s="6"/>
      <c r="AK25" s="508"/>
    </row>
    <row r="26" spans="1:37" ht="36" customHeight="1" x14ac:dyDescent="0.35">
      <c r="A26" s="1477"/>
      <c r="B26" s="472">
        <v>2</v>
      </c>
      <c r="C26" s="493"/>
      <c r="D26" s="494"/>
      <c r="E26" s="494"/>
      <c r="F26" s="495">
        <v>640</v>
      </c>
      <c r="G26" s="566"/>
      <c r="H26" s="515"/>
      <c r="I26" s="515"/>
      <c r="J26" s="1494" t="s">
        <v>390</v>
      </c>
      <c r="K26" s="66"/>
      <c r="L26" s="470"/>
      <c r="M26" s="6"/>
      <c r="N26" s="6"/>
      <c r="O26" s="495">
        <v>640</v>
      </c>
      <c r="P26" s="566"/>
      <c r="Q26" s="515"/>
      <c r="R26" s="515"/>
      <c r="S26" s="1489" t="s">
        <v>390</v>
      </c>
      <c r="T26" s="66"/>
      <c r="U26" s="470"/>
      <c r="V26" s="494"/>
      <c r="W26" s="6"/>
      <c r="X26" s="495">
        <v>640</v>
      </c>
      <c r="Y26" s="566"/>
      <c r="Z26" s="515"/>
      <c r="AA26" s="515"/>
      <c r="AB26" s="1489" t="s">
        <v>390</v>
      </c>
      <c r="AC26" s="66"/>
      <c r="AD26" s="470"/>
      <c r="AE26" s="494"/>
      <c r="AF26" s="6"/>
      <c r="AG26" s="495">
        <v>640</v>
      </c>
      <c r="AH26" s="566"/>
      <c r="AI26" s="515"/>
      <c r="AJ26" s="515"/>
      <c r="AK26" s="1489" t="s">
        <v>390</v>
      </c>
    </row>
    <row r="27" spans="1:37" ht="19.95" customHeight="1" x14ac:dyDescent="0.35">
      <c r="A27" s="1478">
        <v>44694</v>
      </c>
      <c r="B27" s="534">
        <v>1</v>
      </c>
      <c r="C27" s="493"/>
      <c r="D27" s="494"/>
      <c r="E27" s="494"/>
      <c r="F27" s="495">
        <v>720</v>
      </c>
      <c r="G27" s="566"/>
      <c r="H27" s="514"/>
      <c r="I27" s="515"/>
      <c r="J27" s="1495"/>
      <c r="K27" s="66"/>
      <c r="L27" s="470"/>
      <c r="M27" s="6"/>
      <c r="N27" s="6"/>
      <c r="O27" s="495">
        <v>720</v>
      </c>
      <c r="P27" s="566"/>
      <c r="Q27" s="514"/>
      <c r="R27" s="515"/>
      <c r="S27" s="1497"/>
      <c r="T27" s="66"/>
      <c r="U27" s="470"/>
      <c r="V27" s="6"/>
      <c r="W27" s="6"/>
      <c r="X27" s="495">
        <v>720</v>
      </c>
      <c r="Y27" s="566"/>
      <c r="Z27" s="514"/>
      <c r="AA27" s="515"/>
      <c r="AB27" s="1497"/>
      <c r="AC27" s="66"/>
      <c r="AD27" s="470"/>
      <c r="AE27" s="6"/>
      <c r="AF27" s="6"/>
      <c r="AG27" s="495">
        <v>720</v>
      </c>
      <c r="AH27" s="566"/>
      <c r="AI27" s="514"/>
      <c r="AJ27" s="515"/>
      <c r="AK27" s="1497"/>
    </row>
    <row r="28" spans="1:37" ht="19.95" customHeight="1" x14ac:dyDescent="0.35">
      <c r="A28" s="1477"/>
      <c r="B28" s="472">
        <v>2</v>
      </c>
      <c r="C28" s="493"/>
      <c r="D28" s="494"/>
      <c r="E28" s="494"/>
      <c r="F28" s="495">
        <v>720</v>
      </c>
      <c r="G28" s="515"/>
      <c r="H28" s="514"/>
      <c r="I28" s="515"/>
      <c r="J28" s="1495"/>
      <c r="K28" s="66"/>
      <c r="L28" s="470"/>
      <c r="M28" s="6"/>
      <c r="N28" s="6"/>
      <c r="O28" s="495">
        <v>720</v>
      </c>
      <c r="P28" s="515"/>
      <c r="Q28" s="514"/>
      <c r="R28" s="515"/>
      <c r="S28" s="1497"/>
      <c r="T28" s="66"/>
      <c r="U28" s="470"/>
      <c r="V28" s="6"/>
      <c r="W28" s="6"/>
      <c r="X28" s="495">
        <v>720</v>
      </c>
      <c r="Y28" s="515"/>
      <c r="Z28" s="514"/>
      <c r="AA28" s="515"/>
      <c r="AB28" s="1497"/>
      <c r="AC28" s="66"/>
      <c r="AD28" s="470"/>
      <c r="AE28" s="6"/>
      <c r="AF28" s="6"/>
      <c r="AG28" s="495">
        <v>720</v>
      </c>
      <c r="AH28" s="515"/>
      <c r="AI28" s="514"/>
      <c r="AJ28" s="515"/>
      <c r="AK28" s="1497"/>
    </row>
    <row r="29" spans="1:37" ht="19.95" customHeight="1" x14ac:dyDescent="0.35">
      <c r="A29" s="1478">
        <v>44695</v>
      </c>
      <c r="B29" s="472">
        <v>1</v>
      </c>
      <c r="C29" s="493"/>
      <c r="D29" s="494"/>
      <c r="E29" s="494"/>
      <c r="F29" s="495">
        <v>720</v>
      </c>
      <c r="G29" s="566"/>
      <c r="H29" s="514"/>
      <c r="I29" s="515"/>
      <c r="J29" s="1495"/>
      <c r="K29" s="66"/>
      <c r="L29" s="470"/>
      <c r="M29" s="6"/>
      <c r="N29" s="6"/>
      <c r="O29" s="495">
        <v>720</v>
      </c>
      <c r="P29" s="566"/>
      <c r="Q29" s="514"/>
      <c r="R29" s="515"/>
      <c r="S29" s="1497"/>
      <c r="T29" s="66"/>
      <c r="U29" s="470"/>
      <c r="V29" s="6"/>
      <c r="W29" s="6"/>
      <c r="X29" s="495">
        <v>720</v>
      </c>
      <c r="Y29" s="566"/>
      <c r="Z29" s="514"/>
      <c r="AA29" s="515"/>
      <c r="AB29" s="1497"/>
      <c r="AC29" s="66"/>
      <c r="AD29" s="470"/>
      <c r="AE29" s="6"/>
      <c r="AF29" s="6"/>
      <c r="AG29" s="495">
        <v>720</v>
      </c>
      <c r="AH29" s="566"/>
      <c r="AI29" s="514"/>
      <c r="AJ29" s="515"/>
      <c r="AK29" s="1497"/>
    </row>
    <row r="30" spans="1:37" ht="19.95" customHeight="1" x14ac:dyDescent="0.35">
      <c r="A30" s="1477"/>
      <c r="B30" s="534">
        <v>2</v>
      </c>
      <c r="C30" s="493"/>
      <c r="D30" s="494"/>
      <c r="E30" s="494"/>
      <c r="F30" s="495">
        <v>720</v>
      </c>
      <c r="G30" s="566"/>
      <c r="H30" s="514"/>
      <c r="I30" s="515"/>
      <c r="J30" s="1495"/>
      <c r="K30" s="66"/>
      <c r="L30" s="470"/>
      <c r="M30" s="6"/>
      <c r="N30" s="6"/>
      <c r="O30" s="495">
        <v>720</v>
      </c>
      <c r="P30" s="566"/>
      <c r="Q30" s="514"/>
      <c r="R30" s="515"/>
      <c r="S30" s="1497"/>
      <c r="T30" s="66"/>
      <c r="U30" s="470"/>
      <c r="V30" s="6"/>
      <c r="W30" s="6"/>
      <c r="X30" s="495">
        <v>720</v>
      </c>
      <c r="Y30" s="566"/>
      <c r="Z30" s="514"/>
      <c r="AA30" s="515"/>
      <c r="AB30" s="1497"/>
      <c r="AC30" s="66"/>
      <c r="AD30" s="470"/>
      <c r="AE30" s="6"/>
      <c r="AF30" s="6"/>
      <c r="AG30" s="495">
        <v>720</v>
      </c>
      <c r="AH30" s="566"/>
      <c r="AI30" s="514"/>
      <c r="AJ30" s="515"/>
      <c r="AK30" s="1497"/>
    </row>
    <row r="31" spans="1:37" ht="19.95" customHeight="1" x14ac:dyDescent="0.35">
      <c r="A31" s="1478">
        <v>44696</v>
      </c>
      <c r="B31" s="472">
        <v>1</v>
      </c>
      <c r="C31" s="493"/>
      <c r="D31" s="494"/>
      <c r="E31" s="494"/>
      <c r="F31" s="495">
        <v>397</v>
      </c>
      <c r="G31" s="566"/>
      <c r="H31" s="514"/>
      <c r="I31" s="515"/>
      <c r="J31" s="1495"/>
      <c r="K31" s="66"/>
      <c r="L31" s="470"/>
      <c r="M31" s="6"/>
      <c r="N31" s="6"/>
      <c r="O31" s="495">
        <v>720</v>
      </c>
      <c r="P31" s="509"/>
      <c r="Q31" s="6"/>
      <c r="R31" s="6"/>
      <c r="S31" s="1497"/>
      <c r="T31" s="66"/>
      <c r="U31" s="470"/>
      <c r="V31" s="6"/>
      <c r="W31" s="6"/>
      <c r="X31" s="495">
        <v>720</v>
      </c>
      <c r="Y31" s="509"/>
      <c r="Z31" s="6"/>
      <c r="AA31" s="6"/>
      <c r="AB31" s="1497"/>
      <c r="AC31" s="66"/>
      <c r="AD31" s="470"/>
      <c r="AE31" s="6"/>
      <c r="AF31" s="6"/>
      <c r="AG31" s="495">
        <v>720</v>
      </c>
      <c r="AH31" s="509"/>
      <c r="AI31" s="6"/>
      <c r="AJ31" s="6"/>
      <c r="AK31" s="1497"/>
    </row>
    <row r="32" spans="1:37" ht="19.95" customHeight="1" x14ac:dyDescent="0.35">
      <c r="A32" s="1477"/>
      <c r="B32" s="472">
        <v>2</v>
      </c>
      <c r="C32" s="493"/>
      <c r="D32" s="494"/>
      <c r="E32" s="494"/>
      <c r="F32" s="495">
        <v>23</v>
      </c>
      <c r="G32" s="566"/>
      <c r="H32" s="514"/>
      <c r="I32" s="571"/>
      <c r="J32" s="1495"/>
      <c r="K32" s="66"/>
      <c r="L32" s="470"/>
      <c r="M32" s="6"/>
      <c r="N32" s="6"/>
      <c r="O32" s="508">
        <v>720</v>
      </c>
      <c r="P32" s="509"/>
      <c r="Q32" s="6"/>
      <c r="R32" s="6"/>
      <c r="S32" s="1497"/>
      <c r="T32" s="66"/>
      <c r="U32" s="470"/>
      <c r="V32" s="6"/>
      <c r="W32" s="6"/>
      <c r="X32" s="508">
        <v>720</v>
      </c>
      <c r="Y32" s="509"/>
      <c r="Z32" s="6"/>
      <c r="AA32" s="6"/>
      <c r="AB32" s="1497"/>
      <c r="AC32" s="66"/>
      <c r="AD32" s="470"/>
      <c r="AE32" s="6"/>
      <c r="AF32" s="6"/>
      <c r="AG32" s="508">
        <v>720</v>
      </c>
      <c r="AH32" s="509"/>
      <c r="AI32" s="6"/>
      <c r="AJ32" s="6"/>
      <c r="AK32" s="1497"/>
    </row>
    <row r="33" spans="1:37" ht="19.95" customHeight="1" x14ac:dyDescent="0.35">
      <c r="A33" s="1478">
        <v>44697</v>
      </c>
      <c r="B33" s="472">
        <v>1</v>
      </c>
      <c r="C33" s="493"/>
      <c r="D33" s="494"/>
      <c r="E33" s="494"/>
      <c r="F33" s="495">
        <v>50</v>
      </c>
      <c r="G33" s="566"/>
      <c r="H33" s="514"/>
      <c r="I33" s="573"/>
      <c r="J33" s="1495"/>
      <c r="K33" s="66"/>
      <c r="L33" s="470"/>
      <c r="M33" s="6"/>
      <c r="N33" s="6"/>
      <c r="O33" s="508">
        <v>720</v>
      </c>
      <c r="P33" s="509"/>
      <c r="Q33" s="6"/>
      <c r="R33" s="6"/>
      <c r="S33" s="1497"/>
      <c r="T33" s="66"/>
      <c r="U33" s="470"/>
      <c r="V33" s="6"/>
      <c r="W33" s="6"/>
      <c r="X33" s="508">
        <v>720</v>
      </c>
      <c r="Y33" s="509"/>
      <c r="Z33" s="6"/>
      <c r="AA33" s="6"/>
      <c r="AB33" s="1497"/>
      <c r="AC33" s="66"/>
      <c r="AD33" s="470"/>
      <c r="AE33" s="6"/>
      <c r="AF33" s="6"/>
      <c r="AG33" s="508">
        <v>720</v>
      </c>
      <c r="AH33" s="509"/>
      <c r="AI33" s="502"/>
      <c r="AJ33" s="6"/>
      <c r="AK33" s="1497"/>
    </row>
    <row r="34" spans="1:37" ht="19.95" customHeight="1" x14ac:dyDescent="0.35">
      <c r="A34" s="1477"/>
      <c r="B34" s="534">
        <v>2</v>
      </c>
      <c r="C34" s="494"/>
      <c r="D34" s="494"/>
      <c r="E34" s="494"/>
      <c r="F34" s="495"/>
      <c r="G34" s="566"/>
      <c r="H34" s="515"/>
      <c r="I34" s="515"/>
      <c r="J34" s="1495"/>
      <c r="K34" s="66"/>
      <c r="L34" s="470"/>
      <c r="M34" s="6"/>
      <c r="N34" s="6"/>
      <c r="O34" s="508">
        <v>720</v>
      </c>
      <c r="P34" s="509"/>
      <c r="Q34" s="515"/>
      <c r="R34" s="6"/>
      <c r="S34" s="1497"/>
      <c r="T34" s="66"/>
      <c r="U34" s="470"/>
      <c r="V34" s="6"/>
      <c r="W34" s="6"/>
      <c r="X34" s="508">
        <v>720</v>
      </c>
      <c r="Y34" s="6"/>
      <c r="Z34" s="502"/>
      <c r="AA34" s="502"/>
      <c r="AB34" s="1497"/>
      <c r="AC34" s="66"/>
      <c r="AD34" s="470"/>
      <c r="AE34" s="6"/>
      <c r="AF34" s="6"/>
      <c r="AG34" s="508">
        <v>720</v>
      </c>
      <c r="AH34" s="509"/>
      <c r="AI34" s="6"/>
      <c r="AJ34" s="6"/>
      <c r="AK34" s="1497"/>
    </row>
    <row r="35" spans="1:37" ht="19.95" customHeight="1" x14ac:dyDescent="0.35">
      <c r="A35" s="1478">
        <v>44698</v>
      </c>
      <c r="B35" s="472">
        <v>1</v>
      </c>
      <c r="C35" s="494"/>
      <c r="D35" s="494"/>
      <c r="E35" s="494"/>
      <c r="F35" s="495"/>
      <c r="G35" s="566"/>
      <c r="H35" s="514"/>
      <c r="I35" s="515"/>
      <c r="J35" s="1495"/>
      <c r="K35" s="66"/>
      <c r="L35" s="470"/>
      <c r="M35" s="6"/>
      <c r="N35" s="6"/>
      <c r="O35" s="508">
        <v>720</v>
      </c>
      <c r="P35" s="465"/>
      <c r="Q35" s="576"/>
      <c r="R35" s="515"/>
      <c r="S35" s="1497"/>
      <c r="T35" s="66"/>
      <c r="U35" s="470"/>
      <c r="V35" s="6"/>
      <c r="W35" s="6"/>
      <c r="X35" s="508">
        <v>720</v>
      </c>
      <c r="Y35" s="509"/>
      <c r="Z35" s="502"/>
      <c r="AA35" s="6"/>
      <c r="AB35" s="1497"/>
      <c r="AC35" s="66"/>
      <c r="AD35" s="470"/>
      <c r="AE35" s="6"/>
      <c r="AF35" s="6"/>
      <c r="AG35" s="508">
        <v>720</v>
      </c>
      <c r="AH35" s="509"/>
      <c r="AI35" s="515"/>
      <c r="AJ35" s="515"/>
      <c r="AK35" s="1497"/>
    </row>
    <row r="36" spans="1:37" ht="19.95" customHeight="1" x14ac:dyDescent="0.35">
      <c r="A36" s="1477"/>
      <c r="B36" s="472">
        <v>2</v>
      </c>
      <c r="C36" s="494"/>
      <c r="D36" s="494"/>
      <c r="E36" s="494"/>
      <c r="F36" s="495">
        <v>79</v>
      </c>
      <c r="G36" s="565"/>
      <c r="H36" s="515"/>
      <c r="I36" s="515"/>
      <c r="J36" s="1495"/>
      <c r="K36" s="66"/>
      <c r="L36" s="465"/>
      <c r="M36" s="6"/>
      <c r="N36" s="6"/>
      <c r="O36" s="508">
        <v>720</v>
      </c>
      <c r="P36" s="465"/>
      <c r="Q36" s="576"/>
      <c r="R36" s="6"/>
      <c r="S36" s="1497"/>
      <c r="T36" s="66"/>
      <c r="U36" s="470"/>
      <c r="V36" s="6"/>
      <c r="W36" s="6"/>
      <c r="X36" s="508">
        <v>720</v>
      </c>
      <c r="Y36" s="509"/>
      <c r="Z36" s="502"/>
      <c r="AA36" s="502"/>
      <c r="AB36" s="1497"/>
      <c r="AC36" s="66"/>
      <c r="AD36" s="470"/>
      <c r="AE36" s="6"/>
      <c r="AF36" s="6"/>
      <c r="AG36" s="508">
        <v>720</v>
      </c>
      <c r="AH36" s="509"/>
      <c r="AI36" s="502"/>
      <c r="AJ36" s="502"/>
      <c r="AK36" s="1497"/>
    </row>
    <row r="37" spans="1:37" ht="19.95" customHeight="1" x14ac:dyDescent="0.35">
      <c r="A37" s="1478">
        <v>44699</v>
      </c>
      <c r="B37" s="534">
        <v>1</v>
      </c>
      <c r="C37" s="494"/>
      <c r="D37" s="494"/>
      <c r="E37" s="494"/>
      <c r="F37" s="508">
        <v>720</v>
      </c>
      <c r="G37" s="566"/>
      <c r="H37" s="514"/>
      <c r="I37" s="515"/>
      <c r="J37" s="1495"/>
      <c r="K37" s="66"/>
      <c r="L37" s="470"/>
      <c r="M37" s="6"/>
      <c r="N37" s="6"/>
      <c r="O37" s="508">
        <v>720</v>
      </c>
      <c r="P37" s="509"/>
      <c r="Q37" s="6"/>
      <c r="R37" s="6"/>
      <c r="S37" s="1497"/>
      <c r="T37" s="66"/>
      <c r="U37" s="470"/>
      <c r="V37" s="6"/>
      <c r="W37" s="6"/>
      <c r="X37" s="508">
        <v>720</v>
      </c>
      <c r="Y37" s="509"/>
      <c r="Z37" s="502"/>
      <c r="AA37" s="502"/>
      <c r="AB37" s="1497"/>
      <c r="AC37" s="66"/>
      <c r="AD37" s="470"/>
      <c r="AE37" s="6"/>
      <c r="AF37" s="6"/>
      <c r="AG37" s="508">
        <v>720</v>
      </c>
      <c r="AH37" s="509"/>
      <c r="AI37" s="6"/>
      <c r="AJ37" s="6"/>
      <c r="AK37" s="1497"/>
    </row>
    <row r="38" spans="1:37" ht="19.95" customHeight="1" x14ac:dyDescent="0.35">
      <c r="A38" s="1477"/>
      <c r="B38" s="472">
        <v>2</v>
      </c>
      <c r="C38" s="493"/>
      <c r="D38" s="494"/>
      <c r="E38" s="494"/>
      <c r="F38" s="495">
        <v>105</v>
      </c>
      <c r="G38" s="566"/>
      <c r="H38" s="514"/>
      <c r="I38" s="515"/>
      <c r="J38" s="1495"/>
      <c r="K38" s="66"/>
      <c r="L38" s="470"/>
      <c r="M38" s="6"/>
      <c r="N38" s="6"/>
      <c r="O38" s="508">
        <v>720</v>
      </c>
      <c r="P38" s="469"/>
      <c r="Q38" s="6"/>
      <c r="R38" s="6"/>
      <c r="S38" s="1497"/>
      <c r="T38" s="66"/>
      <c r="U38" s="470"/>
      <c r="V38" s="6"/>
      <c r="W38" s="6"/>
      <c r="X38" s="508">
        <v>720</v>
      </c>
      <c r="Y38" s="509"/>
      <c r="Z38" s="6"/>
      <c r="AA38" s="6"/>
      <c r="AB38" s="1497"/>
      <c r="AC38" s="66"/>
      <c r="AD38" s="470"/>
      <c r="AE38" s="6"/>
      <c r="AF38" s="6"/>
      <c r="AG38" s="508">
        <v>720</v>
      </c>
      <c r="AH38" s="509"/>
      <c r="AI38" s="6"/>
      <c r="AJ38" s="6"/>
      <c r="AK38" s="1497"/>
    </row>
    <row r="39" spans="1:37" ht="19.95" customHeight="1" x14ac:dyDescent="0.35">
      <c r="A39" s="1478">
        <v>44700</v>
      </c>
      <c r="B39" s="472">
        <v>1</v>
      </c>
      <c r="C39" s="493"/>
      <c r="D39" s="494"/>
      <c r="E39" s="494"/>
      <c r="F39" s="495">
        <v>180</v>
      </c>
      <c r="G39" s="566"/>
      <c r="H39" s="514"/>
      <c r="I39" s="515"/>
      <c r="J39" s="1495"/>
      <c r="K39" s="66"/>
      <c r="L39" s="470"/>
      <c r="M39" s="6"/>
      <c r="N39" s="6"/>
      <c r="O39" s="508">
        <v>720</v>
      </c>
      <c r="P39" s="509"/>
      <c r="Q39" s="6"/>
      <c r="R39" s="6"/>
      <c r="S39" s="1497"/>
      <c r="T39" s="66"/>
      <c r="U39" s="470"/>
      <c r="V39" s="6"/>
      <c r="W39" s="6"/>
      <c r="X39" s="508">
        <v>720</v>
      </c>
      <c r="Y39" s="509"/>
      <c r="Z39" s="6"/>
      <c r="AA39" s="502"/>
      <c r="AB39" s="1497"/>
      <c r="AC39" s="66"/>
      <c r="AD39" s="470"/>
      <c r="AE39" s="6"/>
      <c r="AF39" s="6"/>
      <c r="AG39" s="508">
        <v>720</v>
      </c>
      <c r="AH39" s="509"/>
      <c r="AI39" s="6"/>
      <c r="AJ39" s="6"/>
      <c r="AK39" s="1497"/>
    </row>
    <row r="40" spans="1:37" ht="19.95" customHeight="1" x14ac:dyDescent="0.35">
      <c r="A40" s="1477"/>
      <c r="B40" s="472">
        <v>2</v>
      </c>
      <c r="C40" s="493"/>
      <c r="D40" s="494"/>
      <c r="E40" s="494"/>
      <c r="F40" s="508">
        <v>720</v>
      </c>
      <c r="G40" s="566"/>
      <c r="H40" s="514"/>
      <c r="I40" s="515"/>
      <c r="J40" s="1495"/>
      <c r="K40" s="66"/>
      <c r="L40" s="470"/>
      <c r="M40" s="6"/>
      <c r="N40" s="6"/>
      <c r="O40" s="508">
        <v>720</v>
      </c>
      <c r="P40" s="509"/>
      <c r="Q40" s="6"/>
      <c r="R40" s="6"/>
      <c r="S40" s="1497"/>
      <c r="T40" s="66"/>
      <c r="U40" s="470"/>
      <c r="V40" s="6"/>
      <c r="W40" s="6"/>
      <c r="X40" s="508">
        <v>720</v>
      </c>
      <c r="Y40" s="509"/>
      <c r="Z40" s="6"/>
      <c r="AA40" s="502"/>
      <c r="AB40" s="1497"/>
      <c r="AC40" s="66"/>
      <c r="AD40" s="470"/>
      <c r="AE40" s="6"/>
      <c r="AF40" s="6"/>
      <c r="AG40" s="508">
        <v>720</v>
      </c>
      <c r="AH40" s="509"/>
      <c r="AI40" s="6"/>
      <c r="AJ40" s="6"/>
      <c r="AK40" s="1497"/>
    </row>
    <row r="41" spans="1:37" ht="19.95" customHeight="1" x14ac:dyDescent="0.35">
      <c r="A41" s="1478">
        <v>44701</v>
      </c>
      <c r="B41" s="472">
        <v>1</v>
      </c>
      <c r="C41" s="493"/>
      <c r="D41" s="494"/>
      <c r="E41" s="494"/>
      <c r="F41" s="508">
        <v>720</v>
      </c>
      <c r="G41" s="566"/>
      <c r="H41" s="515"/>
      <c r="I41" s="515"/>
      <c r="J41" s="1495"/>
      <c r="K41" s="66"/>
      <c r="L41" s="470"/>
      <c r="M41" s="6"/>
      <c r="N41" s="6"/>
      <c r="O41" s="508">
        <v>720</v>
      </c>
      <c r="P41" s="509"/>
      <c r="Q41" s="6"/>
      <c r="R41" s="6"/>
      <c r="S41" s="1497"/>
      <c r="T41" s="66"/>
      <c r="U41" s="470"/>
      <c r="V41" s="6"/>
      <c r="W41" s="6"/>
      <c r="X41" s="508">
        <v>720</v>
      </c>
      <c r="Y41" s="509"/>
      <c r="Z41" s="502"/>
      <c r="AA41" s="502"/>
      <c r="AB41" s="1497"/>
      <c r="AC41" s="66"/>
      <c r="AD41" s="470"/>
      <c r="AE41" s="6"/>
      <c r="AF41" s="6"/>
      <c r="AG41" s="508">
        <v>360</v>
      </c>
      <c r="AH41" s="509"/>
      <c r="AI41" s="6"/>
      <c r="AJ41" s="6"/>
      <c r="AK41" s="1497"/>
    </row>
    <row r="42" spans="1:37" ht="19.95" customHeight="1" x14ac:dyDescent="0.35">
      <c r="A42" s="1477"/>
      <c r="B42" s="472">
        <v>2</v>
      </c>
      <c r="C42" s="493"/>
      <c r="D42" s="494"/>
      <c r="E42" s="494"/>
      <c r="F42" s="508">
        <v>720</v>
      </c>
      <c r="G42" s="566"/>
      <c r="H42" s="514"/>
      <c r="I42" s="515"/>
      <c r="J42" s="1495"/>
      <c r="K42" s="66"/>
      <c r="L42" s="470"/>
      <c r="M42" s="6"/>
      <c r="N42" s="6"/>
      <c r="O42" s="508">
        <v>720</v>
      </c>
      <c r="P42" s="509"/>
      <c r="Q42" s="6"/>
      <c r="R42" s="6"/>
      <c r="S42" s="1497"/>
      <c r="T42" s="66"/>
      <c r="U42" s="470"/>
      <c r="V42" s="6"/>
      <c r="W42" s="6"/>
      <c r="X42" s="508">
        <v>720</v>
      </c>
      <c r="Y42" s="469"/>
      <c r="Z42" s="6"/>
      <c r="AA42" s="6"/>
      <c r="AB42" s="1497"/>
      <c r="AC42" s="66"/>
      <c r="AD42" s="470"/>
      <c r="AE42" s="6"/>
      <c r="AF42" s="6"/>
      <c r="AG42" s="508">
        <v>545</v>
      </c>
      <c r="AH42" s="509"/>
      <c r="AI42" s="6"/>
      <c r="AJ42" s="6"/>
      <c r="AK42" s="1497"/>
    </row>
    <row r="43" spans="1:37" ht="19.95" customHeight="1" x14ac:dyDescent="0.35">
      <c r="A43" s="1478">
        <v>44702</v>
      </c>
      <c r="B43" s="472">
        <v>1</v>
      </c>
      <c r="C43" s="493"/>
      <c r="D43" s="494"/>
      <c r="E43" s="494"/>
      <c r="F43" s="495">
        <v>95</v>
      </c>
      <c r="G43" s="566"/>
      <c r="H43" s="514"/>
      <c r="I43" s="515"/>
      <c r="J43" s="1496"/>
      <c r="K43" s="66"/>
      <c r="L43" s="470"/>
      <c r="M43" s="6"/>
      <c r="N43" s="6"/>
      <c r="O43" s="508">
        <v>101</v>
      </c>
      <c r="P43" s="509"/>
      <c r="Q43" s="6"/>
      <c r="R43" s="6"/>
      <c r="S43" s="1490"/>
      <c r="T43" s="66"/>
      <c r="U43" s="470"/>
      <c r="V43" s="6"/>
      <c r="W43" s="6"/>
      <c r="X43" s="508">
        <v>160</v>
      </c>
      <c r="Y43" s="509"/>
      <c r="Z43" s="6"/>
      <c r="AA43" s="502"/>
      <c r="AB43" s="1490"/>
      <c r="AC43" s="66"/>
      <c r="AD43" s="470"/>
      <c r="AE43" s="6"/>
      <c r="AF43" s="6"/>
      <c r="AG43" s="508">
        <v>80</v>
      </c>
      <c r="AH43" s="502"/>
      <c r="AI43" s="6"/>
      <c r="AJ43" s="6"/>
      <c r="AK43" s="1490"/>
    </row>
    <row r="44" spans="1:37" ht="36" customHeight="1" x14ac:dyDescent="0.35">
      <c r="A44" s="1477"/>
      <c r="B44" s="472">
        <v>2</v>
      </c>
      <c r="C44" s="493"/>
      <c r="D44" s="494"/>
      <c r="E44" s="494"/>
      <c r="F44" s="495"/>
      <c r="G44" s="565"/>
      <c r="H44" s="514"/>
      <c r="I44" s="515"/>
      <c r="J44" s="568"/>
      <c r="K44" s="66"/>
      <c r="L44" s="470"/>
      <c r="M44" s="6"/>
      <c r="N44" s="6">
        <v>5</v>
      </c>
      <c r="O44" s="508"/>
      <c r="P44" s="509"/>
      <c r="Q44" s="6"/>
      <c r="R44" s="502" t="s">
        <v>336</v>
      </c>
      <c r="S44" s="508"/>
      <c r="T44" s="66"/>
      <c r="U44" s="470">
        <v>40</v>
      </c>
      <c r="V44" s="6"/>
      <c r="W44" s="6"/>
      <c r="X44" s="508"/>
      <c r="Y44" s="469" t="s">
        <v>77</v>
      </c>
      <c r="Z44" s="6"/>
      <c r="AA44" s="502"/>
      <c r="AB44" s="508"/>
      <c r="AC44" s="66"/>
      <c r="AD44" s="470"/>
      <c r="AE44" s="6"/>
      <c r="AF44" s="6"/>
      <c r="AG44" s="508"/>
      <c r="AH44" s="509"/>
      <c r="AI44" s="6"/>
      <c r="AJ44" s="502"/>
      <c r="AK44" s="508"/>
    </row>
    <row r="45" spans="1:37" ht="19.95" customHeight="1" x14ac:dyDescent="0.35">
      <c r="A45" s="1478">
        <v>44703</v>
      </c>
      <c r="B45" s="472">
        <v>1</v>
      </c>
      <c r="C45" s="493"/>
      <c r="D45" s="494"/>
      <c r="E45" s="494"/>
      <c r="F45" s="495"/>
      <c r="G45" s="566"/>
      <c r="H45" s="514"/>
      <c r="I45" s="515"/>
      <c r="J45" s="568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09"/>
      <c r="Z45" s="6"/>
      <c r="AA45" s="502"/>
      <c r="AB45" s="508"/>
      <c r="AC45" s="66"/>
      <c r="AD45" s="470"/>
      <c r="AE45" s="6">
        <v>55</v>
      </c>
      <c r="AF45" s="6"/>
      <c r="AG45" s="508"/>
      <c r="AH45" s="509"/>
      <c r="AI45" s="17"/>
      <c r="AJ45" s="502"/>
      <c r="AK45" s="508"/>
    </row>
    <row r="46" spans="1:37" ht="19.95" customHeight="1" x14ac:dyDescent="0.35">
      <c r="A46" s="1477"/>
      <c r="B46" s="472">
        <v>2</v>
      </c>
      <c r="C46" s="493"/>
      <c r="D46" s="494"/>
      <c r="E46" s="494"/>
      <c r="F46" s="495"/>
      <c r="G46" s="566"/>
      <c r="H46" s="515"/>
      <c r="I46" s="515"/>
      <c r="J46" s="568"/>
      <c r="K46" s="66"/>
      <c r="L46" s="470"/>
      <c r="M46" s="6"/>
      <c r="N46" s="6"/>
      <c r="O46" s="508"/>
      <c r="P46" s="509"/>
      <c r="Q46" s="515"/>
      <c r="R46" s="6"/>
      <c r="S46" s="508"/>
      <c r="T46" s="66"/>
      <c r="U46" s="470"/>
      <c r="V46" s="6">
        <v>30</v>
      </c>
      <c r="W46" s="6"/>
      <c r="X46" s="508"/>
      <c r="Y46" s="509"/>
      <c r="Z46" s="6" t="s">
        <v>209</v>
      </c>
      <c r="AA46" s="502"/>
      <c r="AB46" s="508"/>
      <c r="AC46" s="66"/>
      <c r="AD46" s="470"/>
      <c r="AE46" s="6"/>
      <c r="AF46" s="6"/>
      <c r="AG46" s="508"/>
      <c r="AH46" s="509"/>
      <c r="AI46" s="6"/>
      <c r="AJ46" s="515"/>
      <c r="AK46" s="508"/>
    </row>
    <row r="47" spans="1:37" ht="19.95" customHeight="1" x14ac:dyDescent="0.35">
      <c r="A47" s="1478">
        <v>44704</v>
      </c>
      <c r="B47" s="472">
        <v>1</v>
      </c>
      <c r="C47" s="493"/>
      <c r="D47" s="494"/>
      <c r="E47" s="494"/>
      <c r="F47" s="495"/>
      <c r="G47" s="566"/>
      <c r="H47" s="514"/>
      <c r="I47" s="515"/>
      <c r="J47" s="568"/>
      <c r="K47" s="66"/>
      <c r="L47" s="470"/>
      <c r="M47" s="6"/>
      <c r="N47" s="6"/>
      <c r="O47" s="508"/>
      <c r="P47" s="509"/>
      <c r="Q47" s="6"/>
      <c r="R47" s="6"/>
      <c r="S47" s="508"/>
      <c r="T47" s="66"/>
      <c r="U47" s="470"/>
      <c r="V47" s="6"/>
      <c r="W47" s="6"/>
      <c r="X47" s="508"/>
      <c r="Y47" s="509"/>
      <c r="Z47" s="502"/>
      <c r="AA47" s="502"/>
      <c r="AB47" s="508"/>
      <c r="AC47" s="66"/>
      <c r="AD47" s="470"/>
      <c r="AE47" s="6"/>
      <c r="AF47" s="6"/>
      <c r="AG47" s="508"/>
      <c r="AH47" s="469"/>
      <c r="AI47" s="6"/>
      <c r="AJ47" s="6"/>
      <c r="AK47" s="508"/>
    </row>
    <row r="48" spans="1:37" ht="19.95" customHeight="1" x14ac:dyDescent="0.35">
      <c r="A48" s="1477"/>
      <c r="B48" s="472">
        <v>2</v>
      </c>
      <c r="C48" s="493"/>
      <c r="D48" s="494"/>
      <c r="E48" s="494"/>
      <c r="F48" s="495"/>
      <c r="G48" s="566"/>
      <c r="H48" s="515"/>
      <c r="I48" s="515"/>
      <c r="J48" s="527"/>
      <c r="K48" s="66"/>
      <c r="L48" s="470"/>
      <c r="M48" s="6"/>
      <c r="N48" s="6"/>
      <c r="O48" s="508"/>
      <c r="P48" s="509"/>
      <c r="Q48" s="515"/>
      <c r="R48" s="6"/>
      <c r="S48" s="527"/>
      <c r="T48" s="66"/>
      <c r="U48" s="470"/>
      <c r="V48" s="6"/>
      <c r="W48" s="6"/>
      <c r="X48" s="508"/>
      <c r="Y48" s="469"/>
      <c r="Z48" s="6"/>
      <c r="AA48" s="502"/>
      <c r="AB48" s="527"/>
      <c r="AC48" s="66"/>
      <c r="AD48" s="470"/>
      <c r="AE48" s="6"/>
      <c r="AF48" s="6"/>
      <c r="AG48" s="508"/>
      <c r="AH48" s="509"/>
      <c r="AI48" s="6"/>
      <c r="AJ48" s="6"/>
      <c r="AK48" s="527"/>
    </row>
    <row r="49" spans="1:37" ht="19.95" customHeight="1" x14ac:dyDescent="0.35">
      <c r="A49" s="1478">
        <v>44705</v>
      </c>
      <c r="B49" s="472">
        <v>1</v>
      </c>
      <c r="C49" s="493"/>
      <c r="D49" s="494"/>
      <c r="E49" s="494"/>
      <c r="F49" s="495"/>
      <c r="G49" s="566"/>
      <c r="H49" s="514"/>
      <c r="I49" s="515"/>
      <c r="J49" s="527"/>
      <c r="K49" s="66"/>
      <c r="L49" s="470"/>
      <c r="M49" s="6"/>
      <c r="N49" s="6"/>
      <c r="O49" s="508"/>
      <c r="P49" s="509"/>
      <c r="Q49" s="6"/>
      <c r="R49" s="6"/>
      <c r="S49" s="526"/>
      <c r="T49" s="66"/>
      <c r="U49" s="470"/>
      <c r="V49" s="6"/>
      <c r="W49" s="6"/>
      <c r="X49" s="508"/>
      <c r="Y49" s="509"/>
      <c r="Z49" s="502"/>
      <c r="AA49" s="502"/>
      <c r="AB49" s="526"/>
      <c r="AC49" s="66"/>
      <c r="AD49" s="470"/>
      <c r="AE49" s="6"/>
      <c r="AF49" s="6"/>
      <c r="AG49" s="508"/>
      <c r="AH49" s="509"/>
      <c r="AI49" s="6"/>
      <c r="AJ49" s="6"/>
      <c r="AK49" s="526"/>
    </row>
    <row r="50" spans="1:37" ht="19.95" customHeight="1" x14ac:dyDescent="0.35">
      <c r="A50" s="1477"/>
      <c r="B50" s="472">
        <v>2</v>
      </c>
      <c r="C50" s="493"/>
      <c r="D50" s="494"/>
      <c r="E50" s="494"/>
      <c r="F50" s="495"/>
      <c r="G50" s="565"/>
      <c r="H50" s="514"/>
      <c r="I50" s="515"/>
      <c r="J50" s="568"/>
      <c r="K50" s="66"/>
      <c r="L50" s="470"/>
      <c r="M50" s="6"/>
      <c r="N50" s="6"/>
      <c r="O50" s="508"/>
      <c r="P50" s="509"/>
      <c r="Q50" s="502"/>
      <c r="R50" s="502"/>
      <c r="S50" s="508"/>
      <c r="T50" s="66"/>
      <c r="U50" s="470"/>
      <c r="V50" s="6"/>
      <c r="W50" s="6"/>
      <c r="X50" s="508"/>
      <c r="Y50" s="469"/>
      <c r="Z50" s="502"/>
      <c r="AA50" s="502"/>
      <c r="AB50" s="508"/>
      <c r="AC50" s="66"/>
      <c r="AD50" s="470"/>
      <c r="AE50" s="6"/>
      <c r="AF50" s="6"/>
      <c r="AG50" s="508"/>
      <c r="AH50" s="509"/>
      <c r="AI50" s="6"/>
      <c r="AJ50" s="6"/>
      <c r="AK50" s="508"/>
    </row>
    <row r="51" spans="1:37" ht="19.95" customHeight="1" x14ac:dyDescent="0.35">
      <c r="A51" s="1478">
        <v>44706</v>
      </c>
      <c r="B51" s="472">
        <v>1</v>
      </c>
      <c r="C51" s="493"/>
      <c r="D51" s="494"/>
      <c r="E51" s="494"/>
      <c r="F51" s="495"/>
      <c r="G51" s="566"/>
      <c r="H51" s="514"/>
      <c r="I51" s="515"/>
      <c r="J51" s="568"/>
      <c r="K51" s="66"/>
      <c r="L51" s="470"/>
      <c r="M51" s="6"/>
      <c r="N51" s="6"/>
      <c r="O51" s="508"/>
      <c r="P51" s="509"/>
      <c r="Q51" s="6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</row>
    <row r="52" spans="1:37" ht="31.95" customHeight="1" x14ac:dyDescent="0.35">
      <c r="A52" s="1477"/>
      <c r="B52" s="472">
        <v>2</v>
      </c>
      <c r="C52" s="493"/>
      <c r="D52" s="494"/>
      <c r="E52" s="494"/>
      <c r="F52" s="495">
        <v>113</v>
      </c>
      <c r="G52" s="566"/>
      <c r="H52" s="515"/>
      <c r="I52" s="515"/>
      <c r="J52" s="527" t="s">
        <v>390</v>
      </c>
      <c r="K52" s="66"/>
      <c r="L52" s="470"/>
      <c r="M52" s="6"/>
      <c r="N52" s="6"/>
      <c r="O52" s="508">
        <v>118</v>
      </c>
      <c r="P52" s="509"/>
      <c r="Q52" s="6"/>
      <c r="R52" s="6"/>
      <c r="S52" s="527" t="s">
        <v>390</v>
      </c>
      <c r="T52" s="66"/>
      <c r="U52" s="470"/>
      <c r="V52" s="6"/>
      <c r="W52" s="6"/>
      <c r="X52" s="508">
        <v>113</v>
      </c>
      <c r="Y52" s="469"/>
      <c r="Z52" s="502"/>
      <c r="AA52" s="502"/>
      <c r="AB52" s="527" t="s">
        <v>390</v>
      </c>
      <c r="AC52" s="66"/>
      <c r="AD52" s="470"/>
      <c r="AE52" s="6"/>
      <c r="AF52" s="6"/>
      <c r="AG52" s="508">
        <v>110</v>
      </c>
      <c r="AH52" s="509"/>
      <c r="AI52" s="6"/>
      <c r="AJ52" s="6"/>
      <c r="AK52" s="527" t="s">
        <v>390</v>
      </c>
    </row>
    <row r="53" spans="1:37" ht="34.200000000000003" customHeight="1" x14ac:dyDescent="0.35">
      <c r="A53" s="1478">
        <v>44707</v>
      </c>
      <c r="B53" s="472">
        <v>1</v>
      </c>
      <c r="C53" s="493"/>
      <c r="D53" s="494"/>
      <c r="E53" s="494"/>
      <c r="F53" s="495"/>
      <c r="G53" s="566"/>
      <c r="H53" s="514"/>
      <c r="I53" s="514"/>
      <c r="J53" s="568"/>
      <c r="K53" s="66"/>
      <c r="L53" s="470">
        <v>64</v>
      </c>
      <c r="M53" s="6">
        <v>6</v>
      </c>
      <c r="N53" s="6"/>
      <c r="O53" s="508"/>
      <c r="P53" s="469" t="s">
        <v>392</v>
      </c>
      <c r="Q53" s="6" t="s">
        <v>391</v>
      </c>
      <c r="R53" s="6"/>
      <c r="S53" s="508"/>
      <c r="T53" s="66"/>
      <c r="U53" s="470"/>
      <c r="V53" s="6"/>
      <c r="W53" s="6"/>
      <c r="X53" s="508"/>
      <c r="Y53" s="469"/>
      <c r="Z53" s="6"/>
      <c r="AA53" s="6"/>
      <c r="AB53" s="508"/>
      <c r="AC53" s="66"/>
      <c r="AD53" s="470"/>
      <c r="AE53" s="502">
        <v>106</v>
      </c>
      <c r="AF53" s="6"/>
      <c r="AG53" s="508"/>
      <c r="AH53" s="509"/>
      <c r="AI53" s="502" t="s">
        <v>393</v>
      </c>
      <c r="AJ53" s="502"/>
      <c r="AK53" s="508"/>
    </row>
    <row r="54" spans="1:37" ht="19.95" customHeight="1" x14ac:dyDescent="0.35">
      <c r="A54" s="1477"/>
      <c r="B54" s="500">
        <v>2</v>
      </c>
      <c r="C54" s="493"/>
      <c r="D54" s="494"/>
      <c r="E54" s="494"/>
      <c r="F54" s="495"/>
      <c r="G54" s="566"/>
      <c r="H54" s="514"/>
      <c r="I54" s="515"/>
      <c r="J54" s="568"/>
      <c r="K54" s="66"/>
      <c r="L54" s="470"/>
      <c r="M54" s="6"/>
      <c r="N54" s="6"/>
      <c r="O54" s="508"/>
      <c r="P54" s="509"/>
      <c r="Q54" s="6"/>
      <c r="R54" s="6"/>
      <c r="S54" s="508"/>
      <c r="T54" s="66"/>
      <c r="U54" s="470"/>
      <c r="V54" s="6"/>
      <c r="W54" s="6"/>
      <c r="X54" s="508"/>
      <c r="Y54" s="577"/>
      <c r="Z54" s="564"/>
      <c r="AA54" s="578"/>
      <c r="AB54" s="508"/>
      <c r="AC54" s="66"/>
      <c r="AD54" s="470"/>
      <c r="AE54" s="6"/>
      <c r="AF54" s="6"/>
      <c r="AG54" s="508"/>
      <c r="AH54" s="509"/>
      <c r="AI54" s="6"/>
      <c r="AJ54" s="502"/>
      <c r="AK54" s="508"/>
    </row>
    <row r="55" spans="1:37" ht="31.95" customHeight="1" x14ac:dyDescent="0.35">
      <c r="A55" s="1478">
        <v>44708</v>
      </c>
      <c r="B55" s="472">
        <v>1</v>
      </c>
      <c r="C55" s="493"/>
      <c r="D55" s="494"/>
      <c r="E55" s="494"/>
      <c r="F55" s="495">
        <v>73</v>
      </c>
      <c r="G55" s="566"/>
      <c r="H55" s="514"/>
      <c r="I55" s="515"/>
      <c r="J55" s="527" t="s">
        <v>390</v>
      </c>
      <c r="K55" s="66"/>
      <c r="L55" s="470"/>
      <c r="M55" s="6"/>
      <c r="N55" s="6"/>
      <c r="O55" s="508">
        <v>87</v>
      </c>
      <c r="P55" s="509"/>
      <c r="Q55" s="6"/>
      <c r="R55" s="6"/>
      <c r="S55" s="527" t="s">
        <v>390</v>
      </c>
      <c r="T55" s="66"/>
      <c r="U55" s="470"/>
      <c r="V55" s="6"/>
      <c r="W55" s="6"/>
      <c r="X55" s="508">
        <v>77</v>
      </c>
      <c r="Y55" s="509"/>
      <c r="Z55" s="6"/>
      <c r="AA55" s="6"/>
      <c r="AB55" s="527" t="s">
        <v>390</v>
      </c>
      <c r="AC55" s="66"/>
      <c r="AD55" s="470"/>
      <c r="AE55" s="6"/>
      <c r="AF55" s="6"/>
      <c r="AG55" s="508">
        <v>79</v>
      </c>
      <c r="AH55" s="509"/>
      <c r="AI55" s="6"/>
      <c r="AJ55" s="6"/>
      <c r="AK55" s="527" t="s">
        <v>390</v>
      </c>
    </row>
    <row r="56" spans="1:37" ht="19.95" customHeight="1" x14ac:dyDescent="0.35">
      <c r="A56" s="1477"/>
      <c r="B56" s="500">
        <v>2</v>
      </c>
      <c r="C56" s="493"/>
      <c r="D56" s="494"/>
      <c r="E56" s="494"/>
      <c r="F56" s="495"/>
      <c r="G56" s="565"/>
      <c r="H56" s="514"/>
      <c r="I56" s="515"/>
      <c r="J56" s="568"/>
      <c r="K56" s="66"/>
      <c r="L56" s="470"/>
      <c r="M56" s="6"/>
      <c r="N56" s="6"/>
      <c r="O56" s="508"/>
      <c r="P56" s="509"/>
      <c r="Q56" s="6"/>
      <c r="R56" s="6"/>
      <c r="S56" s="508"/>
      <c r="T56" s="66"/>
      <c r="U56" s="470"/>
      <c r="V56" s="6"/>
      <c r="W56" s="6"/>
      <c r="X56" s="508"/>
      <c r="Y56" s="469"/>
      <c r="Z56" s="502"/>
      <c r="AA56" s="514"/>
      <c r="AB56" s="508"/>
      <c r="AC56" s="66"/>
      <c r="AD56" s="470"/>
      <c r="AE56" s="6"/>
      <c r="AF56" s="6"/>
      <c r="AG56" s="508"/>
      <c r="AH56" s="509"/>
      <c r="AI56" s="502"/>
      <c r="AJ56" s="514"/>
      <c r="AK56" s="508"/>
    </row>
    <row r="57" spans="1:37" ht="19.95" customHeight="1" x14ac:dyDescent="0.35">
      <c r="A57" s="1478">
        <v>44709</v>
      </c>
      <c r="B57" s="472">
        <v>1</v>
      </c>
      <c r="C57" s="493"/>
      <c r="D57" s="494"/>
      <c r="E57" s="494"/>
      <c r="F57" s="495"/>
      <c r="G57" s="566"/>
      <c r="H57" s="514"/>
      <c r="I57" s="515"/>
      <c r="J57" s="568"/>
      <c r="K57" s="66"/>
      <c r="L57" s="470"/>
      <c r="M57" s="6"/>
      <c r="N57" s="6"/>
      <c r="O57" s="508"/>
      <c r="P57" s="509"/>
      <c r="Q57" s="6"/>
      <c r="R57" s="502"/>
      <c r="S57" s="508"/>
      <c r="T57" s="66"/>
      <c r="U57" s="470"/>
      <c r="V57" s="6"/>
      <c r="W57" s="6"/>
      <c r="X57" s="508"/>
      <c r="Y57" s="469"/>
      <c r="Z57" s="502"/>
      <c r="AA57" s="502"/>
      <c r="AB57" s="508"/>
      <c r="AC57" s="66"/>
      <c r="AD57" s="470"/>
      <c r="AE57" s="6"/>
      <c r="AF57" s="6"/>
      <c r="AG57" s="508"/>
      <c r="AH57" s="509"/>
      <c r="AI57" s="6"/>
      <c r="AJ57" s="515"/>
      <c r="AK57" s="508"/>
    </row>
    <row r="58" spans="1:37" ht="19.95" customHeight="1" x14ac:dyDescent="0.35">
      <c r="A58" s="1477"/>
      <c r="B58" s="500">
        <v>2</v>
      </c>
      <c r="C58" s="493"/>
      <c r="D58" s="494"/>
      <c r="E58" s="494"/>
      <c r="F58" s="495"/>
      <c r="G58" s="565"/>
      <c r="H58" s="514"/>
      <c r="I58" s="515"/>
      <c r="J58" s="568"/>
      <c r="K58" s="66"/>
      <c r="L58" s="470"/>
      <c r="M58" s="6"/>
      <c r="N58" s="6"/>
      <c r="O58" s="508"/>
      <c r="P58" s="509"/>
      <c r="Q58" s="6"/>
      <c r="R58" s="6"/>
      <c r="S58" s="508"/>
      <c r="T58" s="66"/>
      <c r="U58" s="470"/>
      <c r="V58" s="6"/>
      <c r="W58" s="6"/>
      <c r="X58" s="508"/>
      <c r="Y58" s="509"/>
      <c r="Z58" s="502"/>
      <c r="AA58" s="6"/>
      <c r="AB58" s="508"/>
      <c r="AC58" s="66"/>
      <c r="AD58" s="470"/>
      <c r="AE58" s="6"/>
      <c r="AF58" s="6"/>
      <c r="AG58" s="508"/>
      <c r="AH58" s="509"/>
      <c r="AI58" s="6"/>
      <c r="AJ58" s="6"/>
      <c r="AK58" s="508"/>
    </row>
    <row r="59" spans="1:37" ht="19.95" customHeight="1" x14ac:dyDescent="0.35">
      <c r="A59" s="1478">
        <v>44710</v>
      </c>
      <c r="B59" s="472">
        <v>1</v>
      </c>
      <c r="C59" s="493"/>
      <c r="D59" s="494"/>
      <c r="E59" s="494"/>
      <c r="F59" s="495"/>
      <c r="G59" s="566"/>
      <c r="H59" s="514"/>
      <c r="I59" s="6"/>
      <c r="J59" s="568"/>
      <c r="K59" s="66"/>
      <c r="L59" s="470"/>
      <c r="M59" s="6"/>
      <c r="N59" s="6"/>
      <c r="O59" s="508"/>
      <c r="P59" s="509"/>
      <c r="Q59" s="502"/>
      <c r="R59" s="6"/>
      <c r="S59" s="508"/>
      <c r="T59" s="66"/>
      <c r="U59" s="470"/>
      <c r="V59" s="6"/>
      <c r="W59" s="6"/>
      <c r="X59" s="508"/>
      <c r="Y59" s="509"/>
      <c r="Z59" s="6"/>
      <c r="AA59" s="6"/>
      <c r="AB59" s="508"/>
      <c r="AC59" s="66"/>
      <c r="AD59" s="470"/>
      <c r="AE59" s="6"/>
      <c r="AF59" s="6"/>
      <c r="AG59" s="508"/>
      <c r="AH59" s="469"/>
      <c r="AI59" s="6"/>
      <c r="AJ59" s="6"/>
      <c r="AK59" s="508"/>
    </row>
    <row r="60" spans="1:37" ht="31.95" customHeight="1" x14ac:dyDescent="0.35">
      <c r="A60" s="1477"/>
      <c r="B60" s="500">
        <v>2</v>
      </c>
      <c r="C60" s="493"/>
      <c r="D60" s="494"/>
      <c r="E60" s="494"/>
      <c r="F60" s="495">
        <v>98</v>
      </c>
      <c r="G60" s="565"/>
      <c r="H60" s="515"/>
      <c r="I60" s="515"/>
      <c r="J60" s="527" t="s">
        <v>390</v>
      </c>
      <c r="K60" s="66"/>
      <c r="L60" s="470"/>
      <c r="M60" s="6"/>
      <c r="N60" s="6"/>
      <c r="O60" s="508">
        <v>97</v>
      </c>
      <c r="P60" s="509"/>
      <c r="Q60" s="6"/>
      <c r="R60" s="6"/>
      <c r="S60" s="527" t="s">
        <v>390</v>
      </c>
      <c r="T60" s="66"/>
      <c r="U60" s="470"/>
      <c r="V60" s="6"/>
      <c r="W60" s="6"/>
      <c r="X60" s="508">
        <v>99</v>
      </c>
      <c r="Y60" s="469"/>
      <c r="Z60" s="502"/>
      <c r="AA60" s="6"/>
      <c r="AB60" s="527" t="s">
        <v>390</v>
      </c>
      <c r="AC60" s="66"/>
      <c r="AD60" s="470"/>
      <c r="AE60" s="6"/>
      <c r="AF60" s="6"/>
      <c r="AG60" s="508">
        <v>96</v>
      </c>
      <c r="AH60" s="509"/>
      <c r="AI60" s="6"/>
      <c r="AJ60" s="6"/>
      <c r="AK60" s="527" t="s">
        <v>390</v>
      </c>
    </row>
    <row r="61" spans="1:37" ht="19.95" customHeight="1" x14ac:dyDescent="0.35">
      <c r="A61" s="1478">
        <v>44711</v>
      </c>
      <c r="B61" s="472">
        <v>1</v>
      </c>
      <c r="C61" s="618"/>
      <c r="D61" s="619"/>
      <c r="E61" s="619"/>
      <c r="F61" s="620"/>
      <c r="G61" s="617"/>
      <c r="H61" s="576"/>
      <c r="I61" s="621"/>
      <c r="J61" s="622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6"/>
      <c r="AB61" s="624"/>
      <c r="AC61" s="66"/>
      <c r="AD61" s="470"/>
      <c r="AE61" s="6"/>
      <c r="AF61" s="6"/>
      <c r="AG61" s="508"/>
      <c r="AH61" s="509"/>
      <c r="AI61" s="6"/>
      <c r="AJ61" s="6"/>
      <c r="AK61" s="624"/>
    </row>
    <row r="62" spans="1:37" ht="19.9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621"/>
      <c r="J62" s="622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6"/>
      <c r="AB62" s="624"/>
      <c r="AC62" s="66"/>
      <c r="AD62" s="470"/>
      <c r="AE62" s="6"/>
      <c r="AF62" s="6"/>
      <c r="AG62" s="508"/>
      <c r="AH62" s="509"/>
      <c r="AI62" s="6"/>
      <c r="AJ62" s="6"/>
      <c r="AK62" s="624"/>
    </row>
    <row r="63" spans="1:37" ht="19.95" customHeight="1" x14ac:dyDescent="0.35">
      <c r="A63" s="1478">
        <v>44712</v>
      </c>
      <c r="B63" s="472">
        <v>1</v>
      </c>
      <c r="C63" s="587"/>
      <c r="D63" s="588"/>
      <c r="E63" s="588"/>
      <c r="F63" s="589"/>
      <c r="G63" s="598"/>
      <c r="H63" s="590"/>
      <c r="I63" s="591"/>
      <c r="J63" s="572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514"/>
      <c r="AB63" s="563"/>
      <c r="AC63" s="66"/>
      <c r="AD63" s="470"/>
      <c r="AE63" s="6"/>
      <c r="AF63" s="6"/>
      <c r="AG63" s="495"/>
      <c r="AH63" s="566"/>
      <c r="AI63" s="514"/>
      <c r="AJ63" s="514"/>
      <c r="AK63" s="586"/>
    </row>
    <row r="64" spans="1:37" ht="19.9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</row>
    <row r="65" spans="1:33" x14ac:dyDescent="0.35">
      <c r="A65" s="423" t="s">
        <v>225</v>
      </c>
      <c r="C65" s="65">
        <f>SUM(C3:C64)</f>
        <v>81</v>
      </c>
      <c r="D65" s="65">
        <f>SUM(D3:D64)</f>
        <v>0</v>
      </c>
      <c r="E65" s="65">
        <f>SUM(E3:E64)</f>
        <v>206</v>
      </c>
      <c r="F65" s="65">
        <f>SUM(F3:F64)</f>
        <v>7643</v>
      </c>
      <c r="L65" s="65">
        <f>SUM(L3:L64)</f>
        <v>64</v>
      </c>
      <c r="M65" s="65">
        <f>SUM(M3:M64)</f>
        <v>6</v>
      </c>
      <c r="N65" s="65">
        <f>SUM(N3:N64)</f>
        <v>120</v>
      </c>
      <c r="O65" s="65">
        <f>SUM(O3:O64)</f>
        <v>12593</v>
      </c>
      <c r="U65" s="65">
        <f>SUM(U3:U64)</f>
        <v>40</v>
      </c>
      <c r="V65" s="65">
        <f>SUM(V3:V64)</f>
        <v>194</v>
      </c>
      <c r="W65" s="65">
        <f>SUM(W3:W64)</f>
        <v>19</v>
      </c>
      <c r="X65" s="65">
        <f>SUM(X3:X64)</f>
        <v>12639</v>
      </c>
      <c r="AD65" s="65">
        <f>SUM(AD3:AD64)</f>
        <v>15</v>
      </c>
      <c r="AE65" s="65">
        <f>SUM(AE3:AE64)</f>
        <v>161</v>
      </c>
      <c r="AF65" s="65">
        <f>SUM(AF3:AF64)</f>
        <v>19</v>
      </c>
      <c r="AG65" s="65">
        <f>SUM(AG3:AG64)</f>
        <v>12020</v>
      </c>
    </row>
    <row r="73" spans="1:33" ht="14.6" thickBot="1" x14ac:dyDescent="0.4"/>
    <row r="74" spans="1:3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3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33" ht="21.75" customHeight="1" x14ac:dyDescent="0.4">
      <c r="B76" s="541" t="s">
        <v>218</v>
      </c>
      <c r="C76" s="542">
        <f>C65</f>
        <v>81</v>
      </c>
      <c r="D76" s="543">
        <f>C76/60</f>
        <v>1.35</v>
      </c>
      <c r="E76" s="542">
        <f>D65</f>
        <v>0</v>
      </c>
      <c r="F76" s="544">
        <f>E76/60</f>
        <v>0</v>
      </c>
      <c r="G76" s="542">
        <f>E65</f>
        <v>206</v>
      </c>
      <c r="H76" s="543">
        <f>G76/60</f>
        <v>3.4333333333333331</v>
      </c>
      <c r="I76" s="542">
        <f>F65</f>
        <v>7643</v>
      </c>
      <c r="J76" s="543">
        <f>I76/60</f>
        <v>127.38333333333334</v>
      </c>
    </row>
    <row r="77" spans="1:33" ht="19.5" customHeight="1" x14ac:dyDescent="0.4">
      <c r="B77" s="541" t="s">
        <v>219</v>
      </c>
      <c r="C77" s="545">
        <f>L65</f>
        <v>64</v>
      </c>
      <c r="D77" s="546">
        <f t="shared" ref="D77:F79" si="0">C77/60</f>
        <v>1.0666666666666667</v>
      </c>
      <c r="E77" s="545">
        <f>M65</f>
        <v>6</v>
      </c>
      <c r="F77" s="547">
        <f t="shared" si="0"/>
        <v>0.1</v>
      </c>
      <c r="G77" s="545">
        <f>N65</f>
        <v>120</v>
      </c>
      <c r="H77" s="546">
        <f t="shared" ref="H77:J79" si="1">G77/60</f>
        <v>2</v>
      </c>
      <c r="I77" s="545">
        <f>O65</f>
        <v>12593</v>
      </c>
      <c r="J77" s="546">
        <f t="shared" si="1"/>
        <v>209.88333333333333</v>
      </c>
    </row>
    <row r="78" spans="1:33" ht="20.25" customHeight="1" x14ac:dyDescent="0.4">
      <c r="B78" s="541" t="s">
        <v>220</v>
      </c>
      <c r="C78" s="545">
        <f>U65</f>
        <v>40</v>
      </c>
      <c r="D78" s="546">
        <f t="shared" si="0"/>
        <v>0.66666666666666663</v>
      </c>
      <c r="E78" s="545">
        <f>V65</f>
        <v>194</v>
      </c>
      <c r="F78" s="547">
        <f t="shared" si="0"/>
        <v>3.2333333333333334</v>
      </c>
      <c r="G78" s="545">
        <f>W65</f>
        <v>19</v>
      </c>
      <c r="H78" s="546">
        <f t="shared" si="1"/>
        <v>0.31666666666666665</v>
      </c>
      <c r="I78" s="545">
        <f>X65</f>
        <v>12639</v>
      </c>
      <c r="J78" s="546">
        <f t="shared" si="1"/>
        <v>210.65</v>
      </c>
    </row>
    <row r="79" spans="1:33" ht="22.5" customHeight="1" thickBot="1" x14ac:dyDescent="0.45">
      <c r="B79" s="541" t="s">
        <v>221</v>
      </c>
      <c r="C79" s="548">
        <f>AD65</f>
        <v>15</v>
      </c>
      <c r="D79" s="549">
        <f t="shared" si="0"/>
        <v>0.25</v>
      </c>
      <c r="E79" s="548">
        <f>AE65</f>
        <v>161</v>
      </c>
      <c r="F79" s="550">
        <f t="shared" si="0"/>
        <v>2.6833333333333331</v>
      </c>
      <c r="G79" s="548">
        <f>AF65</f>
        <v>19</v>
      </c>
      <c r="H79" s="549">
        <f t="shared" si="1"/>
        <v>0.31666666666666665</v>
      </c>
      <c r="I79" s="548">
        <f>AG65</f>
        <v>12020</v>
      </c>
      <c r="J79" s="549">
        <f t="shared" si="1"/>
        <v>200.33333333333334</v>
      </c>
    </row>
    <row r="80" spans="1:33" ht="18.45" thickBot="1" x14ac:dyDescent="0.5">
      <c r="B80" s="354"/>
      <c r="C80" s="255"/>
      <c r="D80" s="255"/>
      <c r="E80" s="255"/>
      <c r="F80" s="255"/>
      <c r="G80" s="255"/>
      <c r="H80" s="255"/>
      <c r="I80" s="255"/>
      <c r="J80" s="255"/>
    </row>
    <row r="81" spans="2:10" ht="18.45" thickBot="1" x14ac:dyDescent="0.5">
      <c r="B81" s="551" t="s">
        <v>217</v>
      </c>
      <c r="C81" s="556"/>
      <c r="D81" s="557">
        <f>SUM(D76:D80)</f>
        <v>3.3333333333333335</v>
      </c>
      <c r="E81" s="556"/>
      <c r="F81" s="557">
        <f>SUM(F76:F80)</f>
        <v>6.0166666666666666</v>
      </c>
      <c r="G81" s="556"/>
      <c r="H81" s="557">
        <f>SUM(H76:H80)</f>
        <v>6.0666666666666664</v>
      </c>
      <c r="I81" s="556"/>
      <c r="J81" s="558">
        <f>SUM(J76:J80)</f>
        <v>748.25</v>
      </c>
    </row>
  </sheetData>
  <mergeCells count="47">
    <mergeCell ref="I74:J74"/>
    <mergeCell ref="A47:A48"/>
    <mergeCell ref="A49:A50"/>
    <mergeCell ref="A51:A52"/>
    <mergeCell ref="A53:A54"/>
    <mergeCell ref="A55:A56"/>
    <mergeCell ref="A57:A58"/>
    <mergeCell ref="A59:A60"/>
    <mergeCell ref="A63:A64"/>
    <mergeCell ref="C74:D74"/>
    <mergeCell ref="E74:F74"/>
    <mergeCell ref="G74:H74"/>
    <mergeCell ref="A61:A62"/>
    <mergeCell ref="A45:A46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D1:AG1"/>
    <mergeCell ref="AH1:AK1"/>
    <mergeCell ref="A3:A4"/>
    <mergeCell ref="A5:A6"/>
    <mergeCell ref="A7:A8"/>
    <mergeCell ref="U1:X1"/>
    <mergeCell ref="Y1:AB1"/>
    <mergeCell ref="A9:A10"/>
    <mergeCell ref="C1:F1"/>
    <mergeCell ref="G1:J1"/>
    <mergeCell ref="L1:O1"/>
    <mergeCell ref="P1:S1"/>
    <mergeCell ref="J26:J43"/>
    <mergeCell ref="S26:S43"/>
    <mergeCell ref="AB26:AB43"/>
    <mergeCell ref="AK26:AK43"/>
    <mergeCell ref="A11:A12"/>
    <mergeCell ref="A13:A14"/>
    <mergeCell ref="A15:A16"/>
    <mergeCell ref="A17:A18"/>
    <mergeCell ref="A19:A20"/>
    <mergeCell ref="A21:A22"/>
  </mergeCells>
  <pageMargins left="0.7" right="0.7" top="0.75" bottom="0.75" header="0.3" footer="0.3"/>
  <pageSetup paperSize="9" orientation="portrait" horizontalDpi="180" verticalDpi="18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K81"/>
  <sheetViews>
    <sheetView zoomScale="55" zoomScaleNormal="55" workbookViewId="0">
      <pane xSplit="2" ySplit="2" topLeftCell="U42" activePane="bottomRight" state="frozen"/>
      <selection pane="topRight" activeCell="C1" sqref="C1"/>
      <selection pane="bottomLeft" activeCell="A3" sqref="A3"/>
      <selection pane="bottomRight" activeCell="K83" sqref="K83"/>
    </sheetView>
  </sheetViews>
  <sheetFormatPr defaultColWidth="8.84375" defaultRowHeight="14.15" x14ac:dyDescent="0.35"/>
  <cols>
    <col min="1" max="1" width="14.53515625" style="423" customWidth="1"/>
    <col min="2" max="2" width="15.69140625" style="65" customWidth="1"/>
    <col min="3" max="5" width="10.69140625" style="423" customWidth="1"/>
    <col min="6" max="6" width="10.3046875" style="423" customWidth="1"/>
    <col min="7" max="7" width="21.15234375" style="423" customWidth="1"/>
    <col min="8" max="8" width="28.3828125" style="423" customWidth="1"/>
    <col min="9" max="9" width="16.3046875" style="423" customWidth="1"/>
    <col min="10" max="10" width="21.15234375" style="423" customWidth="1"/>
    <col min="11" max="16" width="10.69140625" style="423" customWidth="1"/>
    <col min="17" max="17" width="25.69140625" style="423" customWidth="1"/>
    <col min="18" max="18" width="30.3828125" style="423" customWidth="1"/>
    <col min="19" max="19" width="24.3046875" style="423" customWidth="1"/>
    <col min="20" max="24" width="10.69140625" style="423" customWidth="1"/>
    <col min="25" max="25" width="26.53515625" style="423" customWidth="1"/>
    <col min="26" max="26" width="14.3046875" style="423" customWidth="1"/>
    <col min="27" max="27" width="17.69140625" style="423" customWidth="1"/>
    <col min="28" max="28" width="21.15234375" style="423" customWidth="1"/>
    <col min="29" max="33" width="10.69140625" style="423" customWidth="1"/>
    <col min="34" max="34" width="12.84375" style="423" customWidth="1"/>
    <col min="35" max="36" width="17.15234375" style="423" customWidth="1"/>
    <col min="37" max="37" width="23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202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203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14.6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30" customHeight="1" thickTop="1" x14ac:dyDescent="0.35">
      <c r="A3" s="1478">
        <v>44713</v>
      </c>
      <c r="B3" s="501">
        <v>1</v>
      </c>
      <c r="C3" s="490"/>
      <c r="D3" s="491"/>
      <c r="E3" s="491">
        <v>5</v>
      </c>
      <c r="F3" s="492"/>
      <c r="G3" s="566"/>
      <c r="H3" s="514"/>
      <c r="I3" s="515" t="s">
        <v>152</v>
      </c>
      <c r="J3" s="567"/>
      <c r="K3" s="66"/>
      <c r="L3" s="507"/>
      <c r="M3" s="522"/>
      <c r="N3" s="522"/>
      <c r="O3" s="520"/>
      <c r="P3" s="521"/>
      <c r="Q3" s="580"/>
      <c r="R3" s="581"/>
      <c r="S3" s="520"/>
      <c r="T3" s="66"/>
      <c r="U3" s="507"/>
      <c r="V3" s="522"/>
      <c r="W3" s="522">
        <v>10</v>
      </c>
      <c r="X3" s="508"/>
      <c r="Y3" s="469"/>
      <c r="Z3" s="521"/>
      <c r="AA3" s="600" t="s">
        <v>152</v>
      </c>
      <c r="AB3" s="601"/>
      <c r="AC3" s="66"/>
      <c r="AD3" s="507"/>
      <c r="AE3" s="522"/>
      <c r="AF3" s="6"/>
      <c r="AG3" s="520"/>
      <c r="AH3" s="521"/>
      <c r="AI3" s="522"/>
      <c r="AJ3" s="6"/>
      <c r="AK3" s="520"/>
    </row>
    <row r="4" spans="1:37" ht="19.95" customHeight="1" x14ac:dyDescent="0.35">
      <c r="A4" s="1477"/>
      <c r="B4" s="472">
        <v>2</v>
      </c>
      <c r="C4" s="493"/>
      <c r="D4" s="494"/>
      <c r="E4" s="494"/>
      <c r="F4" s="495"/>
      <c r="G4" s="565"/>
      <c r="H4" s="502"/>
      <c r="I4" s="514"/>
      <c r="J4" s="568"/>
      <c r="K4" s="66"/>
      <c r="L4" s="470"/>
      <c r="M4" s="6"/>
      <c r="N4" s="6"/>
      <c r="O4" s="508"/>
      <c r="P4" s="509"/>
      <c r="Q4" s="579"/>
      <c r="R4" s="28"/>
      <c r="S4" s="508"/>
      <c r="T4" s="66"/>
      <c r="U4" s="470"/>
      <c r="V4" s="502"/>
      <c r="W4" s="6">
        <v>17</v>
      </c>
      <c r="X4" s="508"/>
      <c r="Y4" s="469"/>
      <c r="Z4" s="47"/>
      <c r="AA4" s="602" t="s">
        <v>152</v>
      </c>
      <c r="AB4" s="603"/>
      <c r="AC4" s="66"/>
      <c r="AD4" s="470"/>
      <c r="AE4" s="6"/>
      <c r="AF4" s="6"/>
      <c r="AG4" s="508"/>
      <c r="AH4" s="509"/>
      <c r="AI4" s="6"/>
      <c r="AJ4" s="6"/>
      <c r="AK4" s="508"/>
    </row>
    <row r="5" spans="1:37" ht="19.95" customHeight="1" x14ac:dyDescent="0.35">
      <c r="A5" s="1478">
        <v>44714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>
        <v>6</v>
      </c>
      <c r="X5" s="508"/>
      <c r="Y5" s="469"/>
      <c r="Z5" s="47"/>
      <c r="AA5" s="605" t="s">
        <v>325</v>
      </c>
      <c r="AB5" s="604"/>
      <c r="AC5" s="66"/>
      <c r="AD5" s="470"/>
      <c r="AE5" s="6"/>
      <c r="AF5" s="6"/>
      <c r="AG5" s="508"/>
      <c r="AH5" s="509"/>
      <c r="AI5" s="6"/>
      <c r="AJ5" s="6"/>
      <c r="AK5" s="508"/>
    </row>
    <row r="6" spans="1:37" ht="30" customHeight="1" x14ac:dyDescent="0.35">
      <c r="A6" s="1477"/>
      <c r="B6" s="472">
        <v>2</v>
      </c>
      <c r="C6" s="493"/>
      <c r="D6" s="494"/>
      <c r="E6" s="494"/>
      <c r="F6" s="495"/>
      <c r="G6" s="566"/>
      <c r="H6" s="514"/>
      <c r="I6" s="515"/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/>
      <c r="X6" s="508"/>
      <c r="Y6" s="469"/>
      <c r="Z6" s="6"/>
      <c r="AA6" s="28"/>
      <c r="AB6" s="508"/>
      <c r="AC6" s="66"/>
      <c r="AD6" s="470"/>
      <c r="AE6" s="6"/>
      <c r="AF6" s="6">
        <v>30</v>
      </c>
      <c r="AG6" s="508"/>
      <c r="AH6" s="509"/>
      <c r="AI6" s="6"/>
      <c r="AJ6" s="502" t="s">
        <v>325</v>
      </c>
      <c r="AK6" s="508"/>
    </row>
    <row r="7" spans="1:37" ht="19.95" customHeight="1" x14ac:dyDescent="0.35">
      <c r="A7" s="1478">
        <v>44715</v>
      </c>
      <c r="B7" s="472">
        <v>1</v>
      </c>
      <c r="C7" s="493"/>
      <c r="D7" s="494"/>
      <c r="E7" s="494"/>
      <c r="F7" s="495"/>
      <c r="G7" s="566"/>
      <c r="H7" s="515"/>
      <c r="I7" s="514"/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524"/>
      <c r="W7" s="6"/>
      <c r="X7" s="508"/>
      <c r="Y7" s="509"/>
      <c r="Z7" s="6"/>
      <c r="AA7" s="606"/>
      <c r="AB7" s="508"/>
      <c r="AC7" s="66"/>
      <c r="AD7" s="470"/>
      <c r="AE7" s="6"/>
      <c r="AF7" s="6"/>
      <c r="AG7" s="508"/>
      <c r="AH7" s="509"/>
      <c r="AI7" s="6"/>
      <c r="AJ7" s="6"/>
      <c r="AK7" s="508"/>
    </row>
    <row r="8" spans="1:37" ht="78.75" customHeight="1" x14ac:dyDescent="0.35">
      <c r="A8" s="1477"/>
      <c r="B8" s="472">
        <v>2</v>
      </c>
      <c r="C8" s="493"/>
      <c r="D8" s="494">
        <v>10</v>
      </c>
      <c r="E8" s="494"/>
      <c r="F8" s="495">
        <v>73</v>
      </c>
      <c r="G8" s="565"/>
      <c r="H8" s="515" t="s">
        <v>276</v>
      </c>
      <c r="I8" s="515"/>
      <c r="J8" s="527" t="s">
        <v>395</v>
      </c>
      <c r="K8" s="66"/>
      <c r="L8" s="470"/>
      <c r="M8" s="6">
        <v>123</v>
      </c>
      <c r="N8" s="6"/>
      <c r="O8" s="508">
        <v>68</v>
      </c>
      <c r="P8" s="469"/>
      <c r="Q8" s="502" t="s">
        <v>394</v>
      </c>
      <c r="R8" s="502"/>
      <c r="S8" s="527" t="s">
        <v>395</v>
      </c>
      <c r="T8" s="66"/>
      <c r="U8" s="470"/>
      <c r="V8" s="525"/>
      <c r="W8" s="509"/>
      <c r="X8" s="508">
        <v>90</v>
      </c>
      <c r="Y8" s="469"/>
      <c r="Z8" s="6"/>
      <c r="AA8" s="28"/>
      <c r="AB8" s="527" t="s">
        <v>395</v>
      </c>
      <c r="AC8" s="66"/>
      <c r="AD8" s="470"/>
      <c r="AE8" s="6"/>
      <c r="AF8" s="6"/>
      <c r="AG8" s="508">
        <v>76</v>
      </c>
      <c r="AH8" s="509"/>
      <c r="AI8" s="6"/>
      <c r="AJ8" s="6"/>
      <c r="AK8" s="527" t="s">
        <v>395</v>
      </c>
    </row>
    <row r="9" spans="1:37" ht="19.95" customHeight="1" x14ac:dyDescent="0.35">
      <c r="A9" s="1478">
        <v>44716</v>
      </c>
      <c r="B9" s="472">
        <v>1</v>
      </c>
      <c r="C9" s="493"/>
      <c r="D9" s="494"/>
      <c r="E9" s="494"/>
      <c r="F9" s="495"/>
      <c r="G9" s="566"/>
      <c r="H9" s="514"/>
      <c r="I9" s="514"/>
      <c r="J9" s="568"/>
      <c r="K9" s="66"/>
      <c r="L9" s="470"/>
      <c r="M9" s="6"/>
      <c r="N9" s="6"/>
      <c r="O9" s="508"/>
      <c r="P9" s="469"/>
      <c r="Q9" s="6"/>
      <c r="R9" s="502"/>
      <c r="S9" s="508"/>
      <c r="T9" s="66"/>
      <c r="U9" s="470"/>
      <c r="V9" s="6"/>
      <c r="W9" s="6"/>
      <c r="X9" s="508"/>
      <c r="Y9" s="509"/>
      <c r="Z9" s="6"/>
      <c r="AA9" s="6"/>
      <c r="AB9" s="508"/>
      <c r="AC9" s="66"/>
      <c r="AD9" s="470"/>
      <c r="AE9" s="6"/>
      <c r="AF9" s="6"/>
      <c r="AG9" s="508"/>
      <c r="AH9" s="509"/>
      <c r="AI9" s="6"/>
      <c r="AJ9" s="6"/>
      <c r="AK9" s="508"/>
    </row>
    <row r="10" spans="1:37" ht="29.5" customHeight="1" x14ac:dyDescent="0.35">
      <c r="A10" s="1477"/>
      <c r="B10" s="472">
        <v>2</v>
      </c>
      <c r="C10" s="493"/>
      <c r="D10" s="494"/>
      <c r="E10" s="494"/>
      <c r="F10" s="495"/>
      <c r="G10" s="566"/>
      <c r="H10" s="514"/>
      <c r="I10" s="515"/>
      <c r="J10" s="568"/>
      <c r="K10" s="66"/>
      <c r="L10" s="470"/>
      <c r="M10" s="6"/>
      <c r="N10" s="6"/>
      <c r="O10" s="508"/>
      <c r="P10" s="469"/>
      <c r="Q10" s="6"/>
      <c r="R10" s="502"/>
      <c r="S10" s="508"/>
      <c r="T10" s="66"/>
      <c r="U10" s="470"/>
      <c r="V10" s="6"/>
      <c r="W10" s="6"/>
      <c r="X10" s="508"/>
      <c r="Y10" s="469"/>
      <c r="Z10" s="6"/>
      <c r="AA10" s="6"/>
      <c r="AB10" s="508"/>
      <c r="AC10" s="66"/>
      <c r="AD10" s="470"/>
      <c r="AE10" s="6"/>
      <c r="AF10" s="6"/>
      <c r="AG10" s="508"/>
      <c r="AH10" s="509"/>
      <c r="AI10" s="6"/>
      <c r="AJ10" s="6"/>
      <c r="AK10" s="508"/>
    </row>
    <row r="11" spans="1:37" ht="19.95" customHeight="1" x14ac:dyDescent="0.35">
      <c r="A11" s="1478">
        <v>44717</v>
      </c>
      <c r="B11" s="472">
        <v>1</v>
      </c>
      <c r="C11" s="493"/>
      <c r="D11" s="494"/>
      <c r="E11" s="494"/>
      <c r="F11" s="495"/>
      <c r="G11" s="565"/>
      <c r="H11" s="514"/>
      <c r="I11" s="515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</row>
    <row r="12" spans="1:37" ht="19.95" customHeight="1" x14ac:dyDescent="0.35">
      <c r="A12" s="1477"/>
      <c r="B12" s="472">
        <v>2</v>
      </c>
      <c r="C12" s="493"/>
      <c r="D12" s="494"/>
      <c r="E12" s="494"/>
      <c r="F12" s="495"/>
      <c r="G12" s="566"/>
      <c r="H12" s="514"/>
      <c r="I12" s="514"/>
      <c r="J12" s="568"/>
      <c r="K12" s="66"/>
      <c r="L12" s="470"/>
      <c r="M12" s="6"/>
      <c r="N12" s="6"/>
      <c r="O12" s="508"/>
      <c r="P12" s="469"/>
      <c r="Q12" s="6"/>
      <c r="R12" s="502"/>
      <c r="S12" s="508"/>
      <c r="T12" s="66"/>
      <c r="U12" s="470"/>
      <c r="V12" s="6"/>
      <c r="W12" s="6">
        <v>15</v>
      </c>
      <c r="X12" s="508"/>
      <c r="Y12" s="509"/>
      <c r="Z12" s="6"/>
      <c r="AA12" s="605" t="s">
        <v>325</v>
      </c>
      <c r="AB12" s="508"/>
      <c r="AC12" s="66"/>
      <c r="AD12" s="470"/>
      <c r="AE12" s="6"/>
      <c r="AF12" s="6"/>
      <c r="AG12" s="508"/>
      <c r="AH12" s="509"/>
      <c r="AI12" s="6"/>
      <c r="AJ12" s="6"/>
      <c r="AK12" s="508"/>
    </row>
    <row r="13" spans="1:37" ht="40.5" customHeight="1" x14ac:dyDescent="0.35">
      <c r="A13" s="1478">
        <v>44718</v>
      </c>
      <c r="B13" s="472">
        <v>1</v>
      </c>
      <c r="C13" s="493"/>
      <c r="D13" s="494"/>
      <c r="E13" s="494"/>
      <c r="F13" s="495">
        <v>97</v>
      </c>
      <c r="G13" s="566"/>
      <c r="H13" s="514"/>
      <c r="I13" s="515"/>
      <c r="J13" s="527" t="s">
        <v>396</v>
      </c>
      <c r="K13" s="66"/>
      <c r="L13" s="470"/>
      <c r="M13" s="6"/>
      <c r="N13" s="6"/>
      <c r="O13" s="508">
        <v>102</v>
      </c>
      <c r="P13" s="469"/>
      <c r="Q13" s="6"/>
      <c r="R13" s="502"/>
      <c r="S13" s="527" t="s">
        <v>396</v>
      </c>
      <c r="T13" s="66"/>
      <c r="U13" s="470"/>
      <c r="V13" s="6"/>
      <c r="W13" s="6"/>
      <c r="X13" s="508">
        <v>105</v>
      </c>
      <c r="Y13" s="469"/>
      <c r="Z13" s="6"/>
      <c r="AA13" s="502"/>
      <c r="AB13" s="527" t="s">
        <v>396</v>
      </c>
      <c r="AC13" s="66"/>
      <c r="AD13" s="470"/>
      <c r="AE13" s="6"/>
      <c r="AF13" s="6"/>
      <c r="AG13" s="508">
        <v>107</v>
      </c>
      <c r="AH13" s="509"/>
      <c r="AI13" s="6"/>
      <c r="AJ13" s="6"/>
      <c r="AK13" s="527" t="s">
        <v>396</v>
      </c>
    </row>
    <row r="14" spans="1:37" ht="103.5" customHeight="1" x14ac:dyDescent="0.35">
      <c r="A14" s="1477"/>
      <c r="B14" s="472">
        <v>2</v>
      </c>
      <c r="C14" s="493"/>
      <c r="D14" s="494"/>
      <c r="E14" s="494"/>
      <c r="F14" s="495"/>
      <c r="G14" s="566"/>
      <c r="H14" s="515"/>
      <c r="I14" s="515"/>
      <c r="J14" s="527"/>
      <c r="K14" s="66"/>
      <c r="L14" s="470"/>
      <c r="M14" s="6"/>
      <c r="N14" s="6"/>
      <c r="O14" s="508"/>
      <c r="P14" s="509"/>
      <c r="Q14" s="6"/>
      <c r="R14" s="6"/>
      <c r="S14" s="527"/>
      <c r="T14" s="66"/>
      <c r="U14" s="470">
        <v>82</v>
      </c>
      <c r="V14" s="6">
        <v>82</v>
      </c>
      <c r="W14" s="6">
        <v>82</v>
      </c>
      <c r="X14" s="508"/>
      <c r="Y14" s="469" t="s">
        <v>397</v>
      </c>
      <c r="Z14" s="502" t="s">
        <v>398</v>
      </c>
      <c r="AA14" s="571" t="s">
        <v>399</v>
      </c>
      <c r="AB14" s="607"/>
      <c r="AC14" s="66"/>
      <c r="AD14" s="470">
        <v>39</v>
      </c>
      <c r="AE14" s="6"/>
      <c r="AF14" s="6"/>
      <c r="AG14" s="508"/>
      <c r="AH14" s="469" t="s">
        <v>400</v>
      </c>
      <c r="AI14" s="6"/>
      <c r="AJ14" s="6"/>
      <c r="AK14" s="527"/>
    </row>
    <row r="15" spans="1:37" ht="43.95" customHeight="1" x14ac:dyDescent="0.35">
      <c r="A15" s="1478">
        <v>44719</v>
      </c>
      <c r="B15" s="472">
        <v>1</v>
      </c>
      <c r="C15" s="493"/>
      <c r="D15" s="494"/>
      <c r="E15" s="6"/>
      <c r="F15" s="495"/>
      <c r="G15" s="566"/>
      <c r="H15" s="515"/>
      <c r="I15" s="515"/>
      <c r="J15" s="568"/>
      <c r="K15" s="66"/>
      <c r="L15" s="470"/>
      <c r="M15" s="6"/>
      <c r="N15" s="6"/>
      <c r="O15" s="508"/>
      <c r="P15" s="470"/>
      <c r="Q15" s="515"/>
      <c r="R15" s="6"/>
      <c r="S15" s="508"/>
      <c r="T15" s="66"/>
      <c r="U15" s="470"/>
      <c r="V15" s="6"/>
      <c r="W15" s="6"/>
      <c r="X15" s="508"/>
      <c r="Y15" s="470"/>
      <c r="Z15" s="515"/>
      <c r="AA15" s="609"/>
      <c r="AB15" s="608"/>
      <c r="AC15" s="66"/>
      <c r="AD15" s="470"/>
      <c r="AE15" s="6"/>
      <c r="AF15" s="6"/>
      <c r="AG15" s="508"/>
      <c r="AH15" s="470"/>
      <c r="AI15" s="515"/>
      <c r="AJ15" s="502"/>
      <c r="AK15" s="508"/>
    </row>
    <row r="16" spans="1:37" ht="37.5" customHeight="1" x14ac:dyDescent="0.35">
      <c r="A16" s="1477"/>
      <c r="B16" s="472">
        <v>2</v>
      </c>
      <c r="C16" s="493">
        <v>25</v>
      </c>
      <c r="D16" s="494"/>
      <c r="E16" s="494">
        <v>24</v>
      </c>
      <c r="F16" s="495"/>
      <c r="G16" s="565" t="s">
        <v>331</v>
      </c>
      <c r="H16" s="514"/>
      <c r="I16" s="565" t="s">
        <v>331</v>
      </c>
      <c r="J16" s="568"/>
      <c r="K16" s="66"/>
      <c r="L16" s="470"/>
      <c r="M16" s="6"/>
      <c r="N16" s="6"/>
      <c r="O16" s="508"/>
      <c r="P16" s="470"/>
      <c r="Q16" s="6"/>
      <c r="R16" s="6"/>
      <c r="S16" s="508"/>
      <c r="T16" s="66"/>
      <c r="U16" s="470"/>
      <c r="V16" s="6"/>
      <c r="W16" s="6"/>
      <c r="X16" s="508"/>
      <c r="Y16" s="514"/>
      <c r="Z16" s="514"/>
      <c r="AA16" s="6"/>
      <c r="AB16" s="508"/>
      <c r="AC16" s="66"/>
      <c r="AD16" s="470"/>
      <c r="AE16" s="6"/>
      <c r="AF16" s="6"/>
      <c r="AG16" s="508"/>
      <c r="AH16" s="470"/>
      <c r="AI16" s="6"/>
      <c r="AJ16" s="6"/>
      <c r="AK16" s="508"/>
    </row>
    <row r="17" spans="1:37" ht="32.5" customHeight="1" x14ac:dyDescent="0.35">
      <c r="A17" s="1478">
        <v>44720</v>
      </c>
      <c r="B17" s="534">
        <v>1</v>
      </c>
      <c r="C17" s="493"/>
      <c r="D17" s="494"/>
      <c r="E17" s="494"/>
      <c r="F17" s="495"/>
      <c r="G17" s="566"/>
      <c r="H17" s="514"/>
      <c r="I17" s="515"/>
      <c r="J17" s="568"/>
      <c r="K17" s="66"/>
      <c r="L17" s="470"/>
      <c r="M17" s="6"/>
      <c r="N17" s="6"/>
      <c r="O17" s="508"/>
      <c r="P17" s="470"/>
      <c r="Q17" s="6"/>
      <c r="R17" s="6"/>
      <c r="S17" s="508"/>
      <c r="T17" s="66"/>
      <c r="U17" s="470"/>
      <c r="V17" s="6"/>
      <c r="W17" s="6"/>
      <c r="X17" s="508"/>
      <c r="Y17" s="514"/>
      <c r="Z17" s="514"/>
      <c r="AA17" s="6"/>
      <c r="AB17" s="508"/>
      <c r="AC17" s="66"/>
      <c r="AD17" s="470"/>
      <c r="AE17" s="6"/>
      <c r="AF17" s="6"/>
      <c r="AG17" s="508"/>
      <c r="AH17" s="470"/>
      <c r="AI17" s="6"/>
      <c r="AJ17" s="502"/>
      <c r="AK17" s="508"/>
    </row>
    <row r="18" spans="1:37" ht="19.95" customHeight="1" x14ac:dyDescent="0.35">
      <c r="A18" s="1477"/>
      <c r="B18" s="472">
        <v>2</v>
      </c>
      <c r="C18" s="493"/>
      <c r="D18" s="494"/>
      <c r="E18" s="494"/>
      <c r="F18" s="495"/>
      <c r="G18" s="566"/>
      <c r="H18" s="515"/>
      <c r="I18" s="514"/>
      <c r="J18" s="568"/>
      <c r="K18" s="66"/>
      <c r="L18" s="470"/>
      <c r="M18" s="6"/>
      <c r="N18" s="6"/>
      <c r="O18" s="508"/>
      <c r="P18" s="470"/>
      <c r="Q18" s="6"/>
      <c r="R18" s="6"/>
      <c r="S18" s="508"/>
      <c r="T18" s="66"/>
      <c r="U18" s="470"/>
      <c r="V18" s="6"/>
      <c r="W18" s="6"/>
      <c r="X18" s="508"/>
      <c r="Y18" s="465"/>
      <c r="Z18" s="6"/>
      <c r="AA18" s="6"/>
      <c r="AB18" s="508"/>
      <c r="AC18" s="66"/>
      <c r="AD18" s="470"/>
      <c r="AE18" s="6"/>
      <c r="AF18" s="6"/>
      <c r="AG18" s="508"/>
      <c r="AH18" s="470"/>
      <c r="AI18" s="6"/>
      <c r="AJ18" s="502"/>
      <c r="AK18" s="508"/>
    </row>
    <row r="19" spans="1:37" ht="33.65" customHeight="1" x14ac:dyDescent="0.35">
      <c r="A19" s="1478">
        <v>44721</v>
      </c>
      <c r="B19" s="472">
        <v>1</v>
      </c>
      <c r="C19" s="66"/>
      <c r="D19" s="494"/>
      <c r="E19" s="494"/>
      <c r="F19" s="495"/>
      <c r="G19" s="566"/>
      <c r="H19" s="514"/>
      <c r="I19" s="515"/>
      <c r="J19" s="568"/>
      <c r="K19" s="66"/>
      <c r="L19" s="470"/>
      <c r="M19" s="6"/>
      <c r="N19" s="6"/>
      <c r="O19" s="508"/>
      <c r="P19" s="470"/>
      <c r="Q19" s="6"/>
      <c r="R19" s="6"/>
      <c r="S19" s="508"/>
      <c r="T19" s="66"/>
      <c r="U19" s="470"/>
      <c r="V19" s="6"/>
      <c r="W19" s="6"/>
      <c r="X19" s="508"/>
      <c r="Y19" s="470"/>
      <c r="Z19" s="502"/>
      <c r="AA19" s="502"/>
      <c r="AB19" s="508"/>
      <c r="AC19" s="66"/>
      <c r="AD19" s="470"/>
      <c r="AE19" s="6"/>
      <c r="AF19" s="6"/>
      <c r="AG19" s="508"/>
      <c r="AH19" s="470"/>
      <c r="AI19" s="6"/>
      <c r="AJ19" s="502"/>
      <c r="AK19" s="508"/>
    </row>
    <row r="20" spans="1:37" ht="19.95" customHeight="1" x14ac:dyDescent="0.35">
      <c r="A20" s="1477"/>
      <c r="B20" s="472">
        <v>2</v>
      </c>
      <c r="C20" s="493"/>
      <c r="D20" s="494"/>
      <c r="E20" s="494"/>
      <c r="F20" s="495"/>
      <c r="G20" s="566"/>
      <c r="H20" s="515"/>
      <c r="I20" s="515"/>
      <c r="J20" s="568"/>
      <c r="K20" s="66"/>
      <c r="L20" s="470"/>
      <c r="M20" s="6"/>
      <c r="N20" s="6"/>
      <c r="O20" s="508"/>
      <c r="P20" s="470"/>
      <c r="Q20" s="6"/>
      <c r="R20" s="6"/>
      <c r="S20" s="508"/>
      <c r="T20" s="66"/>
      <c r="U20" s="470"/>
      <c r="V20" s="214"/>
      <c r="W20" s="6">
        <v>6</v>
      </c>
      <c r="X20" s="508"/>
      <c r="Y20" s="470"/>
      <c r="Z20" s="502"/>
      <c r="AA20" s="605" t="s">
        <v>325</v>
      </c>
      <c r="AB20" s="508"/>
      <c r="AC20" s="66"/>
      <c r="AD20" s="470"/>
      <c r="AE20" s="6"/>
      <c r="AF20" s="6"/>
      <c r="AG20" s="508"/>
      <c r="AH20" s="470"/>
      <c r="AI20" s="6"/>
      <c r="AJ20" s="6"/>
      <c r="AK20" s="508"/>
    </row>
    <row r="21" spans="1:37" ht="19.95" customHeight="1" x14ac:dyDescent="0.35">
      <c r="A21" s="1478">
        <v>44722</v>
      </c>
      <c r="B21" s="472">
        <v>1</v>
      </c>
      <c r="C21" s="493"/>
      <c r="D21" s="494"/>
      <c r="E21" s="494"/>
      <c r="F21" s="495"/>
      <c r="G21" s="569"/>
      <c r="H21" s="514"/>
      <c r="I21" s="515"/>
      <c r="J21" s="568"/>
      <c r="K21" s="66"/>
      <c r="L21" s="470"/>
      <c r="M21" s="6"/>
      <c r="N21" s="6"/>
      <c r="O21" s="508"/>
      <c r="P21" s="470"/>
      <c r="Q21" s="6"/>
      <c r="R21" s="6"/>
      <c r="S21" s="508"/>
      <c r="T21" s="66"/>
      <c r="U21" s="470"/>
      <c r="V21" s="6"/>
      <c r="W21" s="6"/>
      <c r="X21" s="508"/>
      <c r="Y21" s="470"/>
      <c r="Z21" s="6"/>
      <c r="AA21" s="502"/>
      <c r="AB21" s="508"/>
      <c r="AC21" s="66"/>
      <c r="AD21" s="470"/>
      <c r="AE21" s="6"/>
      <c r="AF21" s="6">
        <v>6</v>
      </c>
      <c r="AG21" s="508"/>
      <c r="AH21" s="470"/>
      <c r="AI21" s="6"/>
      <c r="AJ21" s="625" t="s">
        <v>325</v>
      </c>
      <c r="AK21" s="508"/>
    </row>
    <row r="22" spans="1:37" ht="19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515"/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>
        <v>20</v>
      </c>
      <c r="X22" s="495"/>
      <c r="Y22" s="470"/>
      <c r="Z22" s="6"/>
      <c r="AA22" s="502" t="s">
        <v>152</v>
      </c>
      <c r="AB22" s="527"/>
      <c r="AC22" s="66"/>
      <c r="AD22" s="470"/>
      <c r="AE22" s="6"/>
      <c r="AF22" s="6"/>
      <c r="AG22" s="495"/>
      <c r="AH22" s="470"/>
      <c r="AI22" s="6"/>
      <c r="AJ22" s="6"/>
      <c r="AK22" s="527"/>
    </row>
    <row r="23" spans="1:37" ht="19.95" customHeight="1" x14ac:dyDescent="0.35">
      <c r="A23" s="1478">
        <v>44723</v>
      </c>
      <c r="B23" s="534">
        <v>1</v>
      </c>
      <c r="C23" s="493"/>
      <c r="D23" s="494"/>
      <c r="E23" s="494">
        <v>24</v>
      </c>
      <c r="F23" s="495"/>
      <c r="G23" s="566"/>
      <c r="H23" s="514"/>
      <c r="I23" s="502" t="s">
        <v>152</v>
      </c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>
        <v>97</v>
      </c>
      <c r="X23" s="495"/>
      <c r="Y23" s="566"/>
      <c r="Z23" s="514"/>
      <c r="AA23" s="502" t="s">
        <v>152</v>
      </c>
      <c r="AB23" s="508"/>
      <c r="AC23" s="66"/>
      <c r="AD23" s="470"/>
      <c r="AE23" s="6"/>
      <c r="AF23" s="6"/>
      <c r="AG23" s="508"/>
      <c r="AH23" s="465"/>
      <c r="AI23" s="6"/>
      <c r="AJ23" s="6"/>
      <c r="AK23" s="508"/>
    </row>
    <row r="24" spans="1:37" ht="35.5" customHeight="1" x14ac:dyDescent="0.35">
      <c r="A24" s="1477"/>
      <c r="B24" s="472">
        <v>2</v>
      </c>
      <c r="C24" s="493"/>
      <c r="D24" s="494"/>
      <c r="E24" s="494">
        <v>51</v>
      </c>
      <c r="F24" s="495"/>
      <c r="G24" s="566"/>
      <c r="H24" s="514"/>
      <c r="I24" s="502" t="s">
        <v>152</v>
      </c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>
        <v>96</v>
      </c>
      <c r="X24" s="495"/>
      <c r="Y24" s="566"/>
      <c r="Z24" s="514"/>
      <c r="AA24" s="502" t="s">
        <v>152</v>
      </c>
      <c r="AB24" s="527"/>
      <c r="AC24" s="66"/>
      <c r="AD24" s="470"/>
      <c r="AE24" s="6"/>
      <c r="AF24" s="6"/>
      <c r="AG24" s="495"/>
      <c r="AH24" s="566"/>
      <c r="AI24" s="514"/>
      <c r="AJ24" s="515"/>
      <c r="AK24" s="527"/>
    </row>
    <row r="25" spans="1:37" ht="19.95" customHeight="1" x14ac:dyDescent="0.35">
      <c r="A25" s="1478">
        <v>44724</v>
      </c>
      <c r="B25" s="472">
        <v>1</v>
      </c>
      <c r="C25" s="493"/>
      <c r="D25" s="494"/>
      <c r="E25" s="494"/>
      <c r="F25" s="495"/>
      <c r="G25" s="566"/>
      <c r="H25" s="514"/>
      <c r="I25" s="515"/>
      <c r="J25" s="570"/>
      <c r="K25" s="66"/>
      <c r="L25" s="470"/>
      <c r="M25" s="6"/>
      <c r="N25" s="6"/>
      <c r="O25" s="508"/>
      <c r="P25" s="470"/>
      <c r="Q25" s="514"/>
      <c r="R25" s="6"/>
      <c r="S25" s="508"/>
      <c r="T25" s="66"/>
      <c r="U25" s="470"/>
      <c r="V25" s="6"/>
      <c r="W25" s="6">
        <v>26</v>
      </c>
      <c r="X25" s="508"/>
      <c r="Y25" s="470"/>
      <c r="Z25" s="6"/>
      <c r="AA25" s="502" t="s">
        <v>152</v>
      </c>
      <c r="AB25" s="508"/>
      <c r="AC25" s="66"/>
      <c r="AD25" s="470"/>
      <c r="AE25" s="6"/>
      <c r="AF25" s="6"/>
      <c r="AG25" s="47"/>
      <c r="AH25" s="585"/>
      <c r="AI25" s="509"/>
      <c r="AJ25" s="6"/>
      <c r="AK25" s="508"/>
    </row>
    <row r="26" spans="1:37" ht="36" customHeight="1" x14ac:dyDescent="0.35">
      <c r="A26" s="1477"/>
      <c r="B26" s="472">
        <v>2</v>
      </c>
      <c r="C26" s="493"/>
      <c r="D26" s="494"/>
      <c r="E26" s="494">
        <v>30</v>
      </c>
      <c r="F26" s="495"/>
      <c r="G26" s="566"/>
      <c r="H26" s="515"/>
      <c r="I26" s="573" t="s">
        <v>401</v>
      </c>
      <c r="J26" s="626"/>
      <c r="K26" s="66"/>
      <c r="L26" s="470"/>
      <c r="M26" s="6"/>
      <c r="N26" s="6"/>
      <c r="O26" s="495"/>
      <c r="P26" s="566"/>
      <c r="Q26" s="515"/>
      <c r="R26" s="515"/>
      <c r="S26" s="627"/>
      <c r="T26" s="66"/>
      <c r="U26" s="470"/>
      <c r="V26" s="494"/>
      <c r="W26" s="6"/>
      <c r="X26" s="495"/>
      <c r="Y26" s="566"/>
      <c r="Z26" s="515"/>
      <c r="AA26" s="515"/>
      <c r="AB26" s="627"/>
      <c r="AC26" s="66"/>
      <c r="AD26" s="470"/>
      <c r="AE26" s="494"/>
      <c r="AF26" s="6">
        <v>6</v>
      </c>
      <c r="AG26" s="495"/>
      <c r="AH26" s="566"/>
      <c r="AI26" s="515"/>
      <c r="AJ26" s="625" t="s">
        <v>325</v>
      </c>
      <c r="AK26" s="627"/>
    </row>
    <row r="27" spans="1:37" ht="19.95" customHeight="1" x14ac:dyDescent="0.35">
      <c r="A27" s="1478">
        <v>44725</v>
      </c>
      <c r="B27" s="534">
        <v>1</v>
      </c>
      <c r="C27" s="493"/>
      <c r="D27" s="494"/>
      <c r="E27" s="494"/>
      <c r="F27" s="495"/>
      <c r="G27" s="566"/>
      <c r="H27" s="514"/>
      <c r="I27" s="573"/>
      <c r="J27" s="626"/>
      <c r="K27" s="66"/>
      <c r="L27" s="470"/>
      <c r="M27" s="6"/>
      <c r="N27" s="6"/>
      <c r="O27" s="495"/>
      <c r="P27" s="566"/>
      <c r="Q27" s="514"/>
      <c r="R27" s="515"/>
      <c r="S27" s="628"/>
      <c r="T27" s="66"/>
      <c r="U27" s="470"/>
      <c r="V27" s="6"/>
      <c r="W27" s="6"/>
      <c r="X27" s="495"/>
      <c r="Y27" s="566"/>
      <c r="Z27" s="514"/>
      <c r="AA27" s="515"/>
      <c r="AB27" s="628"/>
      <c r="AC27" s="66"/>
      <c r="AD27" s="470"/>
      <c r="AE27" s="6"/>
      <c r="AF27" s="6">
        <v>23</v>
      </c>
      <c r="AG27" s="495"/>
      <c r="AH27" s="566"/>
      <c r="AI27" s="514"/>
      <c r="AJ27" s="565" t="s">
        <v>97</v>
      </c>
      <c r="AK27" s="628"/>
    </row>
    <row r="28" spans="1:37" ht="87" customHeight="1" x14ac:dyDescent="0.35">
      <c r="A28" s="1477"/>
      <c r="B28" s="472">
        <v>2</v>
      </c>
      <c r="C28" s="493"/>
      <c r="D28" s="494">
        <v>36</v>
      </c>
      <c r="E28" s="494"/>
      <c r="F28" s="495"/>
      <c r="G28" s="515"/>
      <c r="H28" s="515" t="s">
        <v>402</v>
      </c>
      <c r="I28" s="573"/>
      <c r="J28" s="626"/>
      <c r="K28" s="66"/>
      <c r="L28" s="470"/>
      <c r="M28" s="6">
        <v>49</v>
      </c>
      <c r="N28" s="6"/>
      <c r="O28" s="495"/>
      <c r="P28" s="515"/>
      <c r="Q28" s="515" t="s">
        <v>402</v>
      </c>
      <c r="R28" s="515"/>
      <c r="S28" s="628"/>
      <c r="T28" s="66"/>
      <c r="U28" s="470"/>
      <c r="V28" s="6"/>
      <c r="W28" s="6"/>
      <c r="X28" s="495"/>
      <c r="Y28" s="515"/>
      <c r="Z28" s="514"/>
      <c r="AA28" s="515"/>
      <c r="AB28" s="628"/>
      <c r="AC28" s="66"/>
      <c r="AD28" s="470">
        <v>66</v>
      </c>
      <c r="AE28" s="6">
        <v>66</v>
      </c>
      <c r="AF28" s="6">
        <v>66</v>
      </c>
      <c r="AG28" s="495"/>
      <c r="AH28" s="515" t="s">
        <v>403</v>
      </c>
      <c r="AI28" s="515" t="s">
        <v>276</v>
      </c>
      <c r="AJ28" s="515" t="s">
        <v>404</v>
      </c>
      <c r="AK28" s="628"/>
    </row>
    <row r="29" spans="1:37" ht="19.95" customHeight="1" x14ac:dyDescent="0.35">
      <c r="A29" s="1478">
        <v>44726</v>
      </c>
      <c r="B29" s="472">
        <v>1</v>
      </c>
      <c r="C29" s="493"/>
      <c r="D29" s="494"/>
      <c r="E29" s="494"/>
      <c r="F29" s="495"/>
      <c r="G29" s="566"/>
      <c r="H29" s="514"/>
      <c r="I29" s="573"/>
      <c r="J29" s="626"/>
      <c r="K29" s="66"/>
      <c r="L29" s="470"/>
      <c r="M29" s="6"/>
      <c r="N29" s="6"/>
      <c r="O29" s="495"/>
      <c r="P29" s="566"/>
      <c r="Q29" s="514"/>
      <c r="R29" s="515"/>
      <c r="S29" s="628"/>
      <c r="T29" s="66"/>
      <c r="U29" s="470"/>
      <c r="V29" s="6"/>
      <c r="W29" s="6"/>
      <c r="X29" s="495"/>
      <c r="Y29" s="566"/>
      <c r="Z29" s="514"/>
      <c r="AA29" s="515"/>
      <c r="AB29" s="628"/>
      <c r="AC29" s="66"/>
      <c r="AD29" s="470"/>
      <c r="AE29" s="6"/>
      <c r="AF29" s="6"/>
      <c r="AG29" s="495"/>
      <c r="AH29" s="566"/>
      <c r="AI29" s="514"/>
      <c r="AJ29" s="515"/>
      <c r="AK29" s="628"/>
    </row>
    <row r="30" spans="1:37" ht="39.7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4"/>
      <c r="I30" s="573"/>
      <c r="J30" s="626"/>
      <c r="K30" s="66"/>
      <c r="L30" s="470"/>
      <c r="M30" s="6">
        <v>52</v>
      </c>
      <c r="N30" s="6"/>
      <c r="O30" s="495"/>
      <c r="P30" s="566"/>
      <c r="Q30" s="515" t="s">
        <v>405</v>
      </c>
      <c r="R30" s="515"/>
      <c r="S30" s="628"/>
      <c r="T30" s="66"/>
      <c r="U30" s="470"/>
      <c r="V30" s="6"/>
      <c r="W30" s="6"/>
      <c r="X30" s="495"/>
      <c r="Y30" s="566"/>
      <c r="Z30" s="514"/>
      <c r="AA30" s="515"/>
      <c r="AB30" s="628"/>
      <c r="AC30" s="66"/>
      <c r="AD30" s="470"/>
      <c r="AE30" s="6"/>
      <c r="AF30" s="6"/>
      <c r="AG30" s="495"/>
      <c r="AH30" s="566"/>
      <c r="AI30" s="514"/>
      <c r="AJ30" s="515"/>
      <c r="AK30" s="628"/>
    </row>
    <row r="31" spans="1:37" ht="19.95" customHeight="1" x14ac:dyDescent="0.35">
      <c r="A31" s="1478">
        <v>44727</v>
      </c>
      <c r="B31" s="472">
        <v>1</v>
      </c>
      <c r="C31" s="493"/>
      <c r="D31" s="494"/>
      <c r="E31" s="494"/>
      <c r="F31" s="495"/>
      <c r="G31" s="566"/>
      <c r="H31" s="514"/>
      <c r="I31" s="573"/>
      <c r="J31" s="626"/>
      <c r="K31" s="66"/>
      <c r="L31" s="470"/>
      <c r="M31" s="6"/>
      <c r="N31" s="6"/>
      <c r="O31" s="495"/>
      <c r="P31" s="509"/>
      <c r="Q31" s="6"/>
      <c r="R31" s="6"/>
      <c r="S31" s="628"/>
      <c r="T31" s="66"/>
      <c r="U31" s="470"/>
      <c r="V31" s="6"/>
      <c r="W31" s="6"/>
      <c r="X31" s="495"/>
      <c r="Y31" s="509"/>
      <c r="Z31" s="6"/>
      <c r="AA31" s="6"/>
      <c r="AB31" s="628"/>
      <c r="AC31" s="66"/>
      <c r="AD31" s="470"/>
      <c r="AE31" s="6"/>
      <c r="AF31" s="6"/>
      <c r="AG31" s="495"/>
      <c r="AH31" s="509"/>
      <c r="AI31" s="6"/>
      <c r="AJ31" s="6"/>
      <c r="AK31" s="628"/>
    </row>
    <row r="32" spans="1:37" ht="42.75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14"/>
      <c r="I32" s="573"/>
      <c r="J32" s="626"/>
      <c r="K32" s="66"/>
      <c r="L32" s="470"/>
      <c r="M32" s="6"/>
      <c r="N32" s="6"/>
      <c r="O32" s="508"/>
      <c r="P32" s="509"/>
      <c r="Q32" s="6"/>
      <c r="R32" s="6"/>
      <c r="S32" s="628"/>
      <c r="T32" s="66"/>
      <c r="U32" s="470"/>
      <c r="V32" s="17"/>
      <c r="W32" s="6"/>
      <c r="X32" s="508"/>
      <c r="Y32" s="509"/>
      <c r="Z32" s="6"/>
      <c r="AA32" s="6"/>
      <c r="AB32" s="628"/>
      <c r="AC32" s="66"/>
      <c r="AD32" s="470"/>
      <c r="AE32" s="6">
        <v>25</v>
      </c>
      <c r="AF32" s="6">
        <v>25</v>
      </c>
      <c r="AG32" s="508"/>
      <c r="AH32" s="509"/>
      <c r="AI32" s="502" t="s">
        <v>406</v>
      </c>
      <c r="AJ32" s="6" t="s">
        <v>97</v>
      </c>
      <c r="AK32" s="628"/>
    </row>
    <row r="33" spans="1:37" ht="19.95" customHeight="1" x14ac:dyDescent="0.35">
      <c r="A33" s="1478">
        <v>44728</v>
      </c>
      <c r="B33" s="472">
        <v>1</v>
      </c>
      <c r="C33" s="493"/>
      <c r="D33" s="494"/>
      <c r="E33" s="494"/>
      <c r="F33" s="495"/>
      <c r="G33" s="566"/>
      <c r="H33" s="514"/>
      <c r="I33" s="573"/>
      <c r="J33" s="626"/>
      <c r="K33" s="66"/>
      <c r="L33" s="470"/>
      <c r="M33" s="524"/>
      <c r="N33" s="6"/>
      <c r="O33" s="508"/>
      <c r="P33" s="509"/>
      <c r="Q33" s="6"/>
      <c r="R33" s="6"/>
      <c r="S33" s="628"/>
      <c r="T33" s="66"/>
      <c r="U33" s="470"/>
      <c r="V33" s="6"/>
      <c r="W33" s="6"/>
      <c r="X33" s="508"/>
      <c r="Y33" s="509"/>
      <c r="Z33" s="6"/>
      <c r="AA33" s="6"/>
      <c r="AB33" s="628"/>
      <c r="AC33" s="66"/>
      <c r="AD33" s="470"/>
      <c r="AE33" s="6"/>
      <c r="AF33" s="6"/>
      <c r="AG33" s="508"/>
      <c r="AH33" s="509"/>
      <c r="AI33" s="502"/>
      <c r="AJ33" s="6"/>
      <c r="AK33" s="628"/>
    </row>
    <row r="34" spans="1:37" ht="19.95" customHeight="1" x14ac:dyDescent="0.35">
      <c r="A34" s="1477"/>
      <c r="B34" s="534">
        <v>2</v>
      </c>
      <c r="C34" s="494"/>
      <c r="D34" s="494"/>
      <c r="E34" s="494"/>
      <c r="F34" s="495"/>
      <c r="G34" s="566"/>
      <c r="H34" s="515"/>
      <c r="I34" s="573"/>
      <c r="J34" s="626"/>
      <c r="K34" s="66"/>
      <c r="L34" s="470"/>
      <c r="M34" s="522"/>
      <c r="N34" s="6"/>
      <c r="O34" s="508"/>
      <c r="P34" s="509"/>
      <c r="Q34" s="515"/>
      <c r="R34" s="6"/>
      <c r="S34" s="628"/>
      <c r="T34" s="66"/>
      <c r="U34" s="470"/>
      <c r="V34" s="6"/>
      <c r="W34" s="6">
        <v>10</v>
      </c>
      <c r="X34" s="508"/>
      <c r="Y34" s="6"/>
      <c r="Z34" s="502"/>
      <c r="AA34" s="502" t="s">
        <v>152</v>
      </c>
      <c r="AB34" s="628"/>
      <c r="AC34" s="66"/>
      <c r="AD34" s="470"/>
      <c r="AE34" s="6"/>
      <c r="AF34" s="6"/>
      <c r="AG34" s="508"/>
      <c r="AH34" s="509"/>
      <c r="AI34" s="6"/>
      <c r="AJ34" s="6"/>
      <c r="AK34" s="628"/>
    </row>
    <row r="35" spans="1:37" ht="37.5" customHeight="1" x14ac:dyDescent="0.35">
      <c r="A35" s="1478">
        <v>44729</v>
      </c>
      <c r="B35" s="472">
        <v>1</v>
      </c>
      <c r="C35" s="494"/>
      <c r="D35" s="494">
        <v>12</v>
      </c>
      <c r="E35" s="494"/>
      <c r="F35" s="495"/>
      <c r="G35" s="566"/>
      <c r="H35" s="515" t="s">
        <v>407</v>
      </c>
      <c r="I35" s="573"/>
      <c r="J35" s="626"/>
      <c r="K35" s="66"/>
      <c r="L35" s="470"/>
      <c r="M35" s="6"/>
      <c r="N35" s="6"/>
      <c r="O35" s="508"/>
      <c r="P35" s="465"/>
      <c r="Q35" s="576"/>
      <c r="R35" s="515"/>
      <c r="S35" s="628"/>
      <c r="T35" s="66"/>
      <c r="U35" s="470"/>
      <c r="V35" s="6"/>
      <c r="W35" s="6">
        <v>8</v>
      </c>
      <c r="X35" s="508"/>
      <c r="Y35" s="509"/>
      <c r="Z35" s="502"/>
      <c r="AA35" s="6" t="s">
        <v>331</v>
      </c>
      <c r="AB35" s="628"/>
      <c r="AC35" s="66"/>
      <c r="AD35" s="470"/>
      <c r="AE35" s="6"/>
      <c r="AF35" s="6"/>
      <c r="AG35" s="508"/>
      <c r="AH35" s="509"/>
      <c r="AI35" s="515"/>
      <c r="AJ35" s="515"/>
      <c r="AK35" s="628"/>
    </row>
    <row r="36" spans="1:37" ht="38.25" customHeight="1" x14ac:dyDescent="0.35">
      <c r="A36" s="1477"/>
      <c r="B36" s="472">
        <v>2</v>
      </c>
      <c r="C36" s="494"/>
      <c r="D36" s="494">
        <v>20</v>
      </c>
      <c r="E36" s="494">
        <v>65</v>
      </c>
      <c r="F36" s="495"/>
      <c r="G36" s="565"/>
      <c r="H36" s="515" t="s">
        <v>408</v>
      </c>
      <c r="I36" s="573" t="s">
        <v>409</v>
      </c>
      <c r="J36" s="626"/>
      <c r="K36" s="66"/>
      <c r="L36" s="465"/>
      <c r="M36" s="6"/>
      <c r="N36" s="6"/>
      <c r="O36" s="508"/>
      <c r="P36" s="465"/>
      <c r="Q36" s="576"/>
      <c r="R36" s="6"/>
      <c r="S36" s="628"/>
      <c r="T36" s="66"/>
      <c r="U36" s="470"/>
      <c r="V36" s="6"/>
      <c r="W36" s="6"/>
      <c r="X36" s="508"/>
      <c r="Y36" s="509"/>
      <c r="Z36" s="502"/>
      <c r="AA36" s="502"/>
      <c r="AB36" s="628"/>
      <c r="AC36" s="66"/>
      <c r="AD36" s="470"/>
      <c r="AE36" s="6"/>
      <c r="AF36" s="6"/>
      <c r="AG36" s="508"/>
      <c r="AH36" s="509"/>
      <c r="AI36" s="502"/>
      <c r="AJ36" s="502"/>
      <c r="AK36" s="628"/>
    </row>
    <row r="37" spans="1:37" ht="19.95" customHeight="1" x14ac:dyDescent="0.35">
      <c r="A37" s="1478">
        <v>44730</v>
      </c>
      <c r="B37" s="534">
        <v>1</v>
      </c>
      <c r="C37" s="494"/>
      <c r="D37" s="494"/>
      <c r="E37" s="494"/>
      <c r="F37" s="508"/>
      <c r="G37" s="566"/>
      <c r="H37" s="514"/>
      <c r="I37" s="573"/>
      <c r="J37" s="626"/>
      <c r="K37" s="66"/>
      <c r="L37" s="470"/>
      <c r="M37" s="6"/>
      <c r="N37" s="6"/>
      <c r="O37" s="508"/>
      <c r="P37" s="509"/>
      <c r="Q37" s="6"/>
      <c r="R37" s="6"/>
      <c r="S37" s="628"/>
      <c r="T37" s="66"/>
      <c r="U37" s="470"/>
      <c r="V37" s="6"/>
      <c r="W37" s="6"/>
      <c r="X37" s="508"/>
      <c r="Y37" s="509"/>
      <c r="Z37" s="502"/>
      <c r="AA37" s="502"/>
      <c r="AB37" s="628"/>
      <c r="AC37" s="66"/>
      <c r="AD37" s="470"/>
      <c r="AE37" s="6"/>
      <c r="AF37" s="6"/>
      <c r="AG37" s="508"/>
      <c r="AH37" s="509"/>
      <c r="AI37" s="6"/>
      <c r="AJ37" s="6"/>
      <c r="AK37" s="628"/>
    </row>
    <row r="38" spans="1:37" ht="19.95" customHeight="1" x14ac:dyDescent="0.35">
      <c r="A38" s="1477"/>
      <c r="B38" s="472">
        <v>2</v>
      </c>
      <c r="C38" s="493"/>
      <c r="D38" s="494">
        <v>21</v>
      </c>
      <c r="E38" s="494"/>
      <c r="F38" s="495"/>
      <c r="G38" s="566"/>
      <c r="H38" s="514" t="s">
        <v>410</v>
      </c>
      <c r="I38" s="573"/>
      <c r="J38" s="626"/>
      <c r="K38" s="66"/>
      <c r="L38" s="470"/>
      <c r="M38" s="6"/>
      <c r="N38" s="6"/>
      <c r="O38" s="508"/>
      <c r="P38" s="469"/>
      <c r="Q38" s="6"/>
      <c r="R38" s="6"/>
      <c r="S38" s="628"/>
      <c r="T38" s="66"/>
      <c r="U38" s="470"/>
      <c r="V38" s="6"/>
      <c r="W38" s="6"/>
      <c r="X38" s="508"/>
      <c r="Y38" s="509"/>
      <c r="Z38" s="6"/>
      <c r="AA38" s="6"/>
      <c r="AB38" s="628"/>
      <c r="AC38" s="66"/>
      <c r="AD38" s="470"/>
      <c r="AE38" s="6"/>
      <c r="AF38" s="6"/>
      <c r="AG38" s="508"/>
      <c r="AH38" s="509"/>
      <c r="AI38" s="6"/>
      <c r="AJ38" s="6"/>
      <c r="AK38" s="628"/>
    </row>
    <row r="39" spans="1:37" ht="19.95" customHeight="1" x14ac:dyDescent="0.35">
      <c r="A39" s="1478">
        <v>44731</v>
      </c>
      <c r="B39" s="472">
        <v>1</v>
      </c>
      <c r="C39" s="493"/>
      <c r="D39" s="494"/>
      <c r="E39" s="494"/>
      <c r="F39" s="495"/>
      <c r="G39" s="566"/>
      <c r="H39" s="514"/>
      <c r="I39" s="573"/>
      <c r="J39" s="626"/>
      <c r="K39" s="66"/>
      <c r="L39" s="470"/>
      <c r="M39" s="6"/>
      <c r="N39" s="6"/>
      <c r="O39" s="508"/>
      <c r="P39" s="509"/>
      <c r="Q39" s="6"/>
      <c r="R39" s="6"/>
      <c r="S39" s="628"/>
      <c r="T39" s="66"/>
      <c r="U39" s="470"/>
      <c r="V39" s="6"/>
      <c r="W39" s="6">
        <v>5</v>
      </c>
      <c r="X39" s="508"/>
      <c r="Y39" s="509"/>
      <c r="Z39" s="6"/>
      <c r="AA39" s="502" t="s">
        <v>152</v>
      </c>
      <c r="AB39" s="628"/>
      <c r="AC39" s="66"/>
      <c r="AD39" s="470"/>
      <c r="AE39" s="6"/>
      <c r="AF39" s="6"/>
      <c r="AG39" s="508"/>
      <c r="AH39" s="509"/>
      <c r="AI39" s="6"/>
      <c r="AJ39" s="6"/>
      <c r="AK39" s="628"/>
    </row>
    <row r="40" spans="1:37" ht="19.95" customHeight="1" x14ac:dyDescent="0.35">
      <c r="A40" s="1477"/>
      <c r="B40" s="472">
        <v>2</v>
      </c>
      <c r="C40" s="493"/>
      <c r="D40" s="494"/>
      <c r="E40" s="494"/>
      <c r="F40" s="508"/>
      <c r="G40" s="566"/>
      <c r="H40" s="514"/>
      <c r="I40" s="573"/>
      <c r="J40" s="626"/>
      <c r="K40" s="66"/>
      <c r="L40" s="470"/>
      <c r="M40" s="6"/>
      <c r="N40" s="6"/>
      <c r="O40" s="508"/>
      <c r="P40" s="509"/>
      <c r="Q40" s="6"/>
      <c r="R40" s="6"/>
      <c r="S40" s="628"/>
      <c r="T40" s="66"/>
      <c r="U40" s="470"/>
      <c r="V40" s="6"/>
      <c r="W40" s="6">
        <v>10</v>
      </c>
      <c r="X40" s="508"/>
      <c r="Y40" s="509"/>
      <c r="Z40" s="6"/>
      <c r="AA40" s="502" t="s">
        <v>152</v>
      </c>
      <c r="AB40" s="628"/>
      <c r="AC40" s="66"/>
      <c r="AD40" s="470"/>
      <c r="AE40" s="6"/>
      <c r="AF40" s="6"/>
      <c r="AG40" s="508"/>
      <c r="AH40" s="509"/>
      <c r="AI40" s="6"/>
      <c r="AJ40" s="6"/>
      <c r="AK40" s="628"/>
    </row>
    <row r="41" spans="1:37" ht="19.95" customHeight="1" x14ac:dyDescent="0.35">
      <c r="A41" s="1478">
        <v>44732</v>
      </c>
      <c r="B41" s="472">
        <v>1</v>
      </c>
      <c r="C41" s="493"/>
      <c r="D41" s="494"/>
      <c r="E41" s="494"/>
      <c r="F41" s="508"/>
      <c r="G41" s="566"/>
      <c r="H41" s="515"/>
      <c r="I41" s="573"/>
      <c r="J41" s="626"/>
      <c r="K41" s="66"/>
      <c r="L41" s="470"/>
      <c r="M41" s="6"/>
      <c r="N41" s="6"/>
      <c r="O41" s="508"/>
      <c r="P41" s="509"/>
      <c r="Q41" s="6"/>
      <c r="R41" s="6"/>
      <c r="S41" s="628"/>
      <c r="T41" s="66"/>
      <c r="U41" s="470"/>
      <c r="V41" s="6"/>
      <c r="W41" s="6"/>
      <c r="X41" s="508"/>
      <c r="Y41" s="509"/>
      <c r="Z41" s="502"/>
      <c r="AA41" s="502"/>
      <c r="AB41" s="628"/>
      <c r="AC41" s="66"/>
      <c r="AD41" s="470"/>
      <c r="AE41" s="6"/>
      <c r="AF41" s="6"/>
      <c r="AG41" s="508"/>
      <c r="AH41" s="509"/>
      <c r="AI41" s="6"/>
      <c r="AJ41" s="6"/>
      <c r="AK41" s="628"/>
    </row>
    <row r="42" spans="1:37" ht="19.95" customHeight="1" x14ac:dyDescent="0.35">
      <c r="A42" s="1477"/>
      <c r="B42" s="472">
        <v>2</v>
      </c>
      <c r="C42" s="493"/>
      <c r="D42" s="494"/>
      <c r="E42" s="494"/>
      <c r="F42" s="508"/>
      <c r="G42" s="566"/>
      <c r="H42" s="514"/>
      <c r="I42" s="573"/>
      <c r="J42" s="626"/>
      <c r="K42" s="66"/>
      <c r="L42" s="470"/>
      <c r="M42" s="6"/>
      <c r="N42" s="6"/>
      <c r="O42" s="508"/>
      <c r="P42" s="509"/>
      <c r="Q42" s="6"/>
      <c r="R42" s="6"/>
      <c r="S42" s="628"/>
      <c r="T42" s="66"/>
      <c r="U42" s="470"/>
      <c r="V42" s="6"/>
      <c r="W42" s="6">
        <v>15</v>
      </c>
      <c r="X42" s="508"/>
      <c r="Y42" s="469"/>
      <c r="Z42" s="6"/>
      <c r="AA42" s="502" t="s">
        <v>152</v>
      </c>
      <c r="AB42" s="628"/>
      <c r="AC42" s="66"/>
      <c r="AD42" s="470"/>
      <c r="AE42" s="6"/>
      <c r="AF42" s="6"/>
      <c r="AG42" s="508"/>
      <c r="AH42" s="509"/>
      <c r="AI42" s="6"/>
      <c r="AJ42" s="6"/>
      <c r="AK42" s="628"/>
    </row>
    <row r="43" spans="1:37" ht="19.95" customHeight="1" x14ac:dyDescent="0.35">
      <c r="A43" s="1478">
        <v>44733</v>
      </c>
      <c r="B43" s="472">
        <v>1</v>
      </c>
      <c r="C43" s="493"/>
      <c r="D43" s="494"/>
      <c r="E43" s="494"/>
      <c r="F43" s="495"/>
      <c r="G43" s="566"/>
      <c r="H43" s="514"/>
      <c r="I43" s="573"/>
      <c r="J43" s="626"/>
      <c r="K43" s="66"/>
      <c r="L43" s="470"/>
      <c r="M43" s="6"/>
      <c r="N43" s="6"/>
      <c r="O43" s="508"/>
      <c r="P43" s="509"/>
      <c r="Q43" s="6"/>
      <c r="R43" s="6"/>
      <c r="S43" s="629"/>
      <c r="T43" s="66"/>
      <c r="U43" s="470"/>
      <c r="V43" s="6"/>
      <c r="W43" s="6"/>
      <c r="X43" s="508"/>
      <c r="Y43" s="509"/>
      <c r="Z43" s="6"/>
      <c r="AA43" s="502"/>
      <c r="AB43" s="629"/>
      <c r="AC43" s="66"/>
      <c r="AD43" s="470"/>
      <c r="AE43" s="6"/>
      <c r="AF43" s="6"/>
      <c r="AG43" s="508"/>
      <c r="AH43" s="502"/>
      <c r="AI43" s="6"/>
      <c r="AJ43" s="6"/>
      <c r="AK43" s="629"/>
    </row>
    <row r="44" spans="1:37" ht="36" customHeight="1" x14ac:dyDescent="0.35">
      <c r="A44" s="1477"/>
      <c r="B44" s="472">
        <v>2</v>
      </c>
      <c r="C44" s="493"/>
      <c r="D44" s="494"/>
      <c r="E44" s="494"/>
      <c r="F44" s="495"/>
      <c r="G44" s="565"/>
      <c r="H44" s="514"/>
      <c r="I44" s="515"/>
      <c r="J44" s="575"/>
      <c r="K44" s="66"/>
      <c r="L44" s="470"/>
      <c r="M44" s="6"/>
      <c r="N44" s="6"/>
      <c r="O44" s="508"/>
      <c r="P44" s="509"/>
      <c r="Q44" s="6"/>
      <c r="R44" s="502"/>
      <c r="S44" s="508"/>
      <c r="T44" s="66"/>
      <c r="U44" s="470"/>
      <c r="V44" s="6"/>
      <c r="W44" s="6">
        <v>10</v>
      </c>
      <c r="X44" s="508"/>
      <c r="Y44" s="469"/>
      <c r="Z44" s="6"/>
      <c r="AA44" s="502" t="s">
        <v>152</v>
      </c>
      <c r="AB44" s="508"/>
      <c r="AC44" s="66"/>
      <c r="AD44" s="470"/>
      <c r="AE44" s="6"/>
      <c r="AF44" s="6"/>
      <c r="AG44" s="508"/>
      <c r="AH44" s="509"/>
      <c r="AI44" s="6"/>
      <c r="AJ44" s="502"/>
      <c r="AK44" s="508"/>
    </row>
    <row r="45" spans="1:37" ht="19.95" customHeight="1" x14ac:dyDescent="0.35">
      <c r="A45" s="1478">
        <v>44734</v>
      </c>
      <c r="B45" s="472">
        <v>1</v>
      </c>
      <c r="C45" s="493"/>
      <c r="D45" s="494"/>
      <c r="E45" s="494"/>
      <c r="F45" s="495"/>
      <c r="G45" s="566"/>
      <c r="H45" s="514"/>
      <c r="I45" s="515"/>
      <c r="J45" s="568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>
        <v>10</v>
      </c>
      <c r="X45" s="508"/>
      <c r="Y45" s="509"/>
      <c r="Z45" s="6"/>
      <c r="AA45" s="502" t="s">
        <v>152</v>
      </c>
      <c r="AB45" s="508"/>
      <c r="AC45" s="66"/>
      <c r="AD45" s="470"/>
      <c r="AE45" s="6"/>
      <c r="AF45" s="6"/>
      <c r="AG45" s="508"/>
      <c r="AH45" s="509"/>
      <c r="AI45" s="17"/>
      <c r="AJ45" s="502"/>
      <c r="AK45" s="508"/>
    </row>
    <row r="46" spans="1:37" ht="19.95" customHeight="1" x14ac:dyDescent="0.35">
      <c r="A46" s="1477"/>
      <c r="B46" s="472">
        <v>2</v>
      </c>
      <c r="C46" s="1501">
        <v>3670</v>
      </c>
      <c r="D46" s="494"/>
      <c r="E46" s="1506">
        <v>565</v>
      </c>
      <c r="F46" s="495"/>
      <c r="G46" s="1485" t="s">
        <v>411</v>
      </c>
      <c r="H46" s="515"/>
      <c r="I46" s="1503" t="s">
        <v>412</v>
      </c>
      <c r="J46" s="568"/>
      <c r="K46" s="66"/>
      <c r="L46" s="470"/>
      <c r="M46" s="6"/>
      <c r="N46" s="6"/>
      <c r="O46" s="508"/>
      <c r="P46" s="509"/>
      <c r="Q46" s="515"/>
      <c r="R46" s="6"/>
      <c r="S46" s="508"/>
      <c r="T46" s="66"/>
      <c r="U46" s="470"/>
      <c r="V46" s="6"/>
      <c r="W46" s="6"/>
      <c r="X46" s="508"/>
      <c r="Y46" s="509"/>
      <c r="Z46" s="6"/>
      <c r="AA46" s="502"/>
      <c r="AB46" s="508"/>
      <c r="AC46" s="66"/>
      <c r="AD46" s="470"/>
      <c r="AE46" s="6"/>
      <c r="AF46" s="6"/>
      <c r="AG46" s="508"/>
      <c r="AH46" s="509"/>
      <c r="AI46" s="6"/>
      <c r="AJ46" s="515"/>
      <c r="AK46" s="508"/>
    </row>
    <row r="47" spans="1:37" ht="19.95" customHeight="1" x14ac:dyDescent="0.35">
      <c r="A47" s="1478">
        <v>44735</v>
      </c>
      <c r="B47" s="472">
        <v>1</v>
      </c>
      <c r="C47" s="1502"/>
      <c r="D47" s="494"/>
      <c r="E47" s="1507"/>
      <c r="F47" s="495"/>
      <c r="G47" s="1500"/>
      <c r="H47" s="514"/>
      <c r="I47" s="1504"/>
      <c r="J47" s="568"/>
      <c r="K47" s="66"/>
      <c r="L47" s="470"/>
      <c r="M47" s="6"/>
      <c r="N47" s="6"/>
      <c r="O47" s="508"/>
      <c r="P47" s="509"/>
      <c r="Q47" s="6"/>
      <c r="R47" s="6"/>
      <c r="S47" s="508"/>
      <c r="T47" s="66"/>
      <c r="U47" s="470"/>
      <c r="V47" s="6"/>
      <c r="W47" s="6"/>
      <c r="X47" s="508"/>
      <c r="Y47" s="509"/>
      <c r="Z47" s="502"/>
      <c r="AA47" s="502"/>
      <c r="AB47" s="508"/>
      <c r="AC47" s="66"/>
      <c r="AD47" s="470"/>
      <c r="AE47" s="6"/>
      <c r="AF47" s="6">
        <v>39</v>
      </c>
      <c r="AG47" s="508"/>
      <c r="AH47" s="469"/>
      <c r="AI47" s="6"/>
      <c r="AJ47" s="6" t="s">
        <v>97</v>
      </c>
      <c r="AK47" s="508"/>
    </row>
    <row r="48" spans="1:37" ht="42.75" customHeight="1" x14ac:dyDescent="0.35">
      <c r="A48" s="1477"/>
      <c r="B48" s="472">
        <v>2</v>
      </c>
      <c r="C48" s="1502"/>
      <c r="D48" s="494"/>
      <c r="E48" s="1507"/>
      <c r="F48" s="495"/>
      <c r="G48" s="1500"/>
      <c r="H48" s="515"/>
      <c r="I48" s="1504"/>
      <c r="J48" s="527"/>
      <c r="K48" s="66"/>
      <c r="L48" s="470"/>
      <c r="M48" s="6">
        <v>50</v>
      </c>
      <c r="N48" s="6">
        <v>70</v>
      </c>
      <c r="O48" s="508"/>
      <c r="P48" s="509"/>
      <c r="Q48" s="515" t="s">
        <v>334</v>
      </c>
      <c r="R48" s="502" t="s">
        <v>413</v>
      </c>
      <c r="S48" s="527"/>
      <c r="T48" s="66"/>
      <c r="U48" s="470"/>
      <c r="V48" s="6"/>
      <c r="W48" s="6"/>
      <c r="X48" s="508"/>
      <c r="Y48" s="469"/>
      <c r="Z48" s="6"/>
      <c r="AA48" s="502"/>
      <c r="AB48" s="527"/>
      <c r="AC48" s="66"/>
      <c r="AD48" s="470"/>
      <c r="AE48" s="6"/>
      <c r="AF48" s="6"/>
      <c r="AG48" s="508"/>
      <c r="AH48" s="509"/>
      <c r="AI48" s="6"/>
      <c r="AJ48" s="6"/>
      <c r="AK48" s="527"/>
    </row>
    <row r="49" spans="1:37" ht="19.95" customHeight="1" x14ac:dyDescent="0.35">
      <c r="A49" s="1478">
        <v>44736</v>
      </c>
      <c r="B49" s="472">
        <v>1</v>
      </c>
      <c r="C49" s="1502"/>
      <c r="D49" s="494"/>
      <c r="E49" s="1507"/>
      <c r="F49" s="495"/>
      <c r="G49" s="1500"/>
      <c r="H49" s="514"/>
      <c r="I49" s="1504"/>
      <c r="J49" s="527"/>
      <c r="K49" s="66"/>
      <c r="L49" s="470"/>
      <c r="M49" s="6"/>
      <c r="N49" s="6"/>
      <c r="O49" s="508"/>
      <c r="P49" s="509"/>
      <c r="Q49" s="6"/>
      <c r="R49" s="6"/>
      <c r="S49" s="526"/>
      <c r="T49" s="66"/>
      <c r="U49" s="470"/>
      <c r="V49" s="6"/>
      <c r="W49" s="6"/>
      <c r="X49" s="508"/>
      <c r="Y49" s="509"/>
      <c r="Z49" s="502"/>
      <c r="AA49" s="502"/>
      <c r="AB49" s="526"/>
      <c r="AC49" s="66"/>
      <c r="AD49" s="470"/>
      <c r="AE49" s="6"/>
      <c r="AF49" s="6">
        <v>15</v>
      </c>
      <c r="AG49" s="508"/>
      <c r="AH49" s="509"/>
      <c r="AI49" s="6"/>
      <c r="AJ49" s="6" t="s">
        <v>97</v>
      </c>
      <c r="AK49" s="526"/>
    </row>
    <row r="50" spans="1:37" ht="19.95" customHeight="1" x14ac:dyDescent="0.35">
      <c r="A50" s="1477"/>
      <c r="B50" s="472">
        <v>2</v>
      </c>
      <c r="C50" s="1502"/>
      <c r="D50" s="494"/>
      <c r="E50" s="1507"/>
      <c r="F50" s="495"/>
      <c r="G50" s="1500"/>
      <c r="H50" s="514"/>
      <c r="I50" s="1504"/>
      <c r="J50" s="568"/>
      <c r="K50" s="66"/>
      <c r="L50" s="470"/>
      <c r="M50" s="6"/>
      <c r="N50" s="6"/>
      <c r="O50" s="508"/>
      <c r="P50" s="509"/>
      <c r="Q50" s="502"/>
      <c r="R50" s="502"/>
      <c r="S50" s="508"/>
      <c r="T50" s="66"/>
      <c r="U50" s="470"/>
      <c r="V50" s="6"/>
      <c r="W50" s="6"/>
      <c r="X50" s="508"/>
      <c r="Y50" s="469"/>
      <c r="Z50" s="502"/>
      <c r="AA50" s="502"/>
      <c r="AB50" s="508"/>
      <c r="AC50" s="66"/>
      <c r="AD50" s="470"/>
      <c r="AE50" s="6"/>
      <c r="AF50" s="6"/>
      <c r="AG50" s="508"/>
      <c r="AH50" s="509"/>
      <c r="AI50" s="6"/>
      <c r="AJ50" s="6"/>
      <c r="AK50" s="508"/>
    </row>
    <row r="51" spans="1:37" ht="19.95" customHeight="1" x14ac:dyDescent="0.35">
      <c r="A51" s="1478">
        <v>44737</v>
      </c>
      <c r="B51" s="472">
        <v>1</v>
      </c>
      <c r="C51" s="1502"/>
      <c r="D51" s="494"/>
      <c r="E51" s="1507"/>
      <c r="F51" s="495"/>
      <c r="G51" s="1500"/>
      <c r="H51" s="514"/>
      <c r="I51" s="1505"/>
      <c r="J51" s="568"/>
      <c r="K51" s="66"/>
      <c r="L51" s="470"/>
      <c r="M51" s="6"/>
      <c r="N51" s="6"/>
      <c r="O51" s="508"/>
      <c r="P51" s="509"/>
      <c r="Q51" s="6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</row>
    <row r="52" spans="1:37" ht="31.95" customHeight="1" x14ac:dyDescent="0.35">
      <c r="A52" s="1477"/>
      <c r="B52" s="472">
        <v>2</v>
      </c>
      <c r="C52" s="630"/>
      <c r="D52" s="494"/>
      <c r="E52" s="632">
        <v>41</v>
      </c>
      <c r="F52" s="495"/>
      <c r="G52" s="561"/>
      <c r="H52" s="515"/>
      <c r="I52" s="515" t="s">
        <v>97</v>
      </c>
      <c r="J52" s="527"/>
      <c r="K52" s="66"/>
      <c r="L52" s="470"/>
      <c r="M52" s="6">
        <v>114</v>
      </c>
      <c r="N52" s="6"/>
      <c r="O52" s="508"/>
      <c r="P52" s="509"/>
      <c r="Q52" s="1498" t="s">
        <v>406</v>
      </c>
      <c r="R52" s="6"/>
      <c r="S52" s="527"/>
      <c r="T52" s="66"/>
      <c r="U52" s="470"/>
      <c r="V52" s="6"/>
      <c r="W52" s="6"/>
      <c r="X52" s="508"/>
      <c r="Y52" s="469"/>
      <c r="Z52" s="502"/>
      <c r="AA52" s="502"/>
      <c r="AB52" s="527"/>
      <c r="AC52" s="66"/>
      <c r="AD52" s="470"/>
      <c r="AE52" s="6"/>
      <c r="AF52" s="6">
        <v>27</v>
      </c>
      <c r="AG52" s="508"/>
      <c r="AH52" s="509"/>
      <c r="AI52" s="6"/>
      <c r="AJ52" s="6" t="s">
        <v>97</v>
      </c>
      <c r="AK52" s="527"/>
    </row>
    <row r="53" spans="1:37" ht="34.200000000000003" customHeight="1" x14ac:dyDescent="0.35">
      <c r="A53" s="1478">
        <v>44738</v>
      </c>
      <c r="B53" s="472">
        <v>1</v>
      </c>
      <c r="C53" s="493"/>
      <c r="D53" s="494"/>
      <c r="E53" s="494"/>
      <c r="F53" s="495"/>
      <c r="G53" s="566"/>
      <c r="H53" s="514"/>
      <c r="I53" s="514"/>
      <c r="J53" s="568"/>
      <c r="K53" s="66"/>
      <c r="L53" s="470"/>
      <c r="M53" s="6">
        <v>40</v>
      </c>
      <c r="N53" s="6"/>
      <c r="O53" s="508"/>
      <c r="P53" s="469"/>
      <c r="Q53" s="1499"/>
      <c r="R53" s="6"/>
      <c r="S53" s="508"/>
      <c r="T53" s="66"/>
      <c r="U53" s="470"/>
      <c r="V53" s="6"/>
      <c r="W53" s="6">
        <v>10</v>
      </c>
      <c r="X53" s="508"/>
      <c r="Y53" s="469"/>
      <c r="Z53" s="6"/>
      <c r="AA53" s="6" t="s">
        <v>169</v>
      </c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</row>
    <row r="54" spans="1:37" ht="19.95" customHeight="1" x14ac:dyDescent="0.35">
      <c r="A54" s="1477"/>
      <c r="B54" s="500">
        <v>2</v>
      </c>
      <c r="C54" s="493"/>
      <c r="D54" s="494"/>
      <c r="E54" s="494"/>
      <c r="F54" s="495"/>
      <c r="G54" s="566"/>
      <c r="H54" s="514"/>
      <c r="I54" s="515"/>
      <c r="J54" s="568"/>
      <c r="K54" s="66"/>
      <c r="L54" s="470"/>
      <c r="M54" s="6">
        <v>110</v>
      </c>
      <c r="N54" s="6"/>
      <c r="O54" s="508"/>
      <c r="P54" s="509"/>
      <c r="Q54" s="6" t="s">
        <v>96</v>
      </c>
      <c r="R54" s="6"/>
      <c r="S54" s="508"/>
      <c r="T54" s="66"/>
      <c r="U54" s="470"/>
      <c r="V54" s="6"/>
      <c r="W54" s="6"/>
      <c r="X54" s="508"/>
      <c r="Y54" s="577"/>
      <c r="Z54" s="564"/>
      <c r="AA54" s="578"/>
      <c r="AB54" s="508"/>
      <c r="AC54" s="66"/>
      <c r="AD54" s="470"/>
      <c r="AE54" s="6"/>
      <c r="AF54" s="6"/>
      <c r="AG54" s="508"/>
      <c r="AH54" s="509"/>
      <c r="AI54" s="6"/>
      <c r="AJ54" s="502"/>
      <c r="AK54" s="508"/>
    </row>
    <row r="55" spans="1:37" ht="31.95" customHeight="1" x14ac:dyDescent="0.35">
      <c r="A55" s="1478">
        <v>44739</v>
      </c>
      <c r="B55" s="472">
        <v>1</v>
      </c>
      <c r="C55" s="493"/>
      <c r="D55" s="494"/>
      <c r="E55" s="494">
        <v>10</v>
      </c>
      <c r="F55" s="495"/>
      <c r="G55" s="566"/>
      <c r="H55" s="514"/>
      <c r="I55" s="515" t="s">
        <v>97</v>
      </c>
      <c r="J55" s="527"/>
      <c r="K55" s="66"/>
      <c r="L55" s="470"/>
      <c r="M55" s="6"/>
      <c r="N55" s="6"/>
      <c r="O55" s="508"/>
      <c r="P55" s="509"/>
      <c r="Q55" s="6"/>
      <c r="R55" s="6"/>
      <c r="S55" s="527"/>
      <c r="T55" s="66"/>
      <c r="U55" s="470"/>
      <c r="V55" s="6"/>
      <c r="W55" s="6">
        <v>10</v>
      </c>
      <c r="X55" s="508"/>
      <c r="Y55" s="509"/>
      <c r="Z55" s="6"/>
      <c r="AA55" s="502" t="s">
        <v>152</v>
      </c>
      <c r="AB55" s="527"/>
      <c r="AC55" s="66"/>
      <c r="AD55" s="470"/>
      <c r="AE55" s="6"/>
      <c r="AF55" s="6"/>
      <c r="AG55" s="508"/>
      <c r="AH55" s="509"/>
      <c r="AI55" s="6"/>
      <c r="AJ55" s="6"/>
      <c r="AK55" s="527"/>
    </row>
    <row r="56" spans="1:37" ht="19.95" customHeight="1" x14ac:dyDescent="0.35">
      <c r="A56" s="1477"/>
      <c r="B56" s="500">
        <v>2</v>
      </c>
      <c r="C56" s="493"/>
      <c r="D56" s="494"/>
      <c r="E56" s="494"/>
      <c r="F56" s="495"/>
      <c r="G56" s="565"/>
      <c r="H56" s="514"/>
      <c r="I56" s="515"/>
      <c r="J56" s="568"/>
      <c r="K56" s="66"/>
      <c r="L56" s="470"/>
      <c r="M56" s="6"/>
      <c r="N56" s="6"/>
      <c r="O56" s="508"/>
      <c r="P56" s="509"/>
      <c r="Q56" s="6"/>
      <c r="R56" s="6"/>
      <c r="S56" s="508"/>
      <c r="T56" s="66"/>
      <c r="U56" s="470"/>
      <c r="V56" s="6"/>
      <c r="W56" s="6"/>
      <c r="X56" s="508"/>
      <c r="Y56" s="469"/>
      <c r="Z56" s="502"/>
      <c r="AA56" s="514"/>
      <c r="AB56" s="508"/>
      <c r="AC56" s="66"/>
      <c r="AD56" s="470"/>
      <c r="AE56" s="6"/>
      <c r="AF56" s="6"/>
      <c r="AG56" s="508"/>
      <c r="AH56" s="509"/>
      <c r="AI56" s="502"/>
      <c r="AJ56" s="514"/>
      <c r="AK56" s="508"/>
    </row>
    <row r="57" spans="1:37" ht="19.95" customHeight="1" x14ac:dyDescent="0.35">
      <c r="A57" s="1478">
        <v>44740</v>
      </c>
      <c r="B57" s="472">
        <v>1</v>
      </c>
      <c r="C57" s="493"/>
      <c r="D57" s="494"/>
      <c r="E57" s="494"/>
      <c r="F57" s="495"/>
      <c r="G57" s="566"/>
      <c r="H57" s="514"/>
      <c r="I57" s="515"/>
      <c r="J57" s="568"/>
      <c r="K57" s="66"/>
      <c r="L57" s="470"/>
      <c r="M57" s="6"/>
      <c r="N57" s="6"/>
      <c r="O57" s="508"/>
      <c r="P57" s="509"/>
      <c r="Q57" s="6"/>
      <c r="R57" s="502"/>
      <c r="S57" s="508"/>
      <c r="T57" s="66"/>
      <c r="U57" s="470"/>
      <c r="V57" s="6"/>
      <c r="W57" s="6"/>
      <c r="X57" s="508"/>
      <c r="Y57" s="469"/>
      <c r="Z57" s="502"/>
      <c r="AA57" s="502"/>
      <c r="AB57" s="508"/>
      <c r="AC57" s="66"/>
      <c r="AD57" s="470"/>
      <c r="AE57" s="6"/>
      <c r="AF57" s="6">
        <v>33</v>
      </c>
      <c r="AG57" s="508"/>
      <c r="AH57" s="509"/>
      <c r="AI57" s="6"/>
      <c r="AJ57" s="6" t="s">
        <v>97</v>
      </c>
      <c r="AK57" s="508"/>
    </row>
    <row r="58" spans="1:37" ht="19.95" customHeight="1" x14ac:dyDescent="0.35">
      <c r="A58" s="1477"/>
      <c r="B58" s="500">
        <v>2</v>
      </c>
      <c r="C58" s="493"/>
      <c r="D58" s="494"/>
      <c r="E58" s="494"/>
      <c r="F58" s="495"/>
      <c r="G58" s="565"/>
      <c r="H58" s="514"/>
      <c r="I58" s="515"/>
      <c r="J58" s="568"/>
      <c r="K58" s="66"/>
      <c r="L58" s="470"/>
      <c r="M58" s="6"/>
      <c r="N58" s="6"/>
      <c r="O58" s="508"/>
      <c r="P58" s="509"/>
      <c r="Q58" s="6"/>
      <c r="R58" s="6"/>
      <c r="S58" s="508"/>
      <c r="T58" s="66"/>
      <c r="U58" s="470"/>
      <c r="V58" s="6"/>
      <c r="W58" s="6"/>
      <c r="X58" s="508"/>
      <c r="Y58" s="509"/>
      <c r="Z58" s="502"/>
      <c r="AA58" s="6"/>
      <c r="AB58" s="508"/>
      <c r="AC58" s="66"/>
      <c r="AD58" s="470"/>
      <c r="AE58" s="6"/>
      <c r="AF58" s="6"/>
      <c r="AG58" s="508"/>
      <c r="AH58" s="509"/>
      <c r="AI58" s="6"/>
      <c r="AJ58" s="6"/>
      <c r="AK58" s="508"/>
    </row>
    <row r="59" spans="1:37" ht="19.95" customHeight="1" x14ac:dyDescent="0.35">
      <c r="A59" s="1478">
        <v>44741</v>
      </c>
      <c r="B59" s="472">
        <v>1</v>
      </c>
      <c r="C59" s="493"/>
      <c r="D59" s="494"/>
      <c r="E59" s="494"/>
      <c r="F59" s="495"/>
      <c r="G59" s="566"/>
      <c r="H59" s="514"/>
      <c r="I59" s="6"/>
      <c r="J59" s="568"/>
      <c r="K59" s="66"/>
      <c r="L59" s="470"/>
      <c r="M59" s="6"/>
      <c r="N59" s="6"/>
      <c r="O59" s="508"/>
      <c r="P59" s="509"/>
      <c r="Q59" s="502"/>
      <c r="R59" s="6"/>
      <c r="S59" s="508"/>
      <c r="T59" s="66"/>
      <c r="U59" s="470"/>
      <c r="V59" s="6"/>
      <c r="W59" s="6"/>
      <c r="X59" s="508"/>
      <c r="Y59" s="509"/>
      <c r="Z59" s="6"/>
      <c r="AA59" s="6"/>
      <c r="AB59" s="508"/>
      <c r="AC59" s="66"/>
      <c r="AD59" s="470"/>
      <c r="AE59" s="6"/>
      <c r="AF59" s="6"/>
      <c r="AG59" s="508"/>
      <c r="AH59" s="469"/>
      <c r="AI59" s="6"/>
      <c r="AJ59" s="6"/>
      <c r="AK59" s="508"/>
    </row>
    <row r="60" spans="1:37" ht="31.95" customHeight="1" x14ac:dyDescent="0.35">
      <c r="A60" s="1477"/>
      <c r="B60" s="500">
        <v>2</v>
      </c>
      <c r="C60" s="493"/>
      <c r="D60" s="494"/>
      <c r="E60" s="494"/>
      <c r="F60" s="495"/>
      <c r="G60" s="565"/>
      <c r="H60" s="515"/>
      <c r="I60" s="515"/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>
        <v>5</v>
      </c>
      <c r="W60" s="6"/>
      <c r="X60" s="508"/>
      <c r="Y60" s="469"/>
      <c r="Z60" s="502"/>
      <c r="AA60" s="6" t="s">
        <v>276</v>
      </c>
      <c r="AB60" s="527"/>
      <c r="AC60" s="66"/>
      <c r="AD60" s="470"/>
      <c r="AE60" s="6"/>
      <c r="AF60" s="6"/>
      <c r="AG60" s="508"/>
      <c r="AH60" s="509"/>
      <c r="AI60" s="6"/>
      <c r="AJ60" s="6"/>
      <c r="AK60" s="527"/>
    </row>
    <row r="61" spans="1:37" ht="19.95" customHeight="1" x14ac:dyDescent="0.35">
      <c r="A61" s="1478">
        <v>44742</v>
      </c>
      <c r="B61" s="472">
        <v>1</v>
      </c>
      <c r="C61" s="618"/>
      <c r="D61" s="619"/>
      <c r="E61" s="619">
        <v>10</v>
      </c>
      <c r="F61" s="620"/>
      <c r="G61" s="617"/>
      <c r="H61" s="576"/>
      <c r="I61" s="621" t="s">
        <v>152</v>
      </c>
      <c r="J61" s="622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>
        <v>20</v>
      </c>
      <c r="X61" s="508"/>
      <c r="Y61" s="469"/>
      <c r="Z61" s="502"/>
      <c r="AA61" s="6" t="s">
        <v>152</v>
      </c>
      <c r="AB61" s="624"/>
      <c r="AC61" s="66"/>
      <c r="AD61" s="470"/>
      <c r="AE61" s="6"/>
      <c r="AF61" s="6">
        <v>15</v>
      </c>
      <c r="AG61" s="508"/>
      <c r="AH61" s="509"/>
      <c r="AI61" s="6"/>
      <c r="AJ61" s="6" t="s">
        <v>152</v>
      </c>
      <c r="AK61" s="624"/>
    </row>
    <row r="62" spans="1:37" ht="19.9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621"/>
      <c r="J62" s="622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6"/>
      <c r="AB62" s="624"/>
      <c r="AC62" s="66"/>
      <c r="AD62" s="470"/>
      <c r="AE62" s="6"/>
      <c r="AF62" s="6"/>
      <c r="AG62" s="508"/>
      <c r="AH62" s="509"/>
      <c r="AI62" s="6"/>
      <c r="AJ62" s="6"/>
      <c r="AK62" s="624"/>
    </row>
    <row r="63" spans="1:37" ht="19.95" customHeight="1" x14ac:dyDescent="0.35">
      <c r="A63" s="1478"/>
      <c r="B63" s="472">
        <v>1</v>
      </c>
      <c r="C63" s="587"/>
      <c r="D63" s="588"/>
      <c r="E63" s="588"/>
      <c r="F63" s="589"/>
      <c r="G63" s="598"/>
      <c r="H63" s="590"/>
      <c r="I63" s="591"/>
      <c r="J63" s="572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514"/>
      <c r="AB63" s="563"/>
      <c r="AC63" s="66"/>
      <c r="AD63" s="470"/>
      <c r="AE63" s="6"/>
      <c r="AF63" s="6"/>
      <c r="AG63" s="495"/>
      <c r="AH63" s="566"/>
      <c r="AI63" s="514"/>
      <c r="AJ63" s="514"/>
      <c r="AK63" s="586"/>
    </row>
    <row r="64" spans="1:37" ht="19.9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</row>
    <row r="65" spans="1:33" x14ac:dyDescent="0.35">
      <c r="A65" s="423" t="s">
        <v>225</v>
      </c>
      <c r="C65" s="65">
        <f>SUM(C3:C64)</f>
        <v>3695</v>
      </c>
      <c r="D65" s="65">
        <f>SUM(D3:D64)</f>
        <v>99</v>
      </c>
      <c r="E65" s="631">
        <f>SUM(E3:E64)</f>
        <v>825</v>
      </c>
      <c r="F65" s="65">
        <f>SUM(F3:F64)</f>
        <v>170</v>
      </c>
      <c r="L65" s="65">
        <f>SUM(L3:L64)</f>
        <v>0</v>
      </c>
      <c r="M65" s="65">
        <f>SUM(M3:M64)</f>
        <v>538</v>
      </c>
      <c r="N65" s="65">
        <f>SUM(N3:N64)</f>
        <v>70</v>
      </c>
      <c r="O65" s="65">
        <f>SUM(O3:O64)</f>
        <v>170</v>
      </c>
      <c r="U65" s="65">
        <f>SUM(U3:U64)</f>
        <v>82</v>
      </c>
      <c r="V65" s="65">
        <f>SUM(V3:V64)</f>
        <v>87</v>
      </c>
      <c r="W65" s="65">
        <f>SUM(W3:W64)</f>
        <v>483</v>
      </c>
      <c r="X65" s="65">
        <f>SUM(X3:X64)</f>
        <v>195</v>
      </c>
      <c r="AD65" s="65">
        <f>SUM(AD3:AD64)</f>
        <v>105</v>
      </c>
      <c r="AE65" s="65">
        <f>SUM(AE3:AE64)</f>
        <v>91</v>
      </c>
      <c r="AF65" s="65">
        <f>SUM(AF3:AF64)</f>
        <v>285</v>
      </c>
      <c r="AG65" s="65">
        <f>SUM(AG3:AG64)</f>
        <v>183</v>
      </c>
    </row>
    <row r="73" spans="1:33" ht="14.6" thickBot="1" x14ac:dyDescent="0.4"/>
    <row r="74" spans="1:3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3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33" ht="21.75" customHeight="1" x14ac:dyDescent="0.4">
      <c r="B76" s="541" t="s">
        <v>218</v>
      </c>
      <c r="C76" s="542">
        <f>C65</f>
        <v>3695</v>
      </c>
      <c r="D76" s="543">
        <f>C76/60</f>
        <v>61.583333333333336</v>
      </c>
      <c r="E76" s="542">
        <f>D65</f>
        <v>99</v>
      </c>
      <c r="F76" s="544">
        <f>E76/60</f>
        <v>1.65</v>
      </c>
      <c r="G76" s="542">
        <f>E65</f>
        <v>825</v>
      </c>
      <c r="H76" s="543">
        <f>G76/60</f>
        <v>13.75</v>
      </c>
      <c r="I76" s="542">
        <f>F65</f>
        <v>170</v>
      </c>
      <c r="J76" s="543">
        <f>I76/60</f>
        <v>2.8333333333333335</v>
      </c>
    </row>
    <row r="77" spans="1:33" ht="19.5" customHeight="1" x14ac:dyDescent="0.4">
      <c r="B77" s="541" t="s">
        <v>219</v>
      </c>
      <c r="C77" s="545">
        <f>L65</f>
        <v>0</v>
      </c>
      <c r="D77" s="546">
        <f t="shared" ref="D77:F79" si="0">C77/60</f>
        <v>0</v>
      </c>
      <c r="E77" s="545">
        <f>M65</f>
        <v>538</v>
      </c>
      <c r="F77" s="547">
        <f t="shared" si="0"/>
        <v>8.9666666666666668</v>
      </c>
      <c r="G77" s="545">
        <f>N65</f>
        <v>70</v>
      </c>
      <c r="H77" s="546">
        <f t="shared" ref="H77:J79" si="1">G77/60</f>
        <v>1.1666666666666667</v>
      </c>
      <c r="I77" s="545">
        <f>O65</f>
        <v>170</v>
      </c>
      <c r="J77" s="546">
        <f t="shared" si="1"/>
        <v>2.8333333333333335</v>
      </c>
    </row>
    <row r="78" spans="1:33" ht="20.25" customHeight="1" x14ac:dyDescent="0.4">
      <c r="B78" s="541" t="s">
        <v>220</v>
      </c>
      <c r="C78" s="545">
        <f>U65</f>
        <v>82</v>
      </c>
      <c r="D78" s="546">
        <f t="shared" si="0"/>
        <v>1.3666666666666667</v>
      </c>
      <c r="E78" s="545">
        <f>V65</f>
        <v>87</v>
      </c>
      <c r="F78" s="547">
        <f t="shared" si="0"/>
        <v>1.45</v>
      </c>
      <c r="G78" s="545">
        <f>W65</f>
        <v>483</v>
      </c>
      <c r="H78" s="546">
        <f t="shared" si="1"/>
        <v>8.0500000000000007</v>
      </c>
      <c r="I78" s="545">
        <f>X65</f>
        <v>195</v>
      </c>
      <c r="J78" s="546">
        <f t="shared" si="1"/>
        <v>3.25</v>
      </c>
    </row>
    <row r="79" spans="1:33" ht="22.5" customHeight="1" thickBot="1" x14ac:dyDescent="0.45">
      <c r="B79" s="541" t="s">
        <v>221</v>
      </c>
      <c r="C79" s="548">
        <f>AD65</f>
        <v>105</v>
      </c>
      <c r="D79" s="549">
        <f t="shared" si="0"/>
        <v>1.75</v>
      </c>
      <c r="E79" s="548">
        <f>AE65</f>
        <v>91</v>
      </c>
      <c r="F79" s="550">
        <f t="shared" si="0"/>
        <v>1.5166666666666666</v>
      </c>
      <c r="G79" s="548">
        <f>AF65</f>
        <v>285</v>
      </c>
      <c r="H79" s="549">
        <f t="shared" si="1"/>
        <v>4.75</v>
      </c>
      <c r="I79" s="548">
        <f>AG65</f>
        <v>183</v>
      </c>
      <c r="J79" s="549">
        <f t="shared" si="1"/>
        <v>3.05</v>
      </c>
    </row>
    <row r="80" spans="1:33" ht="18.45" thickBot="1" x14ac:dyDescent="0.5">
      <c r="B80" s="354"/>
      <c r="C80" s="255"/>
      <c r="D80" s="255"/>
      <c r="E80" s="255"/>
      <c r="F80" s="255"/>
      <c r="G80" s="255"/>
      <c r="H80" s="255"/>
      <c r="I80" s="255"/>
      <c r="J80" s="255"/>
    </row>
    <row r="81" spans="2:10" ht="18.45" thickBot="1" x14ac:dyDescent="0.5">
      <c r="B81" s="551" t="s">
        <v>217</v>
      </c>
      <c r="C81" s="556"/>
      <c r="D81" s="557">
        <f>SUM(D76:D80)</f>
        <v>64.7</v>
      </c>
      <c r="E81" s="556"/>
      <c r="F81" s="557">
        <f>SUM(F76:F80)</f>
        <v>13.583333333333332</v>
      </c>
      <c r="G81" s="556"/>
      <c r="H81" s="557">
        <f>SUM(H76:H80)</f>
        <v>27.716666666666669</v>
      </c>
      <c r="I81" s="556"/>
      <c r="J81" s="558">
        <f>SUM(J76:J80)</f>
        <v>11.966666666666669</v>
      </c>
    </row>
  </sheetData>
  <mergeCells count="48">
    <mergeCell ref="I74:J74"/>
    <mergeCell ref="A59:A60"/>
    <mergeCell ref="A61:A62"/>
    <mergeCell ref="A63:A64"/>
    <mergeCell ref="C74:D74"/>
    <mergeCell ref="E74:F74"/>
    <mergeCell ref="G74:H74"/>
    <mergeCell ref="A25:A26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D1:AG1"/>
    <mergeCell ref="AH1:AK1"/>
    <mergeCell ref="A3:A4"/>
    <mergeCell ref="A5:A6"/>
    <mergeCell ref="A7:A8"/>
    <mergeCell ref="U1:X1"/>
    <mergeCell ref="Y1:AB1"/>
    <mergeCell ref="A9:A10"/>
    <mergeCell ref="C1:F1"/>
    <mergeCell ref="G1:J1"/>
    <mergeCell ref="L1:O1"/>
    <mergeCell ref="P1:S1"/>
    <mergeCell ref="Q52:Q53"/>
    <mergeCell ref="G46:G51"/>
    <mergeCell ref="C46:C51"/>
    <mergeCell ref="A11:A12"/>
    <mergeCell ref="A13:A14"/>
    <mergeCell ref="A15:A16"/>
    <mergeCell ref="I46:I51"/>
    <mergeCell ref="E46:E51"/>
    <mergeCell ref="A17:A18"/>
    <mergeCell ref="A19:A20"/>
    <mergeCell ref="A27:A28"/>
    <mergeCell ref="A29:A30"/>
    <mergeCell ref="A31:A32"/>
    <mergeCell ref="A21:A22"/>
    <mergeCell ref="A33:A34"/>
    <mergeCell ref="A23:A24"/>
  </mergeCells>
  <pageMargins left="0.7" right="0.7" top="0.75" bottom="0.75" header="0.3" footer="0.3"/>
  <pageSetup paperSize="9" orientation="portrait" horizontalDpi="180" verticalDpi="18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K81"/>
  <sheetViews>
    <sheetView zoomScale="55" zoomScaleNormal="55" workbookViewId="0">
      <pane xSplit="2" ySplit="2" topLeftCell="AC15" activePane="bottomRight" state="frozen"/>
      <selection pane="topRight" activeCell="C1" sqref="C1"/>
      <selection pane="bottomLeft" activeCell="A3" sqref="A3"/>
      <selection pane="bottomRight" activeCell="O62" sqref="O62"/>
    </sheetView>
  </sheetViews>
  <sheetFormatPr defaultColWidth="8.84375" defaultRowHeight="14.15" x14ac:dyDescent="0.35"/>
  <cols>
    <col min="1" max="1" width="14.53515625" style="423" customWidth="1"/>
    <col min="2" max="2" width="15.69140625" style="65" customWidth="1"/>
    <col min="3" max="5" width="10.69140625" style="423" customWidth="1"/>
    <col min="6" max="6" width="16.84375" style="423" customWidth="1"/>
    <col min="7" max="7" width="21.15234375" style="423" customWidth="1"/>
    <col min="8" max="8" width="28.3828125" style="423" customWidth="1"/>
    <col min="9" max="9" width="26.3046875" style="423" customWidth="1"/>
    <col min="10" max="10" width="21.15234375" style="423" customWidth="1"/>
    <col min="11" max="14" width="10.69140625" style="423" customWidth="1"/>
    <col min="15" max="15" width="17" style="423" customWidth="1"/>
    <col min="16" max="16" width="18.69140625" style="423" customWidth="1"/>
    <col min="17" max="17" width="25.69140625" style="423" customWidth="1"/>
    <col min="18" max="18" width="30.3828125" style="423" customWidth="1"/>
    <col min="19" max="19" width="24.3046875" style="423" customWidth="1"/>
    <col min="20" max="24" width="10.69140625" style="423" customWidth="1"/>
    <col min="25" max="25" width="26.53515625" style="423" customWidth="1"/>
    <col min="26" max="26" width="14.3046875" style="423" customWidth="1"/>
    <col min="27" max="27" width="32.3828125" style="423" customWidth="1"/>
    <col min="28" max="28" width="21.15234375" style="423" customWidth="1"/>
    <col min="29" max="33" width="10.69140625" style="423" customWidth="1"/>
    <col min="34" max="34" width="12.84375" style="423" customWidth="1"/>
    <col min="35" max="35" width="17.15234375" style="423" customWidth="1"/>
    <col min="36" max="36" width="23.69140625" style="423" customWidth="1"/>
    <col min="37" max="37" width="23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202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203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42.65" customHeight="1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30" customHeight="1" thickTop="1" x14ac:dyDescent="0.35">
      <c r="A3" s="1478">
        <v>44743</v>
      </c>
      <c r="B3" s="501">
        <v>1</v>
      </c>
      <c r="C3" s="490"/>
      <c r="D3" s="491"/>
      <c r="E3" s="491">
        <v>15</v>
      </c>
      <c r="F3" s="492"/>
      <c r="G3" s="566"/>
      <c r="H3" s="514"/>
      <c r="I3" s="515" t="s">
        <v>414</v>
      </c>
      <c r="J3" s="567"/>
      <c r="K3" s="66"/>
      <c r="L3" s="507"/>
      <c r="M3" s="522"/>
      <c r="N3" s="522"/>
      <c r="O3" s="520"/>
      <c r="P3" s="521"/>
      <c r="Q3" s="580"/>
      <c r="R3" s="581"/>
      <c r="S3" s="520"/>
      <c r="T3" s="66"/>
      <c r="U3" s="507"/>
      <c r="V3" s="522"/>
      <c r="W3" s="522"/>
      <c r="X3" s="508"/>
      <c r="Y3" s="469"/>
      <c r="Z3" s="521"/>
      <c r="AA3" s="600"/>
      <c r="AB3" s="601"/>
      <c r="AC3" s="66"/>
      <c r="AD3" s="507"/>
      <c r="AE3" s="522"/>
      <c r="AF3" s="6">
        <v>22</v>
      </c>
      <c r="AG3" s="520"/>
      <c r="AH3" s="521"/>
      <c r="AI3" s="522"/>
      <c r="AJ3" s="6" t="s">
        <v>414</v>
      </c>
      <c r="AK3" s="520"/>
    </row>
    <row r="4" spans="1:37" ht="19.95" customHeight="1" x14ac:dyDescent="0.35">
      <c r="A4" s="1477"/>
      <c r="B4" s="472">
        <v>2</v>
      </c>
      <c r="C4" s="493"/>
      <c r="D4" s="494"/>
      <c r="E4" s="494">
        <v>25</v>
      </c>
      <c r="F4" s="495"/>
      <c r="G4" s="565"/>
      <c r="H4" s="502"/>
      <c r="I4" s="515" t="s">
        <v>414</v>
      </c>
      <c r="J4" s="568"/>
      <c r="K4" s="66"/>
      <c r="L4" s="470"/>
      <c r="M4" s="6"/>
      <c r="N4" s="6"/>
      <c r="O4" s="508"/>
      <c r="P4" s="509"/>
      <c r="Q4" s="579"/>
      <c r="R4" s="28"/>
      <c r="S4" s="508"/>
      <c r="T4" s="66"/>
      <c r="U4" s="470"/>
      <c r="V4" s="502"/>
      <c r="W4" s="6">
        <v>10</v>
      </c>
      <c r="X4" s="508"/>
      <c r="Y4" s="469"/>
      <c r="Z4" s="47"/>
      <c r="AA4" s="602" t="s">
        <v>325</v>
      </c>
      <c r="AB4" s="603"/>
      <c r="AC4" s="66"/>
      <c r="AD4" s="470"/>
      <c r="AE4" s="6"/>
      <c r="AF4" s="6"/>
      <c r="AG4" s="508"/>
      <c r="AH4" s="509"/>
      <c r="AI4" s="6"/>
      <c r="AJ4" s="6"/>
      <c r="AK4" s="508"/>
    </row>
    <row r="5" spans="1:37" ht="26.5" customHeight="1" x14ac:dyDescent="0.35">
      <c r="A5" s="1478">
        <v>44744</v>
      </c>
      <c r="B5" s="472">
        <v>1</v>
      </c>
      <c r="C5" s="493"/>
      <c r="D5" s="494"/>
      <c r="E5" s="494">
        <v>40</v>
      </c>
      <c r="F5" s="495"/>
      <c r="G5" s="566"/>
      <c r="H5" s="514"/>
      <c r="I5" s="515" t="s">
        <v>414</v>
      </c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>
        <v>57</v>
      </c>
      <c r="X5" s="508"/>
      <c r="Y5" s="469"/>
      <c r="Z5" s="47"/>
      <c r="AA5" s="6" t="s">
        <v>152</v>
      </c>
      <c r="AB5" s="604"/>
      <c r="AC5" s="66"/>
      <c r="AD5" s="470"/>
      <c r="AE5" s="6"/>
      <c r="AF5" s="6">
        <v>82</v>
      </c>
      <c r="AG5" s="508"/>
      <c r="AH5" s="509"/>
      <c r="AI5" s="6"/>
      <c r="AJ5" s="502" t="s">
        <v>354</v>
      </c>
      <c r="AK5" s="508"/>
    </row>
    <row r="6" spans="1:37" ht="63" customHeight="1" x14ac:dyDescent="0.35">
      <c r="A6" s="1477"/>
      <c r="B6" s="472">
        <v>2</v>
      </c>
      <c r="C6" s="493"/>
      <c r="D6" s="494"/>
      <c r="E6" s="494">
        <v>40</v>
      </c>
      <c r="F6" s="495"/>
      <c r="G6" s="566"/>
      <c r="H6" s="514"/>
      <c r="I6" s="515" t="s">
        <v>414</v>
      </c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>
        <v>100</v>
      </c>
      <c r="X6" s="508"/>
      <c r="Y6" s="469"/>
      <c r="Z6" s="6"/>
      <c r="AA6" s="579" t="s">
        <v>415</v>
      </c>
      <c r="AB6" s="508"/>
      <c r="AC6" s="66"/>
      <c r="AD6" s="470"/>
      <c r="AE6" s="6"/>
      <c r="AF6" s="6">
        <v>20</v>
      </c>
      <c r="AG6" s="508"/>
      <c r="AH6" s="509"/>
      <c r="AI6" s="6"/>
      <c r="AJ6" s="6" t="s">
        <v>414</v>
      </c>
      <c r="AK6" s="508"/>
    </row>
    <row r="7" spans="1:37" ht="19.95" customHeight="1" x14ac:dyDescent="0.35">
      <c r="A7" s="1478">
        <v>44745</v>
      </c>
      <c r="B7" s="472">
        <v>1</v>
      </c>
      <c r="C7" s="493"/>
      <c r="D7" s="494"/>
      <c r="E7" s="494">
        <v>20</v>
      </c>
      <c r="F7" s="495"/>
      <c r="G7" s="566"/>
      <c r="H7" s="515"/>
      <c r="I7" s="515" t="s">
        <v>414</v>
      </c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524"/>
      <c r="W7" s="6">
        <v>92</v>
      </c>
      <c r="X7" s="508"/>
      <c r="Y7" s="509"/>
      <c r="Z7" s="6"/>
      <c r="AA7" s="6" t="s">
        <v>152</v>
      </c>
      <c r="AB7" s="508"/>
      <c r="AC7" s="66"/>
      <c r="AD7" s="470"/>
      <c r="AE7" s="6"/>
      <c r="AF7" s="6"/>
      <c r="AG7" s="508"/>
      <c r="AH7" s="509"/>
      <c r="AI7" s="6"/>
      <c r="AJ7" s="6"/>
      <c r="AK7" s="508"/>
    </row>
    <row r="8" spans="1:37" ht="31.2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515"/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525"/>
      <c r="W8" s="509">
        <v>9</v>
      </c>
      <c r="X8" s="508"/>
      <c r="Y8" s="469"/>
      <c r="Z8" s="6"/>
      <c r="AA8" s="6" t="s">
        <v>152</v>
      </c>
      <c r="AB8" s="527"/>
      <c r="AC8" s="66"/>
      <c r="AD8" s="470"/>
      <c r="AE8" s="6"/>
      <c r="AF8" s="6"/>
      <c r="AG8" s="508"/>
      <c r="AH8" s="509"/>
      <c r="AI8" s="6"/>
      <c r="AJ8" s="6"/>
      <c r="AK8" s="527"/>
    </row>
    <row r="9" spans="1:37" ht="42.45" x14ac:dyDescent="0.35">
      <c r="A9" s="1478">
        <v>44746</v>
      </c>
      <c r="B9" s="472">
        <v>1</v>
      </c>
      <c r="C9" s="493"/>
      <c r="D9" s="494"/>
      <c r="E9" s="494"/>
      <c r="F9" s="495">
        <v>158</v>
      </c>
      <c r="G9" s="566"/>
      <c r="H9" s="514"/>
      <c r="I9" s="514"/>
      <c r="J9" s="527" t="s">
        <v>416</v>
      </c>
      <c r="K9" s="66"/>
      <c r="L9" s="470"/>
      <c r="M9" s="6"/>
      <c r="N9" s="6"/>
      <c r="O9" s="508">
        <v>150</v>
      </c>
      <c r="P9" s="469"/>
      <c r="Q9" s="6"/>
      <c r="R9" s="502"/>
      <c r="S9" s="527" t="s">
        <v>416</v>
      </c>
      <c r="T9" s="66"/>
      <c r="U9" s="470"/>
      <c r="V9" s="6"/>
      <c r="W9" s="6"/>
      <c r="X9" s="508">
        <v>163</v>
      </c>
      <c r="Y9" s="509"/>
      <c r="Z9" s="6"/>
      <c r="AA9" s="6"/>
      <c r="AB9" s="527" t="s">
        <v>416</v>
      </c>
      <c r="AC9" s="66"/>
      <c r="AD9" s="470"/>
      <c r="AE9" s="6"/>
      <c r="AF9" s="6"/>
      <c r="AG9" s="508">
        <v>167</v>
      </c>
      <c r="AH9" s="509"/>
      <c r="AI9" s="6"/>
      <c r="AJ9" s="6"/>
      <c r="AK9" s="527" t="s">
        <v>416</v>
      </c>
    </row>
    <row r="10" spans="1:37" ht="47.5" customHeight="1" x14ac:dyDescent="0.35">
      <c r="A10" s="1477"/>
      <c r="B10" s="472">
        <v>2</v>
      </c>
      <c r="C10" s="493"/>
      <c r="D10" s="494"/>
      <c r="E10" s="494"/>
      <c r="F10" s="495">
        <v>70</v>
      </c>
      <c r="G10" s="566"/>
      <c r="H10" s="514"/>
      <c r="I10" s="515"/>
      <c r="J10" s="527" t="s">
        <v>420</v>
      </c>
      <c r="K10" s="66"/>
      <c r="L10" s="470">
        <v>164</v>
      </c>
      <c r="M10" s="6"/>
      <c r="N10" s="6"/>
      <c r="O10" s="508">
        <v>80</v>
      </c>
      <c r="P10" s="469" t="s">
        <v>418</v>
      </c>
      <c r="Q10" s="6"/>
      <c r="R10" s="502"/>
      <c r="S10" s="527" t="s">
        <v>420</v>
      </c>
      <c r="T10" s="66"/>
      <c r="U10" s="470"/>
      <c r="V10" s="6">
        <v>30</v>
      </c>
      <c r="W10" s="6"/>
      <c r="X10" s="508">
        <v>72</v>
      </c>
      <c r="Z10" s="469" t="s">
        <v>417</v>
      </c>
      <c r="AA10" s="6"/>
      <c r="AB10" s="527" t="s">
        <v>420</v>
      </c>
      <c r="AC10" s="66"/>
      <c r="AD10" s="470"/>
      <c r="AE10" s="6"/>
      <c r="AF10" s="6"/>
      <c r="AG10" s="508">
        <v>74</v>
      </c>
      <c r="AH10" s="509"/>
      <c r="AI10" s="6"/>
      <c r="AJ10" s="6"/>
      <c r="AK10" s="527" t="s">
        <v>420</v>
      </c>
    </row>
    <row r="11" spans="1:37" ht="90" customHeight="1" x14ac:dyDescent="0.35">
      <c r="A11" s="1478">
        <v>44747</v>
      </c>
      <c r="B11" s="472">
        <v>1</v>
      </c>
      <c r="C11" s="493"/>
      <c r="D11" s="494"/>
      <c r="E11" s="494"/>
      <c r="F11" s="495"/>
      <c r="G11" s="565"/>
      <c r="H11" s="514"/>
      <c r="I11" s="515"/>
      <c r="J11" s="568"/>
      <c r="K11" s="66"/>
      <c r="L11" s="470">
        <v>47</v>
      </c>
      <c r="M11" s="6"/>
      <c r="N11" s="6"/>
      <c r="O11" s="508"/>
      <c r="P11" s="469" t="s">
        <v>419</v>
      </c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</row>
    <row r="12" spans="1:37" ht="19.95" customHeight="1" x14ac:dyDescent="0.35">
      <c r="A12" s="1477"/>
      <c r="B12" s="472">
        <v>2</v>
      </c>
      <c r="C12" s="493"/>
      <c r="D12" s="494"/>
      <c r="E12" s="494">
        <v>13</v>
      </c>
      <c r="F12" s="495"/>
      <c r="G12" s="566"/>
      <c r="H12" s="514"/>
      <c r="I12" s="515" t="s">
        <v>414</v>
      </c>
      <c r="J12" s="568"/>
      <c r="K12" s="66"/>
      <c r="L12" s="470"/>
      <c r="M12" s="6"/>
      <c r="N12" s="6"/>
      <c r="O12" s="508"/>
      <c r="P12" s="469"/>
      <c r="Q12" s="6"/>
      <c r="R12" s="502"/>
      <c r="S12" s="508"/>
      <c r="T12" s="66"/>
      <c r="U12" s="470"/>
      <c r="V12" s="6"/>
      <c r="W12" s="6">
        <v>10</v>
      </c>
      <c r="X12" s="508"/>
      <c r="Y12" s="509"/>
      <c r="Z12" s="6"/>
      <c r="AA12" s="602" t="s">
        <v>325</v>
      </c>
      <c r="AB12" s="508"/>
      <c r="AC12" s="66"/>
      <c r="AD12" s="470"/>
      <c r="AE12" s="6"/>
      <c r="AF12" s="6"/>
      <c r="AG12" s="508"/>
      <c r="AH12" s="509"/>
      <c r="AI12" s="6"/>
      <c r="AJ12" s="6"/>
      <c r="AK12" s="508"/>
    </row>
    <row r="13" spans="1:37" ht="40.5" customHeight="1" x14ac:dyDescent="0.35">
      <c r="A13" s="1478">
        <v>44748</v>
      </c>
      <c r="B13" s="472">
        <v>1</v>
      </c>
      <c r="C13" s="493"/>
      <c r="D13" s="494"/>
      <c r="E13" s="494"/>
      <c r="F13" s="495">
        <v>125</v>
      </c>
      <c r="G13" s="566"/>
      <c r="H13" s="514"/>
      <c r="I13" s="515"/>
      <c r="J13" s="527" t="s">
        <v>420</v>
      </c>
      <c r="K13" s="66"/>
      <c r="L13" s="470"/>
      <c r="M13" s="6"/>
      <c r="N13" s="6"/>
      <c r="O13" s="508">
        <v>125</v>
      </c>
      <c r="P13" s="469"/>
      <c r="Q13" s="6"/>
      <c r="R13" s="502"/>
      <c r="S13" s="527" t="s">
        <v>420</v>
      </c>
      <c r="T13" s="66"/>
      <c r="U13" s="470"/>
      <c r="V13" s="6"/>
      <c r="W13" s="6">
        <v>11</v>
      </c>
      <c r="X13" s="508">
        <v>132</v>
      </c>
      <c r="Y13" s="469"/>
      <c r="Z13" s="6"/>
      <c r="AA13" s="6" t="s">
        <v>152</v>
      </c>
      <c r="AB13" s="527" t="s">
        <v>420</v>
      </c>
      <c r="AC13" s="66"/>
      <c r="AD13" s="470"/>
      <c r="AE13" s="6"/>
      <c r="AF13" s="6"/>
      <c r="AG13" s="508">
        <v>135</v>
      </c>
      <c r="AH13" s="509"/>
      <c r="AI13" s="6"/>
      <c r="AJ13" s="6"/>
      <c r="AK13" s="527" t="s">
        <v>420</v>
      </c>
    </row>
    <row r="14" spans="1:37" ht="34.200000000000003" customHeight="1" x14ac:dyDescent="0.35">
      <c r="A14" s="1477"/>
      <c r="B14" s="472">
        <v>2</v>
      </c>
      <c r="C14" s="493"/>
      <c r="D14" s="494"/>
      <c r="E14" s="494"/>
      <c r="F14" s="495"/>
      <c r="G14" s="566"/>
      <c r="H14" s="515"/>
      <c r="I14" s="515"/>
      <c r="J14" s="527"/>
      <c r="K14" s="66"/>
      <c r="L14" s="470"/>
      <c r="M14" s="6"/>
      <c r="N14" s="6"/>
      <c r="O14" s="508"/>
      <c r="P14" s="509"/>
      <c r="Q14" s="6"/>
      <c r="R14" s="6"/>
      <c r="S14" s="527"/>
      <c r="T14" s="66"/>
      <c r="U14" s="470"/>
      <c r="V14" s="6"/>
      <c r="W14" s="6">
        <v>12</v>
      </c>
      <c r="X14" s="508"/>
      <c r="Y14" s="469"/>
      <c r="Z14" s="502"/>
      <c r="AA14" s="6" t="s">
        <v>152</v>
      </c>
      <c r="AB14" s="607"/>
      <c r="AC14" s="66"/>
      <c r="AD14" s="470"/>
      <c r="AE14" s="6"/>
      <c r="AF14" s="6"/>
      <c r="AG14" s="508"/>
      <c r="AH14" s="469"/>
      <c r="AI14" s="6"/>
      <c r="AJ14" s="6"/>
      <c r="AK14" s="527"/>
    </row>
    <row r="15" spans="1:37" ht="43.95" customHeight="1" x14ac:dyDescent="0.35">
      <c r="A15" s="1478">
        <v>44749</v>
      </c>
      <c r="B15" s="472">
        <v>1</v>
      </c>
      <c r="C15" s="493"/>
      <c r="D15" s="494"/>
      <c r="E15" s="6"/>
      <c r="F15" s="495"/>
      <c r="G15" s="566"/>
      <c r="H15" s="515"/>
      <c r="I15" s="515"/>
      <c r="J15" s="568"/>
      <c r="K15" s="66"/>
      <c r="L15" s="470"/>
      <c r="M15" s="6"/>
      <c r="N15" s="6"/>
      <c r="O15" s="508"/>
      <c r="P15" s="470"/>
      <c r="Q15" s="515"/>
      <c r="R15" s="6"/>
      <c r="S15" s="508"/>
      <c r="T15" s="66"/>
      <c r="U15" s="470"/>
      <c r="V15" s="6"/>
      <c r="W15" s="6"/>
      <c r="X15" s="508"/>
      <c r="Y15" s="470"/>
      <c r="Z15" s="515"/>
      <c r="AA15" s="609"/>
      <c r="AB15" s="608"/>
      <c r="AC15" s="66"/>
      <c r="AD15" s="470"/>
      <c r="AE15" s="6"/>
      <c r="AF15" s="66">
        <v>120</v>
      </c>
      <c r="AG15" s="508"/>
      <c r="AI15" s="515"/>
      <c r="AJ15" s="470" t="s">
        <v>421</v>
      </c>
      <c r="AK15" s="508"/>
    </row>
    <row r="16" spans="1:37" ht="37.5" customHeight="1" x14ac:dyDescent="0.35">
      <c r="A16" s="1477"/>
      <c r="B16" s="472">
        <v>2</v>
      </c>
      <c r="C16" s="493"/>
      <c r="D16" s="494"/>
      <c r="E16" s="494"/>
      <c r="F16" s="495"/>
      <c r="G16" s="565"/>
      <c r="H16" s="514"/>
      <c r="I16" s="565"/>
      <c r="J16" s="568"/>
      <c r="K16" s="66"/>
      <c r="L16" s="470"/>
      <c r="M16" s="6"/>
      <c r="N16" s="6"/>
      <c r="O16" s="508"/>
      <c r="P16" s="470"/>
      <c r="Q16" s="6"/>
      <c r="R16" s="6"/>
      <c r="S16" s="508"/>
      <c r="T16" s="66"/>
      <c r="U16" s="470"/>
      <c r="V16" s="6"/>
      <c r="W16" s="6">
        <v>10</v>
      </c>
      <c r="X16" s="508"/>
      <c r="Y16" s="514"/>
      <c r="Z16" s="514"/>
      <c r="AA16" s="6" t="s">
        <v>152</v>
      </c>
      <c r="AB16" s="508"/>
      <c r="AC16" s="66"/>
      <c r="AD16" s="470">
        <v>720</v>
      </c>
      <c r="AE16" s="6"/>
      <c r="AF16" s="6"/>
      <c r="AG16" s="508"/>
      <c r="AH16" s="470" t="s">
        <v>45</v>
      </c>
      <c r="AI16" s="6"/>
      <c r="AJ16" s="6"/>
      <c r="AK16" s="508"/>
    </row>
    <row r="17" spans="1:37" ht="32.5" customHeight="1" x14ac:dyDescent="0.35">
      <c r="A17" s="1478">
        <v>44750</v>
      </c>
      <c r="B17" s="534">
        <v>1</v>
      </c>
      <c r="C17" s="493"/>
      <c r="D17" s="494"/>
      <c r="E17" s="494"/>
      <c r="F17" s="495"/>
      <c r="G17" s="566"/>
      <c r="H17" s="514"/>
      <c r="I17" s="515"/>
      <c r="J17" s="568"/>
      <c r="K17" s="66"/>
      <c r="L17" s="470"/>
      <c r="M17" s="6"/>
      <c r="N17" s="6"/>
      <c r="O17" s="508"/>
      <c r="P17" s="470"/>
      <c r="Q17" s="6"/>
      <c r="R17" s="6"/>
      <c r="S17" s="508"/>
      <c r="T17" s="66"/>
      <c r="U17" s="470"/>
      <c r="V17" s="6"/>
      <c r="W17" s="6">
        <v>29</v>
      </c>
      <c r="X17" s="508"/>
      <c r="Y17" s="514"/>
      <c r="Z17" s="514"/>
      <c r="AA17" s="6" t="s">
        <v>152</v>
      </c>
      <c r="AB17" s="508"/>
      <c r="AC17" s="66"/>
      <c r="AD17" s="470">
        <v>260</v>
      </c>
      <c r="AE17" s="6"/>
      <c r="AF17" s="6">
        <v>460</v>
      </c>
      <c r="AG17" s="508"/>
      <c r="AH17" s="470" t="s">
        <v>45</v>
      </c>
      <c r="AI17" s="6"/>
      <c r="AJ17" s="502" t="s">
        <v>422</v>
      </c>
      <c r="AK17" s="508"/>
    </row>
    <row r="18" spans="1:37" ht="39.65" customHeight="1" x14ac:dyDescent="0.35">
      <c r="A18" s="1477"/>
      <c r="B18" s="472">
        <v>2</v>
      </c>
      <c r="C18" s="493">
        <v>71</v>
      </c>
      <c r="D18" s="494"/>
      <c r="E18" s="494"/>
      <c r="F18" s="495"/>
      <c r="G18" s="565" t="s">
        <v>423</v>
      </c>
      <c r="H18" s="515"/>
      <c r="I18" s="514"/>
      <c r="J18" s="568"/>
      <c r="K18" s="66"/>
      <c r="L18" s="470"/>
      <c r="M18" s="6"/>
      <c r="N18" s="6"/>
      <c r="O18" s="508"/>
      <c r="P18" s="470"/>
      <c r="Q18" s="6"/>
      <c r="R18" s="6"/>
      <c r="S18" s="508"/>
      <c r="T18" s="66"/>
      <c r="U18" s="470"/>
      <c r="V18" s="6"/>
      <c r="W18" s="6">
        <v>158</v>
      </c>
      <c r="X18" s="508"/>
      <c r="Y18" s="465"/>
      <c r="Z18" s="6"/>
      <c r="AA18" s="502" t="s">
        <v>424</v>
      </c>
      <c r="AB18" s="508"/>
      <c r="AC18" s="66"/>
      <c r="AD18" s="470"/>
      <c r="AE18" s="6"/>
      <c r="AF18" s="6">
        <v>87</v>
      </c>
      <c r="AG18" s="508"/>
      <c r="AH18" s="470"/>
      <c r="AI18" s="6"/>
      <c r="AJ18" s="502" t="s">
        <v>422</v>
      </c>
      <c r="AK18" s="508"/>
    </row>
    <row r="19" spans="1:37" ht="33.65" customHeight="1" x14ac:dyDescent="0.35">
      <c r="A19" s="1478">
        <v>44751</v>
      </c>
      <c r="B19" s="472">
        <v>1</v>
      </c>
      <c r="C19" s="66"/>
      <c r="D19" s="494"/>
      <c r="E19" s="494"/>
      <c r="F19" s="495"/>
      <c r="G19" s="566"/>
      <c r="H19" s="514"/>
      <c r="I19" s="515"/>
      <c r="J19" s="568"/>
      <c r="K19" s="66"/>
      <c r="L19" s="470"/>
      <c r="M19" s="6"/>
      <c r="N19" s="6"/>
      <c r="O19" s="508"/>
      <c r="P19" s="470"/>
      <c r="Q19" s="6"/>
      <c r="R19" s="6"/>
      <c r="S19" s="508"/>
      <c r="T19" s="66"/>
      <c r="U19" s="470"/>
      <c r="V19" s="6"/>
      <c r="W19" s="6"/>
      <c r="X19" s="508"/>
      <c r="Y19" s="470"/>
      <c r="Z19" s="502"/>
      <c r="AA19" s="502"/>
      <c r="AB19" s="508"/>
      <c r="AC19" s="66"/>
      <c r="AD19" s="470"/>
      <c r="AE19" s="6"/>
      <c r="AF19" s="6"/>
      <c r="AG19" s="508"/>
      <c r="AH19" s="470"/>
      <c r="AI19" s="6"/>
      <c r="AJ19" s="502"/>
      <c r="AK19" s="508"/>
    </row>
    <row r="20" spans="1:37" ht="56.6" x14ac:dyDescent="0.35">
      <c r="A20" s="1477"/>
      <c r="B20" s="472">
        <v>2</v>
      </c>
      <c r="C20" s="493"/>
      <c r="D20" s="494"/>
      <c r="E20" s="494"/>
      <c r="F20" s="495">
        <v>493</v>
      </c>
      <c r="G20" s="566"/>
      <c r="H20" s="515"/>
      <c r="I20" s="515"/>
      <c r="J20" s="527" t="s">
        <v>426</v>
      </c>
      <c r="K20" s="66"/>
      <c r="L20" s="470"/>
      <c r="M20" s="6"/>
      <c r="N20" s="6"/>
      <c r="O20" s="508">
        <v>493</v>
      </c>
      <c r="P20" s="470"/>
      <c r="Q20" s="6"/>
      <c r="R20" s="6"/>
      <c r="S20" s="526" t="s">
        <v>426</v>
      </c>
      <c r="T20" s="66"/>
      <c r="U20" s="470"/>
      <c r="V20" s="214"/>
      <c r="W20" s="6"/>
      <c r="X20" s="508">
        <v>493</v>
      </c>
      <c r="Y20" s="470"/>
      <c r="Z20" s="502"/>
      <c r="AA20" s="605"/>
      <c r="AB20" s="526" t="s">
        <v>426</v>
      </c>
      <c r="AC20" s="66"/>
      <c r="AD20" s="470">
        <v>59</v>
      </c>
      <c r="AE20" s="6"/>
      <c r="AF20" s="6"/>
      <c r="AG20" s="508">
        <v>493</v>
      </c>
      <c r="AH20" s="465" t="s">
        <v>425</v>
      </c>
      <c r="AI20" s="6"/>
      <c r="AJ20" s="508"/>
      <c r="AK20" s="526" t="s">
        <v>426</v>
      </c>
    </row>
    <row r="21" spans="1:37" ht="45" customHeight="1" x14ac:dyDescent="0.35">
      <c r="A21" s="1478">
        <v>44752</v>
      </c>
      <c r="B21" s="472">
        <v>1</v>
      </c>
      <c r="C21" s="493"/>
      <c r="D21" s="494"/>
      <c r="E21" s="494"/>
      <c r="F21" s="495">
        <v>720</v>
      </c>
      <c r="G21" s="569"/>
      <c r="H21" s="514"/>
      <c r="I21" s="515"/>
      <c r="J21" s="527" t="s">
        <v>426</v>
      </c>
      <c r="K21" s="66"/>
      <c r="L21" s="470"/>
      <c r="M21" s="6"/>
      <c r="N21" s="6"/>
      <c r="O21" s="508">
        <v>720</v>
      </c>
      <c r="P21" s="470"/>
      <c r="Q21" s="6"/>
      <c r="R21" s="6"/>
      <c r="S21" s="526" t="s">
        <v>426</v>
      </c>
      <c r="T21" s="66"/>
      <c r="U21" s="470"/>
      <c r="V21" s="6"/>
      <c r="W21" s="6"/>
      <c r="X21" s="508">
        <v>720</v>
      </c>
      <c r="Y21" s="470"/>
      <c r="Z21" s="6"/>
      <c r="AA21" s="502"/>
      <c r="AB21" s="526" t="s">
        <v>426</v>
      </c>
      <c r="AC21" s="66"/>
      <c r="AD21" s="470"/>
      <c r="AE21" s="6"/>
      <c r="AF21" s="6"/>
      <c r="AG21" s="508">
        <v>720</v>
      </c>
      <c r="AH21" s="470"/>
      <c r="AI21" s="6"/>
      <c r="AJ21" s="508"/>
      <c r="AK21" s="526" t="s">
        <v>426</v>
      </c>
    </row>
    <row r="22" spans="1:37" ht="55.95" customHeight="1" x14ac:dyDescent="0.35">
      <c r="A22" s="1477"/>
      <c r="B22" s="472">
        <v>2</v>
      </c>
      <c r="C22" s="493"/>
      <c r="D22" s="494"/>
      <c r="E22" s="494"/>
      <c r="F22" s="495">
        <v>720</v>
      </c>
      <c r="G22" s="562"/>
      <c r="H22" s="515"/>
      <c r="I22" s="515"/>
      <c r="J22" s="527" t="s">
        <v>426</v>
      </c>
      <c r="K22" s="66"/>
      <c r="L22" s="470"/>
      <c r="M22" s="6"/>
      <c r="N22" s="6"/>
      <c r="O22" s="495">
        <v>720</v>
      </c>
      <c r="P22" s="469"/>
      <c r="Q22" s="6"/>
      <c r="R22" s="6"/>
      <c r="S22" s="527" t="s">
        <v>426</v>
      </c>
      <c r="T22" s="66"/>
      <c r="U22" s="470"/>
      <c r="V22" s="6"/>
      <c r="W22" s="6"/>
      <c r="X22" s="495">
        <v>720</v>
      </c>
      <c r="Y22" s="470"/>
      <c r="Z22" s="6"/>
      <c r="AA22" s="502"/>
      <c r="AB22" s="527" t="s">
        <v>426</v>
      </c>
      <c r="AC22" s="66"/>
      <c r="AD22" s="470"/>
      <c r="AE22" s="6"/>
      <c r="AF22" s="6"/>
      <c r="AG22" s="495">
        <v>720</v>
      </c>
      <c r="AH22" s="470"/>
      <c r="AI22" s="6"/>
      <c r="AJ22" s="508"/>
      <c r="AK22" s="527" t="s">
        <v>426</v>
      </c>
    </row>
    <row r="23" spans="1:37" ht="42.45" x14ac:dyDescent="0.35">
      <c r="A23" s="1478">
        <v>44753</v>
      </c>
      <c r="B23" s="534">
        <v>1</v>
      </c>
      <c r="C23" s="493"/>
      <c r="D23" s="494"/>
      <c r="E23" s="494"/>
      <c r="F23" s="495">
        <v>720</v>
      </c>
      <c r="G23" s="566"/>
      <c r="H23" s="514"/>
      <c r="I23" s="502"/>
      <c r="J23" s="527" t="s">
        <v>427</v>
      </c>
      <c r="K23" s="66"/>
      <c r="L23" s="470"/>
      <c r="M23" s="6"/>
      <c r="N23" s="6"/>
      <c r="O23" s="495">
        <v>720</v>
      </c>
      <c r="P23" s="566"/>
      <c r="Q23" s="514"/>
      <c r="R23" s="515"/>
      <c r="S23" s="527" t="s">
        <v>427</v>
      </c>
      <c r="T23" s="66"/>
      <c r="U23" s="470"/>
      <c r="V23" s="6"/>
      <c r="W23" s="6"/>
      <c r="X23" s="495">
        <v>720</v>
      </c>
      <c r="Y23" s="566"/>
      <c r="Z23" s="514"/>
      <c r="AA23" s="502"/>
      <c r="AB23" s="526" t="s">
        <v>427</v>
      </c>
      <c r="AC23" s="66"/>
      <c r="AD23" s="470"/>
      <c r="AE23" s="6"/>
      <c r="AF23" s="6"/>
      <c r="AG23" s="508">
        <v>720</v>
      </c>
      <c r="AH23" s="6"/>
      <c r="AI23" s="6"/>
      <c r="AJ23" s="527"/>
      <c r="AK23" s="526" t="s">
        <v>427</v>
      </c>
    </row>
    <row r="24" spans="1:37" ht="49.95" customHeight="1" x14ac:dyDescent="0.35">
      <c r="A24" s="1477"/>
      <c r="B24" s="472">
        <v>2</v>
      </c>
      <c r="C24" s="493"/>
      <c r="D24" s="494"/>
      <c r="E24" s="494"/>
      <c r="F24" s="495">
        <v>720</v>
      </c>
      <c r="G24" s="566"/>
      <c r="H24" s="514"/>
      <c r="I24" s="502"/>
      <c r="J24" s="527" t="s">
        <v>427</v>
      </c>
      <c r="K24" s="66"/>
      <c r="L24" s="470"/>
      <c r="M24" s="6"/>
      <c r="N24" s="6"/>
      <c r="O24" s="495">
        <v>720</v>
      </c>
      <c r="P24" s="566"/>
      <c r="Q24" s="514"/>
      <c r="R24" s="515"/>
      <c r="S24" s="527" t="s">
        <v>427</v>
      </c>
      <c r="T24" s="66"/>
      <c r="U24" s="470"/>
      <c r="V24" s="6"/>
      <c r="W24" s="6"/>
      <c r="X24" s="495">
        <v>720</v>
      </c>
      <c r="Y24" s="566"/>
      <c r="Z24" s="514"/>
      <c r="AA24" s="502"/>
      <c r="AB24" s="526" t="s">
        <v>427</v>
      </c>
      <c r="AC24" s="66"/>
      <c r="AD24" s="470"/>
      <c r="AE24" s="6"/>
      <c r="AF24" s="6"/>
      <c r="AG24" s="508">
        <v>720</v>
      </c>
      <c r="AH24" s="6"/>
      <c r="AI24" s="6"/>
      <c r="AJ24" s="508"/>
      <c r="AK24" s="526" t="s">
        <v>427</v>
      </c>
    </row>
    <row r="25" spans="1:37" ht="46.2" customHeight="1" x14ac:dyDescent="0.35">
      <c r="A25" s="1478">
        <v>44754</v>
      </c>
      <c r="B25" s="472">
        <v>1</v>
      </c>
      <c r="C25" s="493"/>
      <c r="D25" s="494"/>
      <c r="E25" s="494"/>
      <c r="F25" s="495">
        <v>720</v>
      </c>
      <c r="G25" s="566"/>
      <c r="H25" s="514"/>
      <c r="I25" s="515"/>
      <c r="J25" s="527" t="s">
        <v>427</v>
      </c>
      <c r="K25" s="66"/>
      <c r="L25" s="470"/>
      <c r="M25" s="6"/>
      <c r="N25" s="6"/>
      <c r="O25" s="508">
        <v>720</v>
      </c>
      <c r="P25" s="470"/>
      <c r="Q25" s="514"/>
      <c r="R25" s="6"/>
      <c r="S25" s="527" t="s">
        <v>427</v>
      </c>
      <c r="T25" s="66"/>
      <c r="U25" s="470"/>
      <c r="V25" s="6"/>
      <c r="W25" s="6"/>
      <c r="X25" s="508">
        <v>720</v>
      </c>
      <c r="Y25" s="470"/>
      <c r="Z25" s="6"/>
      <c r="AA25" s="502"/>
      <c r="AB25" s="526" t="s">
        <v>427</v>
      </c>
      <c r="AC25" s="66"/>
      <c r="AD25" s="470"/>
      <c r="AE25" s="6"/>
      <c r="AF25" s="6"/>
      <c r="AG25" s="495">
        <v>720</v>
      </c>
      <c r="AH25" s="6"/>
      <c r="AI25" s="6"/>
      <c r="AJ25" s="508"/>
      <c r="AK25" s="526" t="s">
        <v>427</v>
      </c>
    </row>
    <row r="26" spans="1:37" ht="42" customHeight="1" x14ac:dyDescent="0.35">
      <c r="A26" s="1477"/>
      <c r="B26" s="472">
        <v>2</v>
      </c>
      <c r="C26" s="493"/>
      <c r="D26" s="494"/>
      <c r="E26" s="494"/>
      <c r="F26" s="495">
        <v>720</v>
      </c>
      <c r="G26" s="566"/>
      <c r="H26" s="515"/>
      <c r="I26" s="573"/>
      <c r="J26" s="527" t="s">
        <v>427</v>
      </c>
      <c r="K26" s="66"/>
      <c r="L26" s="470"/>
      <c r="M26" s="6"/>
      <c r="N26" s="6"/>
      <c r="O26" s="495">
        <v>720</v>
      </c>
      <c r="P26" s="566"/>
      <c r="Q26" s="515"/>
      <c r="R26" s="515"/>
      <c r="S26" s="527" t="s">
        <v>427</v>
      </c>
      <c r="T26" s="66"/>
      <c r="U26" s="470"/>
      <c r="V26" s="494"/>
      <c r="W26" s="6"/>
      <c r="X26" s="495">
        <v>720</v>
      </c>
      <c r="Y26" s="566"/>
      <c r="Z26" s="515"/>
      <c r="AA26" s="515"/>
      <c r="AB26" s="526" t="s">
        <v>427</v>
      </c>
      <c r="AC26" s="66"/>
      <c r="AD26" s="470"/>
      <c r="AE26" s="494"/>
      <c r="AF26" s="6"/>
      <c r="AG26" s="508">
        <v>720</v>
      </c>
      <c r="AH26" s="6"/>
      <c r="AI26" s="6"/>
      <c r="AJ26" s="508"/>
      <c r="AK26" s="526" t="s">
        <v>427</v>
      </c>
    </row>
    <row r="27" spans="1:37" ht="49.95" customHeight="1" x14ac:dyDescent="0.35">
      <c r="A27" s="1478">
        <v>44755</v>
      </c>
      <c r="B27" s="534">
        <v>1</v>
      </c>
      <c r="C27" s="493"/>
      <c r="D27" s="494"/>
      <c r="E27" s="494"/>
      <c r="F27" s="495">
        <v>720</v>
      </c>
      <c r="G27" s="566"/>
      <c r="H27" s="514"/>
      <c r="I27" s="573"/>
      <c r="J27" s="527" t="s">
        <v>427</v>
      </c>
      <c r="K27" s="66"/>
      <c r="L27" s="470"/>
      <c r="M27" s="6"/>
      <c r="N27" s="6"/>
      <c r="O27" s="495">
        <v>720</v>
      </c>
      <c r="P27" s="566"/>
      <c r="Q27" s="514"/>
      <c r="R27" s="515"/>
      <c r="S27" s="526" t="s">
        <v>427</v>
      </c>
      <c r="T27" s="66"/>
      <c r="U27" s="470"/>
      <c r="V27" s="6"/>
      <c r="W27" s="6"/>
      <c r="X27" s="508">
        <v>720</v>
      </c>
      <c r="Y27" s="566"/>
      <c r="Z27" s="514"/>
      <c r="AA27" s="515"/>
      <c r="AB27" s="527" t="s">
        <v>427</v>
      </c>
      <c r="AC27" s="66"/>
      <c r="AD27" s="470"/>
      <c r="AE27" s="6"/>
      <c r="AF27" s="6"/>
      <c r="AG27" s="508">
        <v>720</v>
      </c>
      <c r="AH27" s="6"/>
      <c r="AI27" s="6"/>
      <c r="AJ27" s="527"/>
      <c r="AK27" s="526" t="s">
        <v>427</v>
      </c>
    </row>
    <row r="28" spans="1:37" ht="49.2" customHeight="1" x14ac:dyDescent="0.35">
      <c r="A28" s="1477"/>
      <c r="B28" s="472">
        <v>2</v>
      </c>
      <c r="C28" s="493"/>
      <c r="D28" s="494"/>
      <c r="E28" s="494"/>
      <c r="F28" s="495">
        <v>720</v>
      </c>
      <c r="G28" s="515"/>
      <c r="H28" s="515"/>
      <c r="I28" s="573"/>
      <c r="J28" s="527" t="s">
        <v>427</v>
      </c>
      <c r="K28" s="66"/>
      <c r="L28" s="470"/>
      <c r="M28" s="6"/>
      <c r="N28" s="6"/>
      <c r="O28" s="495">
        <v>720</v>
      </c>
      <c r="P28" s="515"/>
      <c r="Q28" s="515"/>
      <c r="R28" s="515"/>
      <c r="S28" s="526" t="s">
        <v>427</v>
      </c>
      <c r="T28" s="66"/>
      <c r="U28" s="470"/>
      <c r="V28" s="6"/>
      <c r="W28" s="6"/>
      <c r="X28" s="495">
        <v>720</v>
      </c>
      <c r="Y28" s="515"/>
      <c r="Z28" s="514"/>
      <c r="AA28" s="515"/>
      <c r="AB28" s="527" t="s">
        <v>427</v>
      </c>
      <c r="AC28" s="66"/>
      <c r="AD28" s="470"/>
      <c r="AE28" s="6"/>
      <c r="AF28" s="6"/>
      <c r="AG28" s="495">
        <v>711</v>
      </c>
      <c r="AH28" s="6"/>
      <c r="AI28" s="6"/>
      <c r="AJ28" s="508"/>
      <c r="AK28" s="526" t="s">
        <v>427</v>
      </c>
    </row>
    <row r="29" spans="1:37" ht="19.95" customHeight="1" x14ac:dyDescent="0.35">
      <c r="A29" s="1478">
        <v>44756</v>
      </c>
      <c r="B29" s="472">
        <v>1</v>
      </c>
      <c r="C29" s="493"/>
      <c r="D29" s="494"/>
      <c r="E29" s="494"/>
      <c r="F29" s="495"/>
      <c r="G29" s="566"/>
      <c r="H29" s="514"/>
      <c r="I29" s="573"/>
      <c r="J29" s="527"/>
      <c r="K29" s="66"/>
      <c r="L29" s="470"/>
      <c r="M29" s="6"/>
      <c r="N29" s="6"/>
      <c r="O29" s="495">
        <v>17</v>
      </c>
      <c r="P29" s="566"/>
      <c r="Q29" s="514"/>
      <c r="R29" s="515"/>
      <c r="S29" s="527" t="s">
        <v>428</v>
      </c>
      <c r="T29" s="66"/>
      <c r="U29" s="470"/>
      <c r="V29" s="6"/>
      <c r="W29" s="6">
        <v>10</v>
      </c>
      <c r="X29" s="495">
        <v>90</v>
      </c>
      <c r="Y29" s="566"/>
      <c r="Z29" s="514"/>
      <c r="AA29" s="515" t="s">
        <v>330</v>
      </c>
      <c r="AB29" s="527" t="s">
        <v>428</v>
      </c>
      <c r="AC29" s="66"/>
      <c r="AD29" s="470"/>
      <c r="AE29" s="6"/>
      <c r="AF29" s="6"/>
      <c r="AG29" s="495"/>
      <c r="AH29" s="566"/>
      <c r="AI29" s="514"/>
      <c r="AJ29" s="515"/>
      <c r="AK29" s="508"/>
    </row>
    <row r="30" spans="1:37" ht="39.7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4"/>
      <c r="I30" s="573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>
        <v>5</v>
      </c>
      <c r="X30" s="495"/>
      <c r="Y30" s="566"/>
      <c r="Z30" s="514"/>
      <c r="AA30" s="515" t="s">
        <v>330</v>
      </c>
      <c r="AB30" s="508"/>
      <c r="AC30" s="66"/>
      <c r="AD30" s="470"/>
      <c r="AE30" s="6"/>
      <c r="AF30" s="6"/>
      <c r="AG30" s="495"/>
      <c r="AH30" s="566"/>
      <c r="AI30" s="514"/>
      <c r="AJ30" s="515"/>
      <c r="AK30" s="508"/>
    </row>
    <row r="31" spans="1:37" ht="19.95" customHeight="1" x14ac:dyDescent="0.35">
      <c r="A31" s="1478">
        <v>44757</v>
      </c>
      <c r="B31" s="472">
        <v>1</v>
      </c>
      <c r="C31" s="493"/>
      <c r="D31" s="494"/>
      <c r="E31" s="494"/>
      <c r="F31" s="495"/>
      <c r="G31" s="566"/>
      <c r="H31" s="514"/>
      <c r="I31" s="573"/>
      <c r="J31" s="527"/>
      <c r="K31" s="66"/>
      <c r="L31" s="470"/>
      <c r="M31" s="6"/>
      <c r="N31" s="6"/>
      <c r="O31" s="495"/>
      <c r="P31" s="509"/>
      <c r="Q31" s="6"/>
      <c r="R31" s="6"/>
      <c r="S31" s="508"/>
      <c r="T31" s="66"/>
      <c r="U31" s="470"/>
      <c r="V31" s="6"/>
      <c r="W31" s="6"/>
      <c r="X31" s="495"/>
      <c r="Y31" s="509"/>
      <c r="Z31" s="6"/>
      <c r="AA31" s="6"/>
      <c r="AB31" s="508"/>
      <c r="AC31" s="66"/>
      <c r="AD31" s="470"/>
      <c r="AE31" s="6"/>
      <c r="AF31" s="6"/>
      <c r="AG31" s="495"/>
      <c r="AH31" s="509"/>
      <c r="AI31" s="6"/>
      <c r="AJ31" s="6"/>
      <c r="AK31" s="508"/>
    </row>
    <row r="32" spans="1:37" ht="42.75" customHeight="1" x14ac:dyDescent="0.35">
      <c r="A32" s="1477"/>
      <c r="B32" s="472">
        <v>2</v>
      </c>
      <c r="C32" s="493"/>
      <c r="D32" s="494"/>
      <c r="E32" s="494">
        <v>10</v>
      </c>
      <c r="F32" s="495"/>
      <c r="G32" s="566"/>
      <c r="H32" s="514"/>
      <c r="I32" s="573" t="s">
        <v>325</v>
      </c>
      <c r="J32" s="568"/>
      <c r="K32" s="66"/>
      <c r="L32" s="470"/>
      <c r="M32" s="6"/>
      <c r="N32" s="6"/>
      <c r="O32" s="508"/>
      <c r="P32" s="509"/>
      <c r="Q32" s="6"/>
      <c r="R32" s="6"/>
      <c r="S32" s="627"/>
      <c r="T32" s="66"/>
      <c r="U32" s="470"/>
      <c r="V32" s="6"/>
      <c r="W32" s="6"/>
      <c r="X32" s="508"/>
      <c r="Y32" s="509"/>
      <c r="Z32" s="6"/>
      <c r="AA32" s="6"/>
      <c r="AB32" s="527"/>
      <c r="AC32" s="66"/>
      <c r="AD32" s="470"/>
      <c r="AE32" s="6"/>
      <c r="AF32" s="6"/>
      <c r="AG32" s="508"/>
      <c r="AH32" s="509"/>
      <c r="AI32" s="502"/>
      <c r="AJ32" s="6"/>
      <c r="AK32" s="508"/>
    </row>
    <row r="33" spans="1:37" ht="54" customHeight="1" x14ac:dyDescent="0.35">
      <c r="A33" s="1478">
        <v>44758</v>
      </c>
      <c r="B33" s="472">
        <v>1</v>
      </c>
      <c r="C33" s="493"/>
      <c r="D33" s="494"/>
      <c r="E33" s="494"/>
      <c r="F33" s="495"/>
      <c r="G33" s="566"/>
      <c r="H33" s="514"/>
      <c r="I33" s="573"/>
      <c r="J33" s="568"/>
      <c r="K33" s="66"/>
      <c r="L33" s="470"/>
      <c r="M33" s="6"/>
      <c r="N33" s="6"/>
      <c r="O33" s="508"/>
      <c r="P33" s="509"/>
      <c r="Q33" s="6"/>
      <c r="R33" s="6"/>
      <c r="S33" s="508"/>
      <c r="T33" s="66"/>
      <c r="U33" s="470"/>
      <c r="V33" s="6"/>
      <c r="W33" s="6">
        <v>30</v>
      </c>
      <c r="X33" s="508"/>
      <c r="Y33" s="509"/>
      <c r="Z33" s="6"/>
      <c r="AA33" s="502" t="s">
        <v>429</v>
      </c>
      <c r="AB33" s="508"/>
      <c r="AC33" s="66"/>
      <c r="AD33" s="470"/>
      <c r="AE33" s="6"/>
      <c r="AF33" s="6"/>
      <c r="AG33" s="508"/>
      <c r="AH33" s="509"/>
      <c r="AI33" s="502"/>
      <c r="AJ33" s="6"/>
      <c r="AK33" s="508"/>
    </row>
    <row r="34" spans="1:37" ht="26.5" customHeight="1" x14ac:dyDescent="0.35">
      <c r="A34" s="1477"/>
      <c r="B34" s="534">
        <v>2</v>
      </c>
      <c r="C34" s="494"/>
      <c r="D34" s="494"/>
      <c r="E34" s="494"/>
      <c r="F34" s="495"/>
      <c r="G34" s="566"/>
      <c r="H34" s="515"/>
      <c r="I34" s="573"/>
      <c r="J34" s="568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>
        <v>13</v>
      </c>
      <c r="X34" s="508"/>
      <c r="Y34" s="6"/>
      <c r="Z34" s="502"/>
      <c r="AA34" s="502" t="s">
        <v>152</v>
      </c>
      <c r="AB34" s="527"/>
      <c r="AC34" s="66"/>
      <c r="AD34" s="470"/>
      <c r="AE34" s="6"/>
      <c r="AF34" s="6"/>
      <c r="AG34" s="508"/>
      <c r="AH34" s="509"/>
      <c r="AI34" s="6"/>
      <c r="AJ34" s="6"/>
      <c r="AK34" s="508"/>
    </row>
    <row r="35" spans="1:37" ht="37.5" customHeight="1" x14ac:dyDescent="0.35">
      <c r="A35" s="1478">
        <v>44759</v>
      </c>
      <c r="B35" s="472">
        <v>1</v>
      </c>
      <c r="C35" s="494"/>
      <c r="D35" s="494"/>
      <c r="E35" s="494"/>
      <c r="F35" s="495"/>
      <c r="G35" s="566"/>
      <c r="H35" s="515"/>
      <c r="I35" s="573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6"/>
      <c r="X35" s="508"/>
      <c r="Y35" s="509"/>
      <c r="Z35" s="502"/>
      <c r="AA35" s="6"/>
      <c r="AB35" s="508"/>
      <c r="AC35" s="66"/>
      <c r="AD35" s="470"/>
      <c r="AE35" s="6"/>
      <c r="AF35" s="6"/>
      <c r="AG35" s="508"/>
      <c r="AH35" s="509"/>
      <c r="AI35" s="515"/>
      <c r="AJ35" s="515"/>
      <c r="AK35" s="508"/>
    </row>
    <row r="36" spans="1:37" ht="38.25" customHeight="1" x14ac:dyDescent="0.35">
      <c r="A36" s="1477"/>
      <c r="B36" s="472">
        <v>2</v>
      </c>
      <c r="C36" s="6">
        <v>55</v>
      </c>
      <c r="D36" s="6"/>
      <c r="E36" s="508">
        <v>70</v>
      </c>
      <c r="F36" s="465"/>
      <c r="G36" s="465" t="s">
        <v>165</v>
      </c>
      <c r="H36" s="6"/>
      <c r="I36" s="6" t="s">
        <v>430</v>
      </c>
      <c r="J36" s="527"/>
      <c r="K36" s="66"/>
      <c r="L36" s="465"/>
      <c r="M36" s="6">
        <v>91</v>
      </c>
      <c r="N36" s="6"/>
      <c r="O36" s="508"/>
      <c r="P36" s="465"/>
      <c r="Q36" s="576" t="s">
        <v>431</v>
      </c>
      <c r="R36" s="6"/>
      <c r="S36" s="527"/>
      <c r="T36" s="66"/>
      <c r="U36" s="470"/>
      <c r="V36" s="6"/>
      <c r="W36" s="6">
        <v>15</v>
      </c>
      <c r="X36" s="508"/>
      <c r="Y36" s="509"/>
      <c r="Z36" s="502"/>
      <c r="AA36" s="502" t="s">
        <v>152</v>
      </c>
      <c r="AB36" s="508"/>
      <c r="AC36" s="66"/>
      <c r="AD36" s="470"/>
      <c r="AE36" s="6"/>
      <c r="AF36" s="6">
        <v>15</v>
      </c>
      <c r="AG36" s="508"/>
      <c r="AH36" s="509"/>
      <c r="AI36" s="502"/>
      <c r="AJ36" s="502" t="s">
        <v>304</v>
      </c>
      <c r="AK36" s="508"/>
    </row>
    <row r="37" spans="1:37" ht="19.95" customHeight="1" x14ac:dyDescent="0.35">
      <c r="A37" s="1478">
        <v>44760</v>
      </c>
      <c r="B37" s="534">
        <v>1</v>
      </c>
      <c r="C37" s="494"/>
      <c r="D37" s="494"/>
      <c r="E37" s="6">
        <v>32</v>
      </c>
      <c r="F37" s="508"/>
      <c r="G37" s="509"/>
      <c r="H37" s="502"/>
      <c r="I37" s="502" t="s">
        <v>432</v>
      </c>
      <c r="J37" s="527"/>
      <c r="K37" s="66"/>
      <c r="L37" s="470"/>
      <c r="M37" s="6"/>
      <c r="N37" s="6"/>
      <c r="O37" s="508"/>
      <c r="P37" s="509"/>
      <c r="Q37" s="6"/>
      <c r="R37" s="6"/>
      <c r="S37" s="508"/>
      <c r="T37" s="66"/>
      <c r="U37" s="470"/>
      <c r="V37" s="6"/>
      <c r="W37" s="6">
        <v>10</v>
      </c>
      <c r="X37" s="508"/>
      <c r="Y37" s="509"/>
      <c r="Z37" s="502"/>
      <c r="AA37" s="502" t="s">
        <v>152</v>
      </c>
      <c r="AB37" s="527"/>
      <c r="AC37" s="66"/>
      <c r="AD37" s="470"/>
      <c r="AE37" s="6"/>
      <c r="AF37" s="6"/>
      <c r="AG37" s="508"/>
      <c r="AH37" s="509"/>
      <c r="AI37" s="6"/>
      <c r="AJ37" s="6"/>
      <c r="AK37" s="508"/>
    </row>
    <row r="38" spans="1:37" ht="42" customHeight="1" x14ac:dyDescent="0.35">
      <c r="A38" s="1477"/>
      <c r="B38" s="472">
        <v>2</v>
      </c>
      <c r="C38" s="493"/>
      <c r="D38" s="494"/>
      <c r="E38" s="494">
        <v>18</v>
      </c>
      <c r="F38" s="495"/>
      <c r="G38" s="566"/>
      <c r="H38" s="514"/>
      <c r="I38" s="6" t="s">
        <v>430</v>
      </c>
      <c r="J38" s="527"/>
      <c r="K38" s="66"/>
      <c r="L38" s="470"/>
      <c r="M38" s="6"/>
      <c r="N38" s="6"/>
      <c r="O38" s="508"/>
      <c r="P38" s="469"/>
      <c r="Q38" s="6"/>
      <c r="R38" s="6"/>
      <c r="S38" s="627"/>
      <c r="T38" s="66"/>
      <c r="U38" s="470"/>
      <c r="V38" s="6">
        <v>115</v>
      </c>
      <c r="W38" s="6">
        <v>18</v>
      </c>
      <c r="X38" s="508"/>
      <c r="Y38" s="509"/>
      <c r="Z38" s="6" t="s">
        <v>96</v>
      </c>
      <c r="AA38" s="6" t="s">
        <v>430</v>
      </c>
      <c r="AB38" s="508"/>
      <c r="AC38" s="66"/>
      <c r="AD38" s="470"/>
      <c r="AE38" s="6"/>
      <c r="AF38" s="6">
        <v>29</v>
      </c>
      <c r="AG38" s="508"/>
      <c r="AH38" s="509"/>
      <c r="AI38" s="6"/>
      <c r="AJ38" s="502" t="s">
        <v>433</v>
      </c>
      <c r="AK38" s="508"/>
    </row>
    <row r="39" spans="1:37" ht="19.95" customHeight="1" x14ac:dyDescent="0.35">
      <c r="A39" s="1478">
        <v>44761</v>
      </c>
      <c r="B39" s="472">
        <v>1</v>
      </c>
      <c r="C39" s="493"/>
      <c r="D39" s="494"/>
      <c r="E39" s="494">
        <v>35</v>
      </c>
      <c r="F39" s="495"/>
      <c r="G39" s="566"/>
      <c r="H39" s="514"/>
      <c r="I39" s="573" t="s">
        <v>152</v>
      </c>
      <c r="J39" s="568"/>
      <c r="K39" s="66"/>
      <c r="L39" s="470"/>
      <c r="M39" s="6"/>
      <c r="N39" s="6"/>
      <c r="O39" s="508"/>
      <c r="P39" s="509"/>
      <c r="Q39" s="6"/>
      <c r="R39" s="6"/>
      <c r="S39" s="508"/>
      <c r="T39" s="66"/>
      <c r="U39" s="470"/>
      <c r="V39" s="6"/>
      <c r="W39" s="6">
        <v>15</v>
      </c>
      <c r="X39" s="508"/>
      <c r="Y39" s="509"/>
      <c r="Z39" s="6"/>
      <c r="AA39" s="502" t="s">
        <v>152</v>
      </c>
      <c r="AB39" s="527"/>
      <c r="AC39" s="66"/>
      <c r="AD39" s="470"/>
      <c r="AE39" s="6"/>
      <c r="AF39" s="6"/>
      <c r="AG39" s="508"/>
      <c r="AH39" s="509"/>
      <c r="AI39" s="6"/>
      <c r="AJ39" s="6"/>
      <c r="AK39" s="508"/>
    </row>
    <row r="40" spans="1:37" ht="34.200000000000003" customHeight="1" x14ac:dyDescent="0.35">
      <c r="A40" s="1477"/>
      <c r="B40" s="472">
        <v>2</v>
      </c>
      <c r="C40" s="493"/>
      <c r="D40" s="494"/>
      <c r="E40" s="494"/>
      <c r="F40" s="508">
        <v>95</v>
      </c>
      <c r="G40" s="566"/>
      <c r="H40" s="514"/>
      <c r="I40" s="573"/>
      <c r="J40" s="527" t="s">
        <v>420</v>
      </c>
      <c r="K40" s="66"/>
      <c r="L40" s="470"/>
      <c r="M40" s="6"/>
      <c r="N40" s="6"/>
      <c r="O40" s="508">
        <v>111</v>
      </c>
      <c r="P40" s="509"/>
      <c r="Q40" s="6"/>
      <c r="R40" s="6"/>
      <c r="S40" s="527" t="s">
        <v>420</v>
      </c>
      <c r="T40" s="66"/>
      <c r="U40" s="470"/>
      <c r="V40" s="6"/>
      <c r="W40" s="6">
        <v>10</v>
      </c>
      <c r="X40" s="508">
        <v>100</v>
      </c>
      <c r="Y40" s="509"/>
      <c r="Z40" s="6"/>
      <c r="AA40" s="502" t="s">
        <v>152</v>
      </c>
      <c r="AB40" s="527" t="s">
        <v>420</v>
      </c>
      <c r="AC40" s="66"/>
      <c r="AD40" s="470"/>
      <c r="AE40" s="6"/>
      <c r="AF40" s="6">
        <v>9</v>
      </c>
      <c r="AG40" s="508">
        <v>104</v>
      </c>
      <c r="AH40" s="509"/>
      <c r="AI40" s="6"/>
      <c r="AJ40" s="6" t="s">
        <v>152</v>
      </c>
      <c r="AK40" s="527" t="s">
        <v>420</v>
      </c>
    </row>
    <row r="41" spans="1:37" ht="19.95" customHeight="1" x14ac:dyDescent="0.35">
      <c r="A41" s="1478">
        <v>44762</v>
      </c>
      <c r="B41" s="472">
        <v>1</v>
      </c>
      <c r="C41" s="493"/>
      <c r="D41" s="494"/>
      <c r="E41" s="494"/>
      <c r="F41" s="508"/>
      <c r="G41" s="566"/>
      <c r="H41" s="515"/>
      <c r="I41" s="573"/>
      <c r="J41" s="568"/>
      <c r="K41" s="66"/>
      <c r="L41" s="470"/>
      <c r="M41" s="6"/>
      <c r="N41" s="6"/>
      <c r="O41" s="508"/>
      <c r="P41" s="509"/>
      <c r="Q41" s="6"/>
      <c r="R41" s="6"/>
      <c r="S41" s="527"/>
      <c r="T41" s="66"/>
      <c r="U41" s="470"/>
      <c r="V41" s="6"/>
      <c r="W41" s="6">
        <v>10</v>
      </c>
      <c r="X41" s="508"/>
      <c r="Y41" s="509"/>
      <c r="Z41" s="502"/>
      <c r="AA41" s="502" t="s">
        <v>152</v>
      </c>
      <c r="AB41" s="508"/>
      <c r="AC41" s="66"/>
      <c r="AD41" s="470"/>
      <c r="AE41" s="6"/>
      <c r="AF41" s="6"/>
      <c r="AG41" s="508"/>
      <c r="AH41" s="509"/>
      <c r="AI41" s="502"/>
      <c r="AJ41" s="6"/>
      <c r="AK41" s="508"/>
    </row>
    <row r="42" spans="1:37" ht="19.95" customHeight="1" x14ac:dyDescent="0.35">
      <c r="A42" s="1477"/>
      <c r="B42" s="472">
        <v>2</v>
      </c>
      <c r="C42" s="494"/>
      <c r="D42" s="494"/>
      <c r="E42" s="494">
        <v>25</v>
      </c>
      <c r="F42" s="508"/>
      <c r="G42" s="566"/>
      <c r="H42" s="514"/>
      <c r="I42" s="6" t="s">
        <v>430</v>
      </c>
      <c r="J42" s="568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>
        <v>18</v>
      </c>
      <c r="X42" s="508"/>
      <c r="Y42" s="469"/>
      <c r="Z42" s="6"/>
      <c r="AA42" s="6" t="s">
        <v>430</v>
      </c>
      <c r="AB42" s="527"/>
      <c r="AC42" s="66"/>
      <c r="AD42" s="470"/>
      <c r="AE42" s="6"/>
      <c r="AF42" s="6"/>
      <c r="AG42" s="508"/>
      <c r="AH42" s="509"/>
      <c r="AI42" s="6"/>
      <c r="AJ42" s="6"/>
      <c r="AK42" s="508"/>
    </row>
    <row r="43" spans="1:37" ht="19.95" customHeight="1" x14ac:dyDescent="0.35">
      <c r="A43" s="1478">
        <v>44763</v>
      </c>
      <c r="B43" s="472">
        <v>1</v>
      </c>
      <c r="C43" s="494"/>
      <c r="D43" s="494"/>
      <c r="E43" s="494">
        <v>20</v>
      </c>
      <c r="F43" s="495"/>
      <c r="G43" s="514"/>
      <c r="H43" s="514"/>
      <c r="I43" s="514" t="s">
        <v>152</v>
      </c>
      <c r="J43" s="527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/>
      <c r="W43" s="6">
        <v>37</v>
      </c>
      <c r="X43" s="508"/>
      <c r="Y43" s="509"/>
      <c r="Z43" s="6"/>
      <c r="AA43" s="502" t="s">
        <v>152</v>
      </c>
      <c r="AB43" s="508"/>
      <c r="AC43" s="66"/>
      <c r="AD43" s="470"/>
      <c r="AE43" s="6"/>
      <c r="AF43" s="6">
        <v>20</v>
      </c>
      <c r="AG43" s="508"/>
      <c r="AH43" s="502"/>
      <c r="AI43" s="515"/>
      <c r="AJ43" s="6" t="s">
        <v>152</v>
      </c>
      <c r="AK43" s="508"/>
    </row>
    <row r="44" spans="1:37" ht="36" customHeight="1" x14ac:dyDescent="0.35">
      <c r="A44" s="1477"/>
      <c r="B44" s="472">
        <v>2</v>
      </c>
      <c r="C44" s="494"/>
      <c r="D44" s="494"/>
      <c r="E44" s="494">
        <v>17</v>
      </c>
      <c r="F44" s="495"/>
      <c r="G44" s="514"/>
      <c r="H44" s="514"/>
      <c r="I44" s="514" t="s">
        <v>97</v>
      </c>
      <c r="J44" s="527"/>
      <c r="K44" s="66"/>
      <c r="L44" s="470"/>
      <c r="M44" s="6"/>
      <c r="N44" s="6"/>
      <c r="O44" s="508"/>
      <c r="P44" s="509"/>
      <c r="Q44" s="6"/>
      <c r="R44" s="502"/>
      <c r="S44" s="627"/>
      <c r="T44" s="66"/>
      <c r="U44" s="470"/>
      <c r="V44" s="6"/>
      <c r="W44" s="6">
        <v>9</v>
      </c>
      <c r="X44" s="508"/>
      <c r="Y44" s="469"/>
      <c r="Z44" s="6"/>
      <c r="AA44" s="502" t="s">
        <v>152</v>
      </c>
      <c r="AB44" s="527"/>
      <c r="AC44" s="66"/>
      <c r="AD44" s="470"/>
      <c r="AE44" s="6"/>
      <c r="AF44" s="6"/>
      <c r="AG44" s="508"/>
      <c r="AH44" s="509"/>
      <c r="AI44" s="502"/>
      <c r="AJ44" s="502"/>
      <c r="AK44" s="508"/>
    </row>
    <row r="45" spans="1:37" ht="19.95" customHeight="1" x14ac:dyDescent="0.35">
      <c r="A45" s="1478">
        <v>44764</v>
      </c>
      <c r="B45" s="472">
        <v>1</v>
      </c>
      <c r="C45" s="494"/>
      <c r="D45" s="494"/>
      <c r="E45" s="494"/>
      <c r="F45" s="495"/>
      <c r="G45" s="514"/>
      <c r="H45" s="514"/>
      <c r="I45" s="515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09"/>
      <c r="Z45" s="6"/>
      <c r="AA45" s="502"/>
      <c r="AB45" s="508"/>
      <c r="AC45" s="66"/>
      <c r="AD45" s="470"/>
      <c r="AE45" s="6"/>
      <c r="AF45" s="6">
        <v>10</v>
      </c>
      <c r="AG45" s="508"/>
      <c r="AH45" s="509"/>
      <c r="AI45" s="502"/>
      <c r="AJ45" s="6" t="s">
        <v>434</v>
      </c>
      <c r="AK45" s="508"/>
    </row>
    <row r="46" spans="1:37" ht="46.2" customHeight="1" x14ac:dyDescent="0.35">
      <c r="A46" s="1477"/>
      <c r="B46" s="472">
        <v>2</v>
      </c>
      <c r="C46" s="494"/>
      <c r="D46" s="494"/>
      <c r="E46" s="494">
        <v>20</v>
      </c>
      <c r="F46" s="495">
        <v>179</v>
      </c>
      <c r="G46" s="514"/>
      <c r="H46" s="515"/>
      <c r="I46" s="573" t="s">
        <v>152</v>
      </c>
      <c r="J46" s="527" t="s">
        <v>435</v>
      </c>
      <c r="K46" s="66"/>
      <c r="L46" s="470"/>
      <c r="M46" s="6"/>
      <c r="N46" s="6"/>
      <c r="O46" s="633">
        <v>172</v>
      </c>
      <c r="P46" s="509"/>
      <c r="Q46" s="515"/>
      <c r="R46" s="6"/>
      <c r="S46" s="527" t="s">
        <v>435</v>
      </c>
      <c r="T46" s="66"/>
      <c r="U46" s="470"/>
      <c r="V46" s="6"/>
      <c r="W46" s="6">
        <v>47</v>
      </c>
      <c r="X46" s="508">
        <v>180</v>
      </c>
      <c r="Y46" s="509"/>
      <c r="Z46" s="6"/>
      <c r="AA46" s="502" t="s">
        <v>152</v>
      </c>
      <c r="AB46" s="527" t="s">
        <v>435</v>
      </c>
      <c r="AC46" s="66"/>
      <c r="AD46" s="470"/>
      <c r="AE46" s="6"/>
      <c r="AF46" s="6">
        <v>9</v>
      </c>
      <c r="AG46" s="508">
        <v>183</v>
      </c>
      <c r="AH46" s="509"/>
      <c r="AI46" s="6"/>
      <c r="AJ46" s="6" t="s">
        <v>152</v>
      </c>
      <c r="AK46" s="527" t="s">
        <v>435</v>
      </c>
    </row>
    <row r="47" spans="1:37" ht="19.95" customHeight="1" x14ac:dyDescent="0.35">
      <c r="A47" s="1478">
        <v>44765</v>
      </c>
      <c r="B47" s="472">
        <v>1</v>
      </c>
      <c r="C47" s="494"/>
      <c r="D47" s="494"/>
      <c r="E47" s="494"/>
      <c r="F47" s="495"/>
      <c r="G47" s="515"/>
      <c r="H47" s="514"/>
      <c r="I47" s="515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09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6"/>
      <c r="AK47" s="508"/>
    </row>
    <row r="48" spans="1:37" ht="42.75" customHeight="1" x14ac:dyDescent="0.35">
      <c r="A48" s="1477"/>
      <c r="B48" s="472">
        <v>2</v>
      </c>
      <c r="C48" s="494"/>
      <c r="D48" s="494"/>
      <c r="E48" s="494">
        <v>10</v>
      </c>
      <c r="F48" s="495"/>
      <c r="G48" s="515"/>
      <c r="H48" s="515"/>
      <c r="I48" s="514" t="s">
        <v>304</v>
      </c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/>
      <c r="X48" s="508"/>
      <c r="Y48" s="469"/>
      <c r="Z48" s="6"/>
      <c r="AA48" s="502"/>
      <c r="AB48" s="508"/>
      <c r="AC48" s="66"/>
      <c r="AD48" s="470"/>
      <c r="AE48" s="6"/>
      <c r="AF48" s="6">
        <v>10</v>
      </c>
      <c r="AG48" s="508"/>
      <c r="AH48" s="509"/>
      <c r="AI48" s="502"/>
      <c r="AJ48" s="6" t="s">
        <v>152</v>
      </c>
      <c r="AK48" s="508"/>
    </row>
    <row r="49" spans="1:37" ht="19.95" customHeight="1" x14ac:dyDescent="0.35">
      <c r="A49" s="1478">
        <v>44766</v>
      </c>
      <c r="B49" s="472">
        <v>1</v>
      </c>
      <c r="C49" s="494"/>
      <c r="D49" s="494"/>
      <c r="E49" s="494">
        <v>10</v>
      </c>
      <c r="F49" s="495"/>
      <c r="G49" s="515"/>
      <c r="H49" s="514"/>
      <c r="I49" s="573" t="s">
        <v>152</v>
      </c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>
        <v>22</v>
      </c>
      <c r="X49" s="508"/>
      <c r="Y49" s="509"/>
      <c r="Z49" s="502"/>
      <c r="AA49" s="502" t="s">
        <v>152</v>
      </c>
      <c r="AB49" s="527"/>
      <c r="AC49" s="66"/>
      <c r="AD49" s="470"/>
      <c r="AE49" s="6"/>
      <c r="AF49" s="6"/>
      <c r="AG49" s="508"/>
      <c r="AH49" s="509"/>
      <c r="AI49" s="502"/>
      <c r="AJ49" s="6"/>
      <c r="AK49" s="508"/>
    </row>
    <row r="50" spans="1:37" ht="19.95" customHeight="1" x14ac:dyDescent="0.35">
      <c r="A50" s="1477"/>
      <c r="B50" s="472">
        <v>2</v>
      </c>
      <c r="C50" s="494"/>
      <c r="D50" s="494"/>
      <c r="E50" s="494">
        <v>33</v>
      </c>
      <c r="F50" s="495"/>
      <c r="G50" s="514"/>
      <c r="H50" s="514"/>
      <c r="I50" s="515" t="s">
        <v>375</v>
      </c>
      <c r="J50" s="527"/>
      <c r="K50" s="66"/>
      <c r="L50" s="470"/>
      <c r="M50" s="6"/>
      <c r="N50" s="6"/>
      <c r="O50" s="508"/>
      <c r="P50" s="509"/>
      <c r="Q50" s="502"/>
      <c r="R50" s="502"/>
      <c r="S50" s="627"/>
      <c r="T50" s="66"/>
      <c r="U50" s="470"/>
      <c r="V50" s="6"/>
      <c r="W50" s="6">
        <v>30</v>
      </c>
      <c r="X50" s="508"/>
      <c r="Y50" s="469"/>
      <c r="Z50" s="502"/>
      <c r="AA50" s="502" t="s">
        <v>152</v>
      </c>
      <c r="AB50" s="508"/>
      <c r="AC50" s="66"/>
      <c r="AD50" s="470"/>
      <c r="AE50" s="6"/>
      <c r="AF50" s="6"/>
      <c r="AG50" s="508"/>
      <c r="AH50" s="509"/>
      <c r="AI50" s="6"/>
      <c r="AJ50" s="6"/>
      <c r="AK50" s="508"/>
    </row>
    <row r="51" spans="1:37" ht="19.95" customHeight="1" x14ac:dyDescent="0.35">
      <c r="A51" s="1478">
        <v>44767</v>
      </c>
      <c r="B51" s="472">
        <v>1</v>
      </c>
      <c r="C51" s="494"/>
      <c r="D51" s="494"/>
      <c r="E51" s="494">
        <v>19</v>
      </c>
      <c r="F51" s="495"/>
      <c r="G51" s="514"/>
      <c r="H51" s="514"/>
      <c r="I51" s="515" t="s">
        <v>375</v>
      </c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>
        <v>17</v>
      </c>
      <c r="X51" s="508"/>
      <c r="Y51" s="469"/>
      <c r="Z51" s="6"/>
      <c r="AA51" s="502" t="s">
        <v>152</v>
      </c>
      <c r="AB51" s="508"/>
      <c r="AC51" s="66"/>
      <c r="AD51" s="470"/>
      <c r="AE51" s="6">
        <v>125</v>
      </c>
      <c r="AF51" s="6"/>
      <c r="AG51" s="508"/>
      <c r="AH51" s="509"/>
      <c r="AI51" s="6" t="s">
        <v>96</v>
      </c>
      <c r="AJ51" s="6"/>
      <c r="AK51" s="508"/>
    </row>
    <row r="52" spans="1:37" ht="31.95" customHeight="1" x14ac:dyDescent="0.35">
      <c r="A52" s="1477"/>
      <c r="B52" s="472">
        <v>2</v>
      </c>
      <c r="C52" s="494"/>
      <c r="D52" s="494"/>
      <c r="E52" s="494">
        <v>35</v>
      </c>
      <c r="F52" s="495"/>
      <c r="G52" s="514"/>
      <c r="H52" s="515"/>
      <c r="I52" s="573" t="s">
        <v>152</v>
      </c>
      <c r="J52" s="527"/>
      <c r="K52" s="66"/>
      <c r="L52" s="470">
        <v>312</v>
      </c>
      <c r="M52" s="6"/>
      <c r="N52" s="6"/>
      <c r="O52" s="508"/>
      <c r="P52" s="509" t="s">
        <v>436</v>
      </c>
      <c r="Q52" s="6"/>
      <c r="R52" s="6"/>
      <c r="S52" s="527"/>
      <c r="T52" s="66"/>
      <c r="U52" s="470"/>
      <c r="V52" s="6"/>
      <c r="W52" s="6">
        <v>20</v>
      </c>
      <c r="X52" s="508"/>
      <c r="Y52" s="469"/>
      <c r="Z52" s="502"/>
      <c r="AA52" s="502" t="s">
        <v>152</v>
      </c>
      <c r="AB52" s="527"/>
      <c r="AC52" s="66"/>
      <c r="AD52" s="470"/>
      <c r="AE52" s="6"/>
      <c r="AF52" s="6"/>
      <c r="AG52" s="508"/>
      <c r="AH52" s="509"/>
      <c r="AI52" s="6"/>
      <c r="AJ52" s="6"/>
      <c r="AK52" s="508"/>
    </row>
    <row r="53" spans="1:37" ht="34.200000000000003" customHeight="1" x14ac:dyDescent="0.35">
      <c r="A53" s="1478">
        <v>44768</v>
      </c>
      <c r="B53" s="472">
        <v>1</v>
      </c>
      <c r="C53" s="494"/>
      <c r="D53" s="494"/>
      <c r="E53" s="494">
        <v>30</v>
      </c>
      <c r="F53" s="495"/>
      <c r="G53" s="514"/>
      <c r="H53" s="514"/>
      <c r="I53" s="573" t="s">
        <v>152</v>
      </c>
      <c r="J53" s="568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>
        <v>34</v>
      </c>
      <c r="X53" s="508"/>
      <c r="Y53" s="469"/>
      <c r="Z53" s="6"/>
      <c r="AA53" s="502" t="s">
        <v>152</v>
      </c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</row>
    <row r="54" spans="1:37" ht="19.9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4"/>
      <c r="I54" s="514"/>
      <c r="J54" s="568"/>
      <c r="K54" s="66"/>
      <c r="L54" s="470"/>
      <c r="M54" s="6"/>
      <c r="N54" s="6"/>
      <c r="O54" s="508"/>
      <c r="P54" s="509"/>
      <c r="Q54" s="502"/>
      <c r="R54" s="6"/>
      <c r="S54" s="527"/>
      <c r="T54" s="66"/>
      <c r="U54" s="470"/>
      <c r="V54" s="6"/>
      <c r="W54" s="6">
        <v>20</v>
      </c>
      <c r="X54" s="508"/>
      <c r="Y54" s="577"/>
      <c r="Z54" s="564"/>
      <c r="AA54" s="502" t="s">
        <v>152</v>
      </c>
      <c r="AB54" s="508"/>
      <c r="AC54" s="66"/>
      <c r="AD54" s="470"/>
      <c r="AE54" s="6"/>
      <c r="AF54" s="6"/>
      <c r="AG54" s="508"/>
      <c r="AH54" s="509"/>
      <c r="AI54" s="6"/>
      <c r="AJ54" s="502"/>
      <c r="AK54" s="508"/>
    </row>
    <row r="55" spans="1:37" ht="31.95" customHeight="1" x14ac:dyDescent="0.35">
      <c r="A55" s="1478">
        <v>44769</v>
      </c>
      <c r="B55" s="472">
        <v>1</v>
      </c>
      <c r="C55" s="493"/>
      <c r="D55" s="494"/>
      <c r="E55" s="494">
        <v>20</v>
      </c>
      <c r="F55" s="495"/>
      <c r="G55" s="514"/>
      <c r="H55" s="514"/>
      <c r="I55" s="573" t="s">
        <v>152</v>
      </c>
      <c r="J55" s="56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>
        <v>7</v>
      </c>
      <c r="W55" s="6">
        <v>10</v>
      </c>
      <c r="X55" s="508"/>
      <c r="Y55" s="509"/>
      <c r="Z55" s="514" t="s">
        <v>437</v>
      </c>
      <c r="AA55" s="502" t="s">
        <v>152</v>
      </c>
      <c r="AB55" s="527"/>
      <c r="AC55" s="66"/>
      <c r="AD55" s="470"/>
      <c r="AE55" s="6"/>
      <c r="AF55" s="6"/>
      <c r="AG55" s="508"/>
      <c r="AH55" s="509"/>
      <c r="AI55" s="6"/>
      <c r="AJ55" s="6"/>
      <c r="AK55" s="508"/>
    </row>
    <row r="56" spans="1:37" ht="56.5" customHeight="1" x14ac:dyDescent="0.35">
      <c r="A56" s="1477"/>
      <c r="B56" s="500">
        <v>2</v>
      </c>
      <c r="C56" s="493"/>
      <c r="D56" s="494"/>
      <c r="E56" s="494">
        <v>10</v>
      </c>
      <c r="F56" s="495"/>
      <c r="G56" s="515"/>
      <c r="H56" s="514"/>
      <c r="I56" s="515" t="s">
        <v>152</v>
      </c>
      <c r="J56" s="568"/>
      <c r="K56" s="66"/>
      <c r="L56" s="470"/>
      <c r="M56" s="6"/>
      <c r="N56" s="6"/>
      <c r="O56" s="508"/>
      <c r="P56" s="509"/>
      <c r="Q56" s="6"/>
      <c r="R56" s="6"/>
      <c r="S56" s="627"/>
      <c r="T56" s="66"/>
      <c r="U56" s="470"/>
      <c r="V56" s="6">
        <v>13</v>
      </c>
      <c r="W56" s="6">
        <v>10</v>
      </c>
      <c r="X56" s="508"/>
      <c r="Y56" s="469"/>
      <c r="Z56" s="502" t="s">
        <v>438</v>
      </c>
      <c r="AA56" s="502" t="s">
        <v>152</v>
      </c>
      <c r="AB56" s="508"/>
      <c r="AC56" s="66"/>
      <c r="AD56" s="470"/>
      <c r="AE56" s="6"/>
      <c r="AF56" s="6"/>
      <c r="AG56" s="508"/>
      <c r="AH56" s="509"/>
      <c r="AI56" s="502"/>
      <c r="AJ56" s="514"/>
      <c r="AK56" s="508"/>
    </row>
    <row r="57" spans="1:37" ht="45.65" customHeight="1" x14ac:dyDescent="0.35">
      <c r="A57" s="1478">
        <v>44770</v>
      </c>
      <c r="B57" s="472">
        <v>1</v>
      </c>
      <c r="C57" s="493"/>
      <c r="D57" s="494"/>
      <c r="E57" s="494">
        <v>10</v>
      </c>
      <c r="F57" s="495"/>
      <c r="G57" s="515"/>
      <c r="H57" s="514"/>
      <c r="I57" s="515" t="s">
        <v>152</v>
      </c>
      <c r="J57" s="527"/>
      <c r="K57" s="66"/>
      <c r="L57" s="470"/>
      <c r="M57" s="6"/>
      <c r="N57" s="6"/>
      <c r="O57" s="508"/>
      <c r="P57" s="509"/>
      <c r="Q57" s="6"/>
      <c r="R57" s="502"/>
      <c r="S57" s="508"/>
      <c r="T57" s="66"/>
      <c r="U57" s="470"/>
      <c r="V57" s="6"/>
      <c r="W57" s="6">
        <v>25</v>
      </c>
      <c r="X57" s="508"/>
      <c r="Y57" s="469"/>
      <c r="Z57" s="502"/>
      <c r="AA57" s="502" t="s">
        <v>152</v>
      </c>
      <c r="AB57" s="508"/>
      <c r="AC57" s="66"/>
      <c r="AD57" s="470"/>
      <c r="AE57" s="6"/>
      <c r="AF57" s="6"/>
      <c r="AG57" s="508"/>
      <c r="AH57" s="509"/>
      <c r="AI57" s="6"/>
      <c r="AJ57" s="6"/>
      <c r="AK57" s="508"/>
    </row>
    <row r="58" spans="1:37" ht="39.65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515"/>
      <c r="J58" s="527"/>
      <c r="K58" s="66"/>
      <c r="L58" s="470"/>
      <c r="M58" s="6"/>
      <c r="N58" s="6"/>
      <c r="O58" s="508"/>
      <c r="P58" s="509"/>
      <c r="Q58" s="6"/>
      <c r="R58" s="6"/>
      <c r="S58" s="527"/>
      <c r="T58" s="66"/>
      <c r="U58" s="470"/>
      <c r="V58" s="6">
        <v>10</v>
      </c>
      <c r="W58" s="6"/>
      <c r="X58" s="508"/>
      <c r="Y58" s="509"/>
      <c r="Z58" s="502" t="s">
        <v>439</v>
      </c>
      <c r="AA58" s="6"/>
      <c r="AB58" s="508"/>
      <c r="AC58" s="66"/>
      <c r="AD58" s="470"/>
      <c r="AE58" s="6"/>
      <c r="AF58" s="6"/>
      <c r="AG58" s="508"/>
      <c r="AH58" s="509"/>
      <c r="AI58" s="6"/>
      <c r="AJ58" s="6"/>
      <c r="AK58" s="508"/>
    </row>
    <row r="59" spans="1:37" ht="19.95" customHeight="1" x14ac:dyDescent="0.35">
      <c r="A59" s="1478">
        <v>44771</v>
      </c>
      <c r="B59" s="472">
        <v>1</v>
      </c>
      <c r="C59" s="493"/>
      <c r="D59" s="494"/>
      <c r="E59" s="494"/>
      <c r="F59" s="495"/>
      <c r="G59" s="514"/>
      <c r="H59" s="514"/>
      <c r="I59" s="6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>
        <v>10</v>
      </c>
      <c r="X59" s="508"/>
      <c r="Y59" s="509"/>
      <c r="Z59" s="6"/>
      <c r="AA59" s="6" t="s">
        <v>152</v>
      </c>
      <c r="AB59" s="508"/>
      <c r="AC59" s="66"/>
      <c r="AD59" s="470"/>
      <c r="AE59" s="6"/>
      <c r="AF59" s="6">
        <v>12</v>
      </c>
      <c r="AG59" s="508"/>
      <c r="AH59" s="469"/>
      <c r="AI59" s="6"/>
      <c r="AJ59" s="6" t="s">
        <v>152</v>
      </c>
      <c r="AK59" s="508"/>
    </row>
    <row r="60" spans="1:37" ht="53.5" customHeight="1" x14ac:dyDescent="0.35">
      <c r="A60" s="1477"/>
      <c r="B60" s="500">
        <v>2</v>
      </c>
      <c r="C60" s="493"/>
      <c r="D60" s="494"/>
      <c r="E60" s="494"/>
      <c r="F60" s="495">
        <v>263</v>
      </c>
      <c r="G60" s="514"/>
      <c r="H60" s="515"/>
      <c r="I60" s="515"/>
      <c r="J60" s="527" t="s">
        <v>426</v>
      </c>
      <c r="K60" s="66"/>
      <c r="L60" s="470"/>
      <c r="M60" s="6"/>
      <c r="N60" s="6"/>
      <c r="O60" s="508">
        <v>258</v>
      </c>
      <c r="P60" s="509"/>
      <c r="Q60" s="6"/>
      <c r="R60" s="6"/>
      <c r="S60" s="527" t="s">
        <v>426</v>
      </c>
      <c r="T60" s="66"/>
      <c r="U60" s="470"/>
      <c r="V60" s="6"/>
      <c r="W60" s="6"/>
      <c r="X60" s="508">
        <v>267</v>
      </c>
      <c r="Y60" s="469"/>
      <c r="Z60" s="502"/>
      <c r="AA60" s="6"/>
      <c r="AB60" s="527" t="s">
        <v>426</v>
      </c>
      <c r="AC60" s="66"/>
      <c r="AD60" s="470"/>
      <c r="AE60" s="6"/>
      <c r="AF60" s="6"/>
      <c r="AG60" s="508">
        <v>269</v>
      </c>
      <c r="AH60" s="509"/>
      <c r="AI60" s="6"/>
      <c r="AJ60" s="6"/>
      <c r="AK60" s="527" t="s">
        <v>426</v>
      </c>
    </row>
    <row r="61" spans="1:37" ht="19.95" customHeight="1" x14ac:dyDescent="0.35">
      <c r="A61" s="1478">
        <v>44772</v>
      </c>
      <c r="B61" s="472">
        <v>1</v>
      </c>
      <c r="C61" s="618"/>
      <c r="D61" s="619"/>
      <c r="E61" s="619"/>
      <c r="F61" s="620"/>
      <c r="G61" s="514"/>
      <c r="H61" s="576"/>
      <c r="I61" s="621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6"/>
      <c r="AB61" s="624"/>
      <c r="AC61" s="66"/>
      <c r="AD61" s="470"/>
      <c r="AE61" s="6"/>
      <c r="AF61" s="6"/>
      <c r="AG61" s="508"/>
      <c r="AH61" s="509"/>
      <c r="AI61" s="6"/>
      <c r="AJ61" s="6"/>
      <c r="AK61" s="624"/>
    </row>
    <row r="62" spans="1:37" ht="19.9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621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6"/>
      <c r="AB62" s="624"/>
      <c r="AC62" s="66"/>
      <c r="AD62" s="470"/>
      <c r="AE62" s="6"/>
      <c r="AF62" s="6"/>
      <c r="AG62" s="508"/>
      <c r="AH62" s="509"/>
      <c r="AI62" s="6"/>
      <c r="AJ62" s="6"/>
      <c r="AK62" s="624"/>
    </row>
    <row r="63" spans="1:37" ht="19.95" customHeight="1" x14ac:dyDescent="0.35">
      <c r="A63" s="1478">
        <v>44773</v>
      </c>
      <c r="B63" s="472">
        <v>1</v>
      </c>
      <c r="C63" s="587"/>
      <c r="D63" s="588"/>
      <c r="E63" s="588">
        <v>10</v>
      </c>
      <c r="F63" s="589"/>
      <c r="G63" s="598"/>
      <c r="H63" s="590"/>
      <c r="I63" s="515" t="s">
        <v>152</v>
      </c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>
        <v>25</v>
      </c>
      <c r="X63" s="495"/>
      <c r="Y63" s="566"/>
      <c r="Z63" s="514"/>
      <c r="AA63" s="6" t="s">
        <v>152</v>
      </c>
      <c r="AB63" s="563"/>
      <c r="AC63" s="66"/>
      <c r="AD63" s="470"/>
      <c r="AE63" s="6"/>
      <c r="AF63" s="6"/>
      <c r="AG63" s="495"/>
      <c r="AH63" s="566"/>
      <c r="AI63" s="514"/>
      <c r="AJ63" s="514"/>
      <c r="AK63" s="586"/>
    </row>
    <row r="64" spans="1:37" ht="19.9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</row>
    <row r="65" spans="1:33" x14ac:dyDescent="0.35">
      <c r="A65" s="423" t="s">
        <v>225</v>
      </c>
      <c r="C65" s="631">
        <f>SUM(C3:C64)</f>
        <v>126</v>
      </c>
      <c r="D65" s="65">
        <f>SUM(D3:D64)</f>
        <v>0</v>
      </c>
      <c r="E65" s="631">
        <f>SUM(E3:E64)</f>
        <v>587</v>
      </c>
      <c r="F65" s="65">
        <f>SUM(F3:F64)</f>
        <v>7143</v>
      </c>
      <c r="L65" s="65">
        <f>SUM(L3:L64)</f>
        <v>523</v>
      </c>
      <c r="M65" s="65">
        <f>SUM(M3:M64)</f>
        <v>91</v>
      </c>
      <c r="N65" s="65">
        <f>SUM(N3:N64)</f>
        <v>0</v>
      </c>
      <c r="O65" s="65">
        <f>SUM(O3:O64)</f>
        <v>7166</v>
      </c>
      <c r="U65" s="65">
        <f>SUM(U3:U64)</f>
        <v>0</v>
      </c>
      <c r="V65" s="65">
        <f>SUM(V3:V64)</f>
        <v>175</v>
      </c>
      <c r="W65" s="65">
        <f>SUM(W3:W64)</f>
        <v>968</v>
      </c>
      <c r="X65" s="65">
        <f>SUM(X3:X64)</f>
        <v>7257</v>
      </c>
      <c r="AD65" s="65">
        <f>SUM(AD3:AD64)</f>
        <v>1039</v>
      </c>
      <c r="AE65" s="65">
        <f>SUM(AE3:AE64)</f>
        <v>125</v>
      </c>
      <c r="AF65" s="65">
        <f>SUM(AF3:AF64)</f>
        <v>905</v>
      </c>
      <c r="AG65" s="65">
        <f>SUM(AG3:AG64)</f>
        <v>7176</v>
      </c>
    </row>
    <row r="73" spans="1:33" ht="14.6" thickBot="1" x14ac:dyDescent="0.4"/>
    <row r="74" spans="1:3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3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33" ht="21.75" customHeight="1" x14ac:dyDescent="0.4">
      <c r="B76" s="541" t="s">
        <v>218</v>
      </c>
      <c r="C76" s="542">
        <f>C65</f>
        <v>126</v>
      </c>
      <c r="D76" s="543">
        <f>C76/60</f>
        <v>2.1</v>
      </c>
      <c r="E76" s="542">
        <f>D65</f>
        <v>0</v>
      </c>
      <c r="F76" s="544">
        <f>E76/60</f>
        <v>0</v>
      </c>
      <c r="G76" s="542">
        <f>E65</f>
        <v>587</v>
      </c>
      <c r="H76" s="543">
        <f>G76/60</f>
        <v>9.7833333333333332</v>
      </c>
      <c r="I76" s="542">
        <f>F65</f>
        <v>7143</v>
      </c>
      <c r="J76" s="543">
        <f>I76/60</f>
        <v>119.05</v>
      </c>
    </row>
    <row r="77" spans="1:33" ht="19.5" customHeight="1" x14ac:dyDescent="0.4">
      <c r="B77" s="541" t="s">
        <v>219</v>
      </c>
      <c r="C77" s="545">
        <f>L65</f>
        <v>523</v>
      </c>
      <c r="D77" s="546">
        <f t="shared" ref="D77:F79" si="0">C77/60</f>
        <v>8.7166666666666668</v>
      </c>
      <c r="E77" s="545">
        <f>M65</f>
        <v>91</v>
      </c>
      <c r="F77" s="547">
        <f t="shared" si="0"/>
        <v>1.5166666666666666</v>
      </c>
      <c r="G77" s="545">
        <f>N65</f>
        <v>0</v>
      </c>
      <c r="H77" s="546">
        <f t="shared" ref="H77:J79" si="1">G77/60</f>
        <v>0</v>
      </c>
      <c r="I77" s="545">
        <f>O65</f>
        <v>7166</v>
      </c>
      <c r="J77" s="546">
        <f t="shared" si="1"/>
        <v>119.43333333333334</v>
      </c>
    </row>
    <row r="78" spans="1:33" ht="20.25" customHeight="1" x14ac:dyDescent="0.4">
      <c r="B78" s="541" t="s">
        <v>220</v>
      </c>
      <c r="C78" s="545">
        <f>U65</f>
        <v>0</v>
      </c>
      <c r="D78" s="546">
        <f t="shared" si="0"/>
        <v>0</v>
      </c>
      <c r="E78" s="545">
        <f>V65</f>
        <v>175</v>
      </c>
      <c r="F78" s="547">
        <f t="shared" si="0"/>
        <v>2.9166666666666665</v>
      </c>
      <c r="G78" s="545">
        <f>W65</f>
        <v>968</v>
      </c>
      <c r="H78" s="546">
        <f t="shared" si="1"/>
        <v>16.133333333333333</v>
      </c>
      <c r="I78" s="545">
        <f>X65</f>
        <v>7257</v>
      </c>
      <c r="J78" s="546">
        <f t="shared" si="1"/>
        <v>120.95</v>
      </c>
    </row>
    <row r="79" spans="1:33" ht="22.5" customHeight="1" thickBot="1" x14ac:dyDescent="0.45">
      <c r="B79" s="541" t="s">
        <v>221</v>
      </c>
      <c r="C79" s="548">
        <f>AD65</f>
        <v>1039</v>
      </c>
      <c r="D79" s="549">
        <f t="shared" si="0"/>
        <v>17.316666666666666</v>
      </c>
      <c r="E79" s="548">
        <f>AE65</f>
        <v>125</v>
      </c>
      <c r="F79" s="550">
        <f t="shared" si="0"/>
        <v>2.0833333333333335</v>
      </c>
      <c r="G79" s="548">
        <f>AF65</f>
        <v>905</v>
      </c>
      <c r="H79" s="549">
        <f t="shared" si="1"/>
        <v>15.083333333333334</v>
      </c>
      <c r="I79" s="548">
        <f>AG65</f>
        <v>7176</v>
      </c>
      <c r="J79" s="549">
        <f t="shared" si="1"/>
        <v>119.6</v>
      </c>
    </row>
    <row r="80" spans="1:33" ht="18.45" thickBot="1" x14ac:dyDescent="0.5">
      <c r="B80" s="354"/>
      <c r="C80" s="255"/>
      <c r="D80" s="255"/>
      <c r="E80" s="255"/>
      <c r="F80" s="255"/>
      <c r="G80" s="255"/>
      <c r="H80" s="255"/>
      <c r="I80" s="255"/>
      <c r="J80" s="255"/>
    </row>
    <row r="81" spans="2:10" ht="18.45" thickBot="1" x14ac:dyDescent="0.5">
      <c r="B81" s="551" t="s">
        <v>217</v>
      </c>
      <c r="C81" s="556"/>
      <c r="D81" s="557">
        <f>SUM(D76:D80)</f>
        <v>28.133333333333333</v>
      </c>
      <c r="E81" s="556"/>
      <c r="F81" s="557">
        <f>SUM(F76:F80)</f>
        <v>6.5166666666666675</v>
      </c>
      <c r="G81" s="556"/>
      <c r="H81" s="557">
        <f>SUM(H76:H80)</f>
        <v>41</v>
      </c>
      <c r="I81" s="556"/>
      <c r="J81" s="558">
        <f>AVERAGE(J76:J80)</f>
        <v>119.75833333333333</v>
      </c>
    </row>
  </sheetData>
  <mergeCells count="43">
    <mergeCell ref="A9:A10"/>
    <mergeCell ref="C1:F1"/>
    <mergeCell ref="G1:J1"/>
    <mergeCell ref="L1:O1"/>
    <mergeCell ref="P1:S1"/>
    <mergeCell ref="AD1:AG1"/>
    <mergeCell ref="AH1:AK1"/>
    <mergeCell ref="A3:A4"/>
    <mergeCell ref="A5:A6"/>
    <mergeCell ref="A7:A8"/>
    <mergeCell ref="U1:X1"/>
    <mergeCell ref="Y1:AB1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47:A48"/>
    <mergeCell ref="A49:A50"/>
    <mergeCell ref="A51:A52"/>
    <mergeCell ref="A45:A46"/>
    <mergeCell ref="A35:A36"/>
    <mergeCell ref="A37:A38"/>
    <mergeCell ref="A39:A40"/>
    <mergeCell ref="A41:A42"/>
    <mergeCell ref="A43:A44"/>
    <mergeCell ref="A53:A54"/>
    <mergeCell ref="A55:A56"/>
    <mergeCell ref="A57:A58"/>
    <mergeCell ref="A59:A60"/>
    <mergeCell ref="A61:A62"/>
    <mergeCell ref="A63:A64"/>
    <mergeCell ref="C74:D74"/>
    <mergeCell ref="E74:F74"/>
    <mergeCell ref="G74:H74"/>
    <mergeCell ref="I74:J74"/>
  </mergeCells>
  <pageMargins left="0.7" right="0.7" top="0.75" bottom="0.75" header="0.3" footer="0.3"/>
  <pageSetup paperSize="9" orientation="portrait" horizontalDpi="180" verticalDpi="18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K81"/>
  <sheetViews>
    <sheetView zoomScale="60" zoomScaleNormal="6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P42" sqref="P41:P42"/>
    </sheetView>
  </sheetViews>
  <sheetFormatPr defaultColWidth="8.84375" defaultRowHeight="14.15" x14ac:dyDescent="0.35"/>
  <cols>
    <col min="1" max="1" width="14.53515625" style="423" customWidth="1"/>
    <col min="2" max="2" width="15.69140625" style="65" customWidth="1"/>
    <col min="3" max="4" width="10.69140625" style="423" customWidth="1"/>
    <col min="5" max="5" width="15.69140625" style="423" customWidth="1"/>
    <col min="6" max="6" width="16.84375" style="423" customWidth="1"/>
    <col min="7" max="7" width="21.15234375" style="423" customWidth="1"/>
    <col min="8" max="8" width="28.3828125" style="423" customWidth="1"/>
    <col min="9" max="9" width="30.3828125" style="423" customWidth="1"/>
    <col min="10" max="10" width="21.15234375" style="423" customWidth="1"/>
    <col min="11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4.3046875" style="423" customWidth="1"/>
    <col min="20" max="24" width="10.69140625" style="423" customWidth="1"/>
    <col min="25" max="25" width="26.53515625" style="423" customWidth="1"/>
    <col min="26" max="26" width="23.84375" style="423" customWidth="1"/>
    <col min="27" max="27" width="32.3828125" style="423" customWidth="1"/>
    <col min="28" max="28" width="21.15234375" style="423" customWidth="1"/>
    <col min="29" max="33" width="10.69140625" style="423" customWidth="1"/>
    <col min="34" max="34" width="20.3046875" style="423" customWidth="1"/>
    <col min="35" max="35" width="24" style="423" customWidth="1"/>
    <col min="36" max="36" width="23.69140625" style="423" customWidth="1"/>
    <col min="37" max="37" width="23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202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203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42.65" customHeight="1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30" customHeight="1" thickTop="1" x14ac:dyDescent="0.35">
      <c r="A3" s="1478">
        <v>44774</v>
      </c>
      <c r="B3" s="501">
        <v>1</v>
      </c>
      <c r="C3" s="490"/>
      <c r="D3" s="491"/>
      <c r="E3" s="491"/>
      <c r="F3" s="492"/>
      <c r="G3" s="566"/>
      <c r="H3" s="514"/>
      <c r="I3" s="515"/>
      <c r="J3" s="567"/>
      <c r="K3" s="66"/>
      <c r="L3" s="507"/>
      <c r="M3" s="522"/>
      <c r="N3" s="522"/>
      <c r="O3" s="520"/>
      <c r="P3" s="521"/>
      <c r="Q3" s="580"/>
      <c r="R3" s="581"/>
      <c r="S3" s="520"/>
      <c r="T3" s="66"/>
      <c r="U3" s="507"/>
      <c r="V3" s="522"/>
      <c r="W3" s="522"/>
      <c r="X3" s="508"/>
      <c r="Y3" s="469"/>
      <c r="Z3" s="521"/>
      <c r="AA3" s="600"/>
      <c r="AB3" s="601"/>
      <c r="AC3" s="66"/>
      <c r="AD3" s="507"/>
      <c r="AE3" s="522"/>
      <c r="AF3" s="6"/>
      <c r="AG3" s="520"/>
      <c r="AH3" s="521"/>
      <c r="AI3" s="522"/>
      <c r="AJ3" s="6"/>
      <c r="AK3" s="520"/>
    </row>
    <row r="4" spans="1:37" ht="19.95" customHeight="1" x14ac:dyDescent="0.35">
      <c r="A4" s="1477"/>
      <c r="B4" s="472">
        <v>2</v>
      </c>
      <c r="C4" s="493"/>
      <c r="D4" s="494"/>
      <c r="E4" s="494">
        <v>15</v>
      </c>
      <c r="F4" s="495"/>
      <c r="G4" s="566"/>
      <c r="H4" s="514"/>
      <c r="I4" s="515" t="s">
        <v>152</v>
      </c>
      <c r="J4" s="568"/>
      <c r="K4" s="66"/>
      <c r="L4" s="470"/>
      <c r="M4" s="6"/>
      <c r="N4" s="6"/>
      <c r="O4" s="508"/>
      <c r="P4" s="509"/>
      <c r="Q4" s="579"/>
      <c r="R4" s="28"/>
      <c r="S4" s="508"/>
      <c r="T4" s="66"/>
      <c r="U4" s="470"/>
      <c r="V4" s="502"/>
      <c r="W4" s="6">
        <v>11</v>
      </c>
      <c r="X4" s="508"/>
      <c r="Y4" s="469"/>
      <c r="Z4" s="6"/>
      <c r="AA4" s="579" t="s">
        <v>152</v>
      </c>
      <c r="AB4" s="603"/>
      <c r="AC4" s="66"/>
      <c r="AD4" s="470"/>
      <c r="AE4" s="6"/>
      <c r="AF4" s="6"/>
      <c r="AG4" s="508"/>
      <c r="AH4" s="509"/>
      <c r="AI4" s="6"/>
      <c r="AJ4" s="6"/>
      <c r="AK4" s="508"/>
    </row>
    <row r="5" spans="1:37" ht="26.5" customHeight="1" x14ac:dyDescent="0.35">
      <c r="A5" s="1478">
        <v>44775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47"/>
      <c r="AA5" s="6"/>
      <c r="AB5" s="604"/>
      <c r="AC5" s="66"/>
      <c r="AD5" s="470"/>
      <c r="AE5" s="6"/>
      <c r="AF5" s="6"/>
      <c r="AG5" s="508"/>
      <c r="AH5" s="509"/>
      <c r="AI5" s="6"/>
      <c r="AJ5" s="502"/>
      <c r="AK5" s="508"/>
    </row>
    <row r="6" spans="1:37" ht="63" customHeight="1" x14ac:dyDescent="0.35">
      <c r="A6" s="1477"/>
      <c r="B6" s="472">
        <v>2</v>
      </c>
      <c r="C6" s="493"/>
      <c r="D6" s="494"/>
      <c r="E6" s="494">
        <v>27</v>
      </c>
      <c r="F6" s="495"/>
      <c r="G6" s="566"/>
      <c r="H6" s="514"/>
      <c r="I6" s="515" t="s">
        <v>445</v>
      </c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>
        <v>20</v>
      </c>
      <c r="X6" s="508"/>
      <c r="Y6" s="469"/>
      <c r="Z6" s="6"/>
      <c r="AA6" s="579" t="s">
        <v>152</v>
      </c>
      <c r="AB6" s="508"/>
      <c r="AC6" s="66"/>
      <c r="AD6" s="470"/>
      <c r="AE6" s="6"/>
      <c r="AF6" s="6">
        <v>7</v>
      </c>
      <c r="AG6" s="508"/>
      <c r="AH6" s="509"/>
      <c r="AI6" s="6"/>
      <c r="AJ6" s="6" t="s">
        <v>152</v>
      </c>
      <c r="AK6" s="508"/>
    </row>
    <row r="7" spans="1:37" ht="19.95" customHeight="1" x14ac:dyDescent="0.35">
      <c r="A7" s="1478">
        <v>44776</v>
      </c>
      <c r="B7" s="472">
        <v>1</v>
      </c>
      <c r="C7" s="493"/>
      <c r="D7" s="494"/>
      <c r="E7" s="494">
        <v>140</v>
      </c>
      <c r="F7" s="495"/>
      <c r="G7" s="566"/>
      <c r="H7" s="515"/>
      <c r="I7" s="515" t="s">
        <v>440</v>
      </c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524"/>
      <c r="W7" s="6"/>
      <c r="X7" s="508"/>
      <c r="Y7" s="509"/>
      <c r="Z7" s="6"/>
      <c r="AA7" s="6"/>
      <c r="AB7" s="508"/>
      <c r="AC7" s="66"/>
      <c r="AD7" s="470"/>
      <c r="AE7" s="6"/>
      <c r="AF7" s="6"/>
      <c r="AG7" s="508"/>
      <c r="AH7" s="509"/>
      <c r="AI7" s="6"/>
      <c r="AJ7" s="6"/>
      <c r="AK7" s="508"/>
    </row>
    <row r="8" spans="1:37" ht="31.2" customHeight="1" x14ac:dyDescent="0.35">
      <c r="A8" s="1477"/>
      <c r="B8" s="472">
        <v>2</v>
      </c>
      <c r="C8" s="493">
        <v>720</v>
      </c>
      <c r="D8" s="494"/>
      <c r="E8" s="494"/>
      <c r="F8" s="495"/>
      <c r="G8" s="565" t="s">
        <v>441</v>
      </c>
      <c r="H8" s="515"/>
      <c r="I8" s="515"/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525"/>
      <c r="W8" s="509"/>
      <c r="X8" s="508"/>
      <c r="Y8" s="469"/>
      <c r="Z8" s="6"/>
      <c r="AA8" s="6"/>
      <c r="AB8" s="527"/>
      <c r="AC8" s="66"/>
      <c r="AD8" s="470"/>
      <c r="AE8" s="6"/>
      <c r="AF8" s="6"/>
      <c r="AG8" s="508"/>
      <c r="AH8" s="509"/>
      <c r="AI8" s="6"/>
      <c r="AJ8" s="6"/>
      <c r="AK8" s="527"/>
    </row>
    <row r="9" spans="1:37" ht="33.65" customHeight="1" x14ac:dyDescent="0.35">
      <c r="A9" s="1478">
        <v>44777</v>
      </c>
      <c r="B9" s="472">
        <v>1</v>
      </c>
      <c r="C9" s="493">
        <v>720</v>
      </c>
      <c r="D9" s="494"/>
      <c r="E9" s="494"/>
      <c r="F9" s="495"/>
      <c r="G9" s="566"/>
      <c r="H9" s="514"/>
      <c r="I9" s="514"/>
      <c r="J9" s="527"/>
      <c r="K9" s="66"/>
      <c r="L9" s="470"/>
      <c r="M9" s="6"/>
      <c r="N9" s="6"/>
      <c r="O9" s="508"/>
      <c r="P9" s="469"/>
      <c r="Q9" s="6"/>
      <c r="R9" s="502"/>
      <c r="S9" s="527"/>
      <c r="T9" s="66"/>
      <c r="U9" s="470"/>
      <c r="V9" s="6"/>
      <c r="W9" s="6"/>
      <c r="X9" s="508"/>
      <c r="Y9" s="509"/>
      <c r="Z9" s="6"/>
      <c r="AA9" s="6"/>
      <c r="AB9" s="527"/>
      <c r="AC9" s="66"/>
      <c r="AD9" s="470"/>
      <c r="AE9" s="6"/>
      <c r="AF9" s="6"/>
      <c r="AG9" s="508"/>
      <c r="AH9" s="509"/>
      <c r="AI9" s="6"/>
      <c r="AJ9" s="6"/>
      <c r="AK9" s="527"/>
    </row>
    <row r="10" spans="1:37" ht="47.5" customHeight="1" x14ac:dyDescent="0.35">
      <c r="A10" s="1477"/>
      <c r="B10" s="472">
        <v>2</v>
      </c>
      <c r="C10" s="493">
        <v>345</v>
      </c>
      <c r="D10" s="494"/>
      <c r="E10" s="494">
        <v>375</v>
      </c>
      <c r="F10" s="495"/>
      <c r="G10" s="566" t="s">
        <v>442</v>
      </c>
      <c r="H10" s="514"/>
      <c r="I10" s="515" t="s">
        <v>443</v>
      </c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/>
      <c r="V10" s="6"/>
      <c r="W10" s="6"/>
      <c r="X10" s="508"/>
      <c r="Z10" s="469"/>
      <c r="AA10" s="6"/>
      <c r="AB10" s="527"/>
      <c r="AC10" s="66"/>
      <c r="AD10" s="470"/>
      <c r="AE10" s="6"/>
      <c r="AF10" s="6"/>
      <c r="AG10" s="508"/>
      <c r="AH10" s="509"/>
      <c r="AI10" s="6"/>
      <c r="AJ10" s="6"/>
      <c r="AK10" s="527"/>
    </row>
    <row r="11" spans="1:37" ht="90" customHeight="1" x14ac:dyDescent="0.35">
      <c r="A11" s="1478">
        <v>44778</v>
      </c>
      <c r="B11" s="472">
        <v>1</v>
      </c>
      <c r="C11" s="493"/>
      <c r="D11" s="494"/>
      <c r="E11" s="494"/>
      <c r="F11" s="495"/>
      <c r="G11" s="565"/>
      <c r="H11" s="514"/>
      <c r="I11" s="515"/>
      <c r="J11" s="568"/>
      <c r="K11" s="66"/>
      <c r="L11" s="470"/>
      <c r="M11" s="6"/>
      <c r="N11" s="6">
        <v>144</v>
      </c>
      <c r="O11" s="508"/>
      <c r="P11" s="469"/>
      <c r="Q11" s="6"/>
      <c r="R11" s="502" t="s">
        <v>440</v>
      </c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</row>
    <row r="12" spans="1:37" ht="19.95" customHeight="1" x14ac:dyDescent="0.35">
      <c r="A12" s="1477"/>
      <c r="B12" s="472">
        <v>2</v>
      </c>
      <c r="C12" s="493"/>
      <c r="D12" s="494"/>
      <c r="E12" s="494"/>
      <c r="F12" s="495"/>
      <c r="G12" s="566"/>
      <c r="H12" s="514"/>
      <c r="I12" s="515"/>
      <c r="J12" s="568"/>
      <c r="K12" s="66"/>
      <c r="L12" s="470">
        <v>720</v>
      </c>
      <c r="M12" s="6"/>
      <c r="N12" s="6"/>
      <c r="O12" s="508"/>
      <c r="P12" s="469" t="s">
        <v>444</v>
      </c>
      <c r="Q12" s="6"/>
      <c r="R12" s="502"/>
      <c r="S12" s="508"/>
      <c r="T12" s="66"/>
      <c r="U12" s="470"/>
      <c r="V12" s="6"/>
      <c r="W12" s="6"/>
      <c r="X12" s="508"/>
      <c r="Y12" s="509"/>
      <c r="Z12" s="6"/>
      <c r="AA12" s="602"/>
      <c r="AB12" s="508"/>
      <c r="AC12" s="66"/>
      <c r="AD12" s="470"/>
      <c r="AE12" s="6"/>
      <c r="AF12" s="6"/>
      <c r="AG12" s="508"/>
      <c r="AH12" s="509"/>
      <c r="AI12" s="6"/>
      <c r="AJ12" s="6"/>
      <c r="AK12" s="508"/>
    </row>
    <row r="13" spans="1:37" ht="40.5" customHeight="1" x14ac:dyDescent="0.35">
      <c r="A13" s="1478">
        <v>44779</v>
      </c>
      <c r="B13" s="472">
        <v>1</v>
      </c>
      <c r="C13" s="493"/>
      <c r="D13" s="494"/>
      <c r="E13" s="494"/>
      <c r="F13" s="495"/>
      <c r="G13" s="566"/>
      <c r="H13" s="514"/>
      <c r="I13" s="515"/>
      <c r="J13" s="527"/>
      <c r="K13" s="66"/>
      <c r="L13" s="470">
        <v>270</v>
      </c>
      <c r="M13" s="6"/>
      <c r="N13" s="6">
        <v>483</v>
      </c>
      <c r="O13" s="508"/>
      <c r="P13" s="469"/>
      <c r="Q13" s="6"/>
      <c r="R13" s="502" t="s">
        <v>239</v>
      </c>
      <c r="S13" s="527"/>
      <c r="T13" s="66"/>
      <c r="U13" s="470"/>
      <c r="V13" s="6">
        <v>7</v>
      </c>
      <c r="W13" s="6"/>
      <c r="X13" s="508"/>
      <c r="Y13" s="469"/>
      <c r="Z13" s="502" t="s">
        <v>446</v>
      </c>
      <c r="AA13" s="6"/>
      <c r="AB13" s="527"/>
      <c r="AC13" s="66"/>
      <c r="AD13" s="470"/>
      <c r="AE13" s="6"/>
      <c r="AF13" s="6"/>
      <c r="AG13" s="508"/>
      <c r="AH13" s="509"/>
      <c r="AI13" s="6"/>
      <c r="AJ13" s="6"/>
      <c r="AK13" s="527"/>
    </row>
    <row r="14" spans="1:37" ht="34.200000000000003" customHeight="1" x14ac:dyDescent="0.35">
      <c r="A14" s="1477"/>
      <c r="B14" s="472">
        <v>2</v>
      </c>
      <c r="C14" s="493"/>
      <c r="D14" s="494"/>
      <c r="E14" s="494">
        <v>10</v>
      </c>
      <c r="F14" s="495"/>
      <c r="G14" s="566"/>
      <c r="H14" s="515"/>
      <c r="I14" s="515" t="s">
        <v>445</v>
      </c>
      <c r="J14" s="527"/>
      <c r="K14" s="66"/>
      <c r="L14" s="470"/>
      <c r="M14" s="6"/>
      <c r="N14" s="6"/>
      <c r="O14" s="508"/>
      <c r="P14" s="509"/>
      <c r="Q14" s="6"/>
      <c r="R14" s="6"/>
      <c r="S14" s="527"/>
      <c r="T14" s="66"/>
      <c r="U14" s="470"/>
      <c r="V14" s="6"/>
      <c r="W14" s="6">
        <v>15</v>
      </c>
      <c r="X14" s="508"/>
      <c r="Y14" s="469"/>
      <c r="Z14" s="502"/>
      <c r="AA14" s="502" t="s">
        <v>445</v>
      </c>
      <c r="AB14" s="607"/>
      <c r="AC14" s="66"/>
      <c r="AD14" s="470"/>
      <c r="AE14" s="6"/>
      <c r="AF14" s="6"/>
      <c r="AG14" s="508"/>
      <c r="AH14" s="469"/>
      <c r="AI14" s="6"/>
      <c r="AJ14" s="6"/>
      <c r="AK14" s="527"/>
    </row>
    <row r="15" spans="1:37" ht="43.95" customHeight="1" x14ac:dyDescent="0.35">
      <c r="A15" s="1478">
        <v>44780</v>
      </c>
      <c r="B15" s="472">
        <v>1</v>
      </c>
      <c r="C15" s="493"/>
      <c r="D15" s="494"/>
      <c r="E15" s="6">
        <v>15</v>
      </c>
      <c r="F15" s="495"/>
      <c r="G15" s="566"/>
      <c r="H15" s="515"/>
      <c r="I15" s="515" t="s">
        <v>152</v>
      </c>
      <c r="J15" s="568"/>
      <c r="K15" s="66"/>
      <c r="L15" s="470"/>
      <c r="M15" s="6"/>
      <c r="N15" s="6"/>
      <c r="O15" s="508"/>
      <c r="P15" s="470"/>
      <c r="Q15" s="515"/>
      <c r="R15" s="6"/>
      <c r="S15" s="508"/>
      <c r="T15" s="66"/>
      <c r="U15" s="470"/>
      <c r="V15" s="6"/>
      <c r="W15" s="6"/>
      <c r="X15" s="508"/>
      <c r="Y15" s="470"/>
      <c r="Z15" s="515"/>
      <c r="AA15" s="609"/>
      <c r="AB15" s="608"/>
      <c r="AC15" s="66"/>
      <c r="AD15" s="470"/>
      <c r="AE15" s="6"/>
      <c r="AF15" s="66"/>
      <c r="AG15" s="508"/>
      <c r="AI15" s="515"/>
      <c r="AJ15" s="470"/>
      <c r="AK15" s="508"/>
    </row>
    <row r="16" spans="1:37" ht="37.5" customHeight="1" x14ac:dyDescent="0.35">
      <c r="A16" s="1477"/>
      <c r="B16" s="472">
        <v>2</v>
      </c>
      <c r="C16" s="493"/>
      <c r="D16" s="494"/>
      <c r="E16" s="494">
        <v>59</v>
      </c>
      <c r="F16" s="495"/>
      <c r="G16" s="565"/>
      <c r="H16" s="514"/>
      <c r="I16" s="565" t="s">
        <v>97</v>
      </c>
      <c r="J16" s="568"/>
      <c r="K16" s="66"/>
      <c r="L16" s="470"/>
      <c r="M16" s="6"/>
      <c r="N16" s="6"/>
      <c r="O16" s="508"/>
      <c r="P16" s="470"/>
      <c r="Q16" s="6"/>
      <c r="R16" s="6"/>
      <c r="S16" s="508"/>
      <c r="T16" s="66"/>
      <c r="U16" s="470"/>
      <c r="V16" s="6"/>
      <c r="W16" s="6"/>
      <c r="X16" s="508"/>
      <c r="Y16" s="514"/>
      <c r="Z16" s="514"/>
      <c r="AA16" s="6"/>
      <c r="AB16" s="508"/>
      <c r="AC16" s="66"/>
      <c r="AD16" s="470"/>
      <c r="AE16" s="6"/>
      <c r="AF16" s="6"/>
      <c r="AG16" s="508"/>
      <c r="AH16" s="470"/>
      <c r="AI16" s="6"/>
      <c r="AJ16" s="6"/>
      <c r="AK16" s="508"/>
    </row>
    <row r="17" spans="1:37" ht="32.5" customHeight="1" x14ac:dyDescent="0.35">
      <c r="A17" s="1478">
        <v>44781</v>
      </c>
      <c r="B17" s="534">
        <v>1</v>
      </c>
      <c r="C17" s="493"/>
      <c r="D17" s="494"/>
      <c r="E17" s="494"/>
      <c r="F17" s="495"/>
      <c r="G17" s="566"/>
      <c r="H17" s="514"/>
      <c r="I17" s="515"/>
      <c r="J17" s="568"/>
      <c r="K17" s="66"/>
      <c r="L17" s="470"/>
      <c r="M17" s="6"/>
      <c r="N17" s="6"/>
      <c r="O17" s="508"/>
      <c r="P17" s="470"/>
      <c r="Q17" s="6"/>
      <c r="R17" s="6"/>
      <c r="S17" s="508"/>
      <c r="T17" s="66"/>
      <c r="U17" s="470"/>
      <c r="V17" s="6"/>
      <c r="W17" s="6"/>
      <c r="X17" s="508"/>
      <c r="Y17" s="514"/>
      <c r="Z17" s="514"/>
      <c r="AA17" s="6"/>
      <c r="AB17" s="508"/>
      <c r="AC17" s="66"/>
      <c r="AD17" s="470"/>
      <c r="AE17" s="6"/>
      <c r="AF17" s="6"/>
      <c r="AG17" s="508"/>
      <c r="AH17" s="470"/>
      <c r="AI17" s="6"/>
      <c r="AJ17" s="502"/>
      <c r="AK17" s="508"/>
    </row>
    <row r="18" spans="1:37" ht="39.6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515"/>
      <c r="I18" s="514"/>
      <c r="J18" s="568"/>
      <c r="K18" s="66"/>
      <c r="L18" s="470"/>
      <c r="M18" s="6"/>
      <c r="N18" s="6">
        <v>35</v>
      </c>
      <c r="O18" s="508"/>
      <c r="P18" s="470"/>
      <c r="Q18" s="6"/>
      <c r="R18" s="6" t="s">
        <v>97</v>
      </c>
      <c r="S18" s="508"/>
      <c r="T18" s="66"/>
      <c r="U18" s="470"/>
      <c r="V18" s="6"/>
      <c r="W18" s="6"/>
      <c r="X18" s="508"/>
      <c r="Y18" s="465"/>
      <c r="Z18" s="6"/>
      <c r="AA18" s="502"/>
      <c r="AB18" s="508"/>
      <c r="AC18" s="66"/>
      <c r="AD18" s="470"/>
      <c r="AE18" s="6"/>
      <c r="AF18" s="6"/>
      <c r="AG18" s="508"/>
      <c r="AH18" s="470"/>
      <c r="AI18" s="6"/>
      <c r="AJ18" s="502"/>
      <c r="AK18" s="508"/>
    </row>
    <row r="19" spans="1:37" ht="33.65" customHeight="1" x14ac:dyDescent="0.35">
      <c r="A19" s="1478">
        <v>44782</v>
      </c>
      <c r="B19" s="472">
        <v>1</v>
      </c>
      <c r="C19" s="66"/>
      <c r="D19" s="494"/>
      <c r="E19" s="494">
        <v>28</v>
      </c>
      <c r="F19" s="495"/>
      <c r="G19" s="566"/>
      <c r="H19" s="514"/>
      <c r="I19" s="515" t="s">
        <v>325</v>
      </c>
      <c r="J19" s="568"/>
      <c r="K19" s="66"/>
      <c r="L19" s="470"/>
      <c r="M19" s="6"/>
      <c r="N19" s="6"/>
      <c r="O19" s="508"/>
      <c r="P19" s="470"/>
      <c r="Q19" s="6"/>
      <c r="R19" s="6"/>
      <c r="S19" s="508"/>
      <c r="T19" s="66"/>
      <c r="U19" s="470"/>
      <c r="V19" s="6"/>
      <c r="W19" s="6">
        <v>20</v>
      </c>
      <c r="X19" s="508"/>
      <c r="Y19" s="470"/>
      <c r="Z19" s="502"/>
      <c r="AA19" s="502" t="s">
        <v>325</v>
      </c>
      <c r="AB19" s="508"/>
      <c r="AC19" s="66"/>
      <c r="AD19" s="470"/>
      <c r="AE19" s="6"/>
      <c r="AF19" s="6"/>
      <c r="AG19" s="508"/>
      <c r="AH19" s="470"/>
      <c r="AI19" s="6"/>
      <c r="AJ19" s="502"/>
      <c r="AK19" s="508"/>
    </row>
    <row r="20" spans="1:37" ht="56.5" customHeight="1" x14ac:dyDescent="0.35">
      <c r="A20" s="1477"/>
      <c r="B20" s="472">
        <v>2</v>
      </c>
      <c r="C20" s="493"/>
      <c r="D20" s="494"/>
      <c r="E20" s="494"/>
      <c r="F20" s="495">
        <v>218</v>
      </c>
      <c r="G20" s="566"/>
      <c r="H20" s="515"/>
      <c r="I20" s="515"/>
      <c r="J20" s="527" t="s">
        <v>447</v>
      </c>
      <c r="K20" s="66"/>
      <c r="L20" s="470"/>
      <c r="M20" s="6"/>
      <c r="N20" s="6"/>
      <c r="O20" s="508">
        <v>218</v>
      </c>
      <c r="P20" s="470"/>
      <c r="Q20" s="6"/>
      <c r="R20" s="6"/>
      <c r="S20" s="527" t="s">
        <v>447</v>
      </c>
      <c r="T20" s="66"/>
      <c r="U20" s="470"/>
      <c r="V20" s="214"/>
      <c r="W20" s="6"/>
      <c r="X20" s="508">
        <v>217</v>
      </c>
      <c r="Y20" s="470"/>
      <c r="Z20" s="502"/>
      <c r="AA20" s="605"/>
      <c r="AB20" s="527" t="s">
        <v>447</v>
      </c>
      <c r="AC20" s="66"/>
      <c r="AD20" s="470"/>
      <c r="AE20" s="6"/>
      <c r="AF20" s="6"/>
      <c r="AG20" s="508">
        <v>223</v>
      </c>
      <c r="AH20" s="465"/>
      <c r="AI20" s="6"/>
      <c r="AJ20" s="508"/>
      <c r="AK20" s="527" t="s">
        <v>447</v>
      </c>
    </row>
    <row r="21" spans="1:37" ht="97.2" customHeight="1" x14ac:dyDescent="0.35">
      <c r="A21" s="1478">
        <v>44783</v>
      </c>
      <c r="B21" s="472">
        <v>1</v>
      </c>
      <c r="C21" s="493"/>
      <c r="D21" s="494"/>
      <c r="E21" s="494"/>
      <c r="F21" s="495">
        <f>69+265</f>
        <v>334</v>
      </c>
      <c r="G21" s="569"/>
      <c r="H21" s="514"/>
      <c r="I21" s="515"/>
      <c r="J21" s="527" t="s">
        <v>447</v>
      </c>
      <c r="K21" s="66"/>
      <c r="L21" s="470"/>
      <c r="M21" s="6"/>
      <c r="N21" s="6"/>
      <c r="O21" s="508">
        <f>59+265</f>
        <v>324</v>
      </c>
      <c r="P21" s="470"/>
      <c r="Q21" s="6"/>
      <c r="R21" s="6"/>
      <c r="S21" s="527" t="s">
        <v>447</v>
      </c>
      <c r="T21" s="66"/>
      <c r="U21" s="470"/>
      <c r="V21" s="6"/>
      <c r="W21" s="6"/>
      <c r="X21" s="508">
        <f>71+263</f>
        <v>334</v>
      </c>
      <c r="Y21" s="470"/>
      <c r="Z21" s="6"/>
      <c r="AA21" s="502"/>
      <c r="AB21" s="527" t="s">
        <v>449</v>
      </c>
      <c r="AC21" s="66"/>
      <c r="AD21" s="470"/>
      <c r="AE21" s="6"/>
      <c r="AF21" s="6"/>
      <c r="AG21" s="508">
        <f>69+265</f>
        <v>334</v>
      </c>
      <c r="AH21" s="470"/>
      <c r="AI21" s="6"/>
      <c r="AJ21" s="508"/>
      <c r="AK21" s="527" t="s">
        <v>447</v>
      </c>
    </row>
    <row r="22" spans="1:37" ht="55.95" customHeight="1" x14ac:dyDescent="0.35">
      <c r="A22" s="1477"/>
      <c r="B22" s="472">
        <v>2</v>
      </c>
      <c r="C22" s="493"/>
      <c r="D22" s="494"/>
      <c r="E22" s="494"/>
      <c r="F22" s="495">
        <v>3</v>
      </c>
      <c r="G22" s="562"/>
      <c r="H22" s="515"/>
      <c r="I22" s="515"/>
      <c r="J22" s="527" t="s">
        <v>448</v>
      </c>
      <c r="K22" s="66"/>
      <c r="L22" s="470"/>
      <c r="M22" s="6"/>
      <c r="N22" s="6"/>
      <c r="O22" s="495">
        <v>8</v>
      </c>
      <c r="P22" s="469"/>
      <c r="Q22" s="6"/>
      <c r="R22" s="6"/>
      <c r="S22" s="527" t="s">
        <v>448</v>
      </c>
      <c r="T22" s="66"/>
      <c r="U22" s="470"/>
      <c r="V22" s="6"/>
      <c r="W22" s="6"/>
      <c r="X22" s="495"/>
      <c r="Y22" s="470"/>
      <c r="Z22" s="6"/>
      <c r="AA22" s="502"/>
      <c r="AB22" s="527"/>
      <c r="AC22" s="66"/>
      <c r="AD22" s="470"/>
      <c r="AE22" s="6"/>
      <c r="AF22" s="6"/>
      <c r="AG22" s="495">
        <v>14</v>
      </c>
      <c r="AH22" s="470"/>
      <c r="AI22" s="6"/>
      <c r="AJ22" s="508"/>
      <c r="AK22" s="527" t="s">
        <v>448</v>
      </c>
    </row>
    <row r="23" spans="1:37" ht="37.950000000000003" customHeight="1" x14ac:dyDescent="0.35">
      <c r="A23" s="1478">
        <v>44784</v>
      </c>
      <c r="B23" s="534">
        <v>1</v>
      </c>
      <c r="C23" s="493"/>
      <c r="D23" s="494"/>
      <c r="E23" s="494">
        <v>10</v>
      </c>
      <c r="F23" s="495"/>
      <c r="G23" s="566"/>
      <c r="H23" s="514"/>
      <c r="I23" s="515" t="s">
        <v>152</v>
      </c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>
        <v>6</v>
      </c>
      <c r="W23" s="6">
        <v>30</v>
      </c>
      <c r="X23" s="495"/>
      <c r="Y23" s="566"/>
      <c r="Z23" s="514" t="s">
        <v>450</v>
      </c>
      <c r="AA23" s="515" t="s">
        <v>152</v>
      </c>
      <c r="AB23" s="526"/>
      <c r="AC23" s="66"/>
      <c r="AD23" s="470"/>
      <c r="AE23" s="6">
        <v>11</v>
      </c>
      <c r="AF23" s="6"/>
      <c r="AG23" s="508"/>
      <c r="AH23" s="6"/>
      <c r="AI23" s="514" t="s">
        <v>450</v>
      </c>
      <c r="AJ23" s="527"/>
      <c r="AK23" s="526"/>
    </row>
    <row r="24" spans="1:37" ht="49.95" customHeight="1" x14ac:dyDescent="0.35">
      <c r="A24" s="1477"/>
      <c r="B24" s="472">
        <v>2</v>
      </c>
      <c r="C24" s="493"/>
      <c r="D24" s="494"/>
      <c r="E24" s="494">
        <v>8</v>
      </c>
      <c r="F24" s="495"/>
      <c r="G24" s="566"/>
      <c r="H24" s="514"/>
      <c r="I24" s="515" t="s">
        <v>152</v>
      </c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>
        <v>10</v>
      </c>
      <c r="W24" s="6">
        <v>9</v>
      </c>
      <c r="X24" s="495"/>
      <c r="Y24" s="566"/>
      <c r="Z24" s="514" t="s">
        <v>450</v>
      </c>
      <c r="AA24" s="515" t="s">
        <v>152</v>
      </c>
      <c r="AB24" s="526"/>
      <c r="AC24" s="66"/>
      <c r="AD24" s="470"/>
      <c r="AE24" s="6">
        <v>14</v>
      </c>
      <c r="AF24" s="6"/>
      <c r="AG24" s="508"/>
      <c r="AH24" s="6"/>
      <c r="AI24" s="514" t="s">
        <v>450</v>
      </c>
      <c r="AJ24" s="508"/>
      <c r="AK24" s="526"/>
    </row>
    <row r="25" spans="1:37" ht="46.2" customHeight="1" x14ac:dyDescent="0.35">
      <c r="A25" s="1478">
        <v>44785</v>
      </c>
      <c r="B25" s="472">
        <v>1</v>
      </c>
      <c r="C25" s="493"/>
      <c r="D25" s="494"/>
      <c r="E25" s="494"/>
      <c r="F25" s="495"/>
      <c r="G25" s="566"/>
      <c r="H25" s="514"/>
      <c r="I25" s="515"/>
      <c r="J25" s="527"/>
      <c r="K25" s="66"/>
      <c r="L25" s="470"/>
      <c r="M25" s="6"/>
      <c r="N25" s="6"/>
      <c r="O25" s="508"/>
      <c r="P25" s="470"/>
      <c r="Q25" s="514"/>
      <c r="R25" s="6"/>
      <c r="S25" s="527"/>
      <c r="T25" s="66"/>
      <c r="U25" s="470"/>
      <c r="V25" s="6"/>
      <c r="W25" s="6"/>
      <c r="X25" s="508"/>
      <c r="Y25" s="470"/>
      <c r="Z25" s="6"/>
      <c r="AA25" s="502"/>
      <c r="AB25" s="526"/>
      <c r="AC25" s="66"/>
      <c r="AD25" s="470"/>
      <c r="AE25" s="6"/>
      <c r="AF25" s="6"/>
      <c r="AG25" s="495"/>
      <c r="AH25" s="6"/>
      <c r="AI25" s="6"/>
      <c r="AJ25" s="508"/>
      <c r="AK25" s="526"/>
    </row>
    <row r="26" spans="1:37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573"/>
      <c r="J26" s="527"/>
      <c r="K26" s="66"/>
      <c r="L26" s="470"/>
      <c r="M26" s="6"/>
      <c r="N26" s="6"/>
      <c r="O26" s="495"/>
      <c r="P26" s="566"/>
      <c r="Q26" s="515"/>
      <c r="R26" s="515"/>
      <c r="S26" s="527"/>
      <c r="T26" s="66"/>
      <c r="U26" s="470"/>
      <c r="V26" s="494"/>
      <c r="W26" s="6"/>
      <c r="X26" s="495"/>
      <c r="Y26" s="566"/>
      <c r="Z26" s="515"/>
      <c r="AA26" s="515"/>
      <c r="AB26" s="526"/>
      <c r="AC26" s="66"/>
      <c r="AD26" s="470"/>
      <c r="AE26" s="494"/>
      <c r="AF26" s="6"/>
      <c r="AG26" s="508"/>
      <c r="AH26" s="6"/>
      <c r="AI26" s="6"/>
      <c r="AJ26" s="508"/>
      <c r="AK26" s="526"/>
    </row>
    <row r="27" spans="1:37" ht="49.95" customHeight="1" x14ac:dyDescent="0.35">
      <c r="A27" s="1478">
        <v>44786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6"/>
      <c r="T27" s="66"/>
      <c r="U27" s="470"/>
      <c r="V27" s="6"/>
      <c r="W27" s="6"/>
      <c r="X27" s="508"/>
      <c r="Y27" s="566"/>
      <c r="Z27" s="514"/>
      <c r="AA27" s="515"/>
      <c r="AB27" s="527"/>
      <c r="AC27" s="66"/>
      <c r="AD27" s="470"/>
      <c r="AE27" s="6"/>
      <c r="AF27" s="6"/>
      <c r="AG27" s="508"/>
      <c r="AH27" s="6"/>
      <c r="AI27" s="6"/>
      <c r="AJ27" s="527"/>
      <c r="AK27" s="526"/>
    </row>
    <row r="28" spans="1:37" ht="49.2" customHeight="1" x14ac:dyDescent="0.35">
      <c r="A28" s="1477"/>
      <c r="B28" s="472">
        <v>2</v>
      </c>
      <c r="C28" s="493"/>
      <c r="D28" s="494"/>
      <c r="E28" s="494">
        <v>108</v>
      </c>
      <c r="F28" s="495"/>
      <c r="G28" s="515"/>
      <c r="H28" s="515"/>
      <c r="I28" s="573" t="s">
        <v>451</v>
      </c>
      <c r="J28" s="527"/>
      <c r="K28" s="66"/>
      <c r="L28" s="470"/>
      <c r="M28" s="6"/>
      <c r="N28" s="6"/>
      <c r="O28" s="495"/>
      <c r="P28" s="515"/>
      <c r="Q28" s="515"/>
      <c r="R28" s="515"/>
      <c r="S28" s="526"/>
      <c r="T28" s="66"/>
      <c r="U28" s="470"/>
      <c r="V28" s="6"/>
      <c r="W28" s="495">
        <v>112</v>
      </c>
      <c r="X28" s="495"/>
      <c r="Y28" s="515"/>
      <c r="Z28" s="514"/>
      <c r="AA28" s="573" t="s">
        <v>451</v>
      </c>
      <c r="AB28" s="527"/>
      <c r="AC28" s="66"/>
      <c r="AD28" s="470"/>
      <c r="AE28" s="6"/>
      <c r="AF28" s="6">
        <v>23</v>
      </c>
      <c r="AG28" s="495"/>
      <c r="AH28" s="6"/>
      <c r="AI28" s="6"/>
      <c r="AJ28" s="573" t="s">
        <v>451</v>
      </c>
      <c r="AK28" s="526"/>
    </row>
    <row r="29" spans="1:37" ht="57" customHeight="1" x14ac:dyDescent="0.35">
      <c r="A29" s="1478">
        <v>44787</v>
      </c>
      <c r="B29" s="472">
        <v>1</v>
      </c>
      <c r="C29" s="493"/>
      <c r="D29" s="494"/>
      <c r="E29" s="494">
        <v>55</v>
      </c>
      <c r="F29" s="495"/>
      <c r="G29" s="566"/>
      <c r="H29" s="514"/>
      <c r="I29" s="573" t="s">
        <v>451</v>
      </c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>
        <v>95</v>
      </c>
      <c r="X29" s="495"/>
      <c r="Y29" s="566"/>
      <c r="Z29" s="514"/>
      <c r="AA29" s="573" t="s">
        <v>451</v>
      </c>
      <c r="AB29" s="527"/>
      <c r="AC29" s="66"/>
      <c r="AD29" s="470"/>
      <c r="AE29" s="6"/>
      <c r="AF29" s="6"/>
      <c r="AG29" s="495"/>
      <c r="AH29" s="566"/>
      <c r="AI29" s="514"/>
      <c r="AJ29" s="515"/>
      <c r="AK29" s="508"/>
    </row>
    <row r="30" spans="1:37" ht="39.75" customHeight="1" x14ac:dyDescent="0.35">
      <c r="A30" s="1477"/>
      <c r="B30" s="534">
        <v>2</v>
      </c>
      <c r="C30" s="493"/>
      <c r="D30" s="494"/>
      <c r="E30" s="494">
        <v>30</v>
      </c>
      <c r="F30" s="495"/>
      <c r="G30" s="566"/>
      <c r="H30" s="514"/>
      <c r="I30" s="515" t="s">
        <v>152</v>
      </c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/>
      <c r="X30" s="495"/>
      <c r="Y30" s="566"/>
      <c r="Z30" s="514"/>
      <c r="AA30" s="515"/>
      <c r="AB30" s="508"/>
      <c r="AC30" s="66"/>
      <c r="AD30" s="470"/>
      <c r="AE30" s="6"/>
      <c r="AF30" s="6"/>
      <c r="AG30" s="495"/>
      <c r="AH30" s="566"/>
      <c r="AI30" s="514"/>
      <c r="AJ30" s="515"/>
      <c r="AK30" s="508"/>
    </row>
    <row r="31" spans="1:37" ht="48.65" customHeight="1" x14ac:dyDescent="0.35">
      <c r="A31" s="1478">
        <v>44788</v>
      </c>
      <c r="B31" s="472">
        <v>1</v>
      </c>
      <c r="C31" s="493"/>
      <c r="D31" s="494"/>
      <c r="E31" s="494">
        <v>23</v>
      </c>
      <c r="F31" s="495">
        <v>20</v>
      </c>
      <c r="G31" s="566"/>
      <c r="H31" s="514"/>
      <c r="I31" s="515" t="s">
        <v>152</v>
      </c>
      <c r="J31" s="527" t="s">
        <v>452</v>
      </c>
      <c r="K31" s="66"/>
      <c r="L31" s="470"/>
      <c r="M31" s="6"/>
      <c r="N31" s="6"/>
      <c r="O31" s="495">
        <v>20</v>
      </c>
      <c r="P31" s="509"/>
      <c r="Q31" s="6"/>
      <c r="R31" s="6"/>
      <c r="S31" s="527" t="s">
        <v>452</v>
      </c>
      <c r="T31" s="66"/>
      <c r="U31" s="470"/>
      <c r="V31" s="6"/>
      <c r="W31" s="6"/>
      <c r="X31" s="495">
        <v>20</v>
      </c>
      <c r="Y31" s="509"/>
      <c r="Z31" s="6"/>
      <c r="AA31" s="6"/>
      <c r="AB31" s="527" t="s">
        <v>452</v>
      </c>
      <c r="AC31" s="66"/>
      <c r="AD31" s="470"/>
      <c r="AE31" s="6"/>
      <c r="AF31" s="6"/>
      <c r="AG31" s="495">
        <v>20</v>
      </c>
      <c r="AH31" s="509"/>
      <c r="AI31" s="6"/>
      <c r="AJ31" s="6"/>
      <c r="AK31" s="527" t="s">
        <v>452</v>
      </c>
    </row>
    <row r="32" spans="1:37" ht="42.75" customHeight="1" x14ac:dyDescent="0.35">
      <c r="A32" s="1477"/>
      <c r="B32" s="472">
        <v>2</v>
      </c>
      <c r="C32" s="493"/>
      <c r="D32" s="494"/>
      <c r="E32" s="494">
        <v>25</v>
      </c>
      <c r="F32" s="495"/>
      <c r="G32" s="566"/>
      <c r="H32" s="514"/>
      <c r="I32" s="573" t="s">
        <v>453</v>
      </c>
      <c r="J32" s="568"/>
      <c r="K32" s="66"/>
      <c r="L32" s="470"/>
      <c r="M32" s="6"/>
      <c r="N32" s="6"/>
      <c r="O32" s="508"/>
      <c r="P32" s="509"/>
      <c r="Q32" s="6"/>
      <c r="R32" s="6"/>
      <c r="S32" s="627"/>
      <c r="T32" s="66"/>
      <c r="U32" s="470"/>
      <c r="V32" s="6">
        <v>14</v>
      </c>
      <c r="W32" s="6"/>
      <c r="X32" s="508"/>
      <c r="Y32" s="509"/>
      <c r="Z32" s="502" t="s">
        <v>446</v>
      </c>
      <c r="AA32" s="6"/>
      <c r="AB32" s="527"/>
      <c r="AC32" s="66"/>
      <c r="AD32" s="470"/>
      <c r="AE32" s="6"/>
      <c r="AF32" s="6"/>
      <c r="AG32" s="508"/>
      <c r="AH32" s="509"/>
      <c r="AI32" s="502"/>
      <c r="AJ32" s="6"/>
      <c r="AK32" s="508"/>
    </row>
    <row r="33" spans="1:37" ht="54" customHeight="1" x14ac:dyDescent="0.35">
      <c r="A33" s="1478">
        <v>44789</v>
      </c>
      <c r="B33" s="472">
        <v>1</v>
      </c>
      <c r="C33" s="493"/>
      <c r="D33" s="494"/>
      <c r="E33" s="494"/>
      <c r="F33" s="495"/>
      <c r="G33" s="566"/>
      <c r="H33" s="514"/>
      <c r="I33" s="573"/>
      <c r="J33" s="568"/>
      <c r="K33" s="66"/>
      <c r="L33" s="470"/>
      <c r="M33" s="6"/>
      <c r="N33" s="6"/>
      <c r="O33" s="508"/>
      <c r="P33" s="509"/>
      <c r="Q33" s="6"/>
      <c r="R33" s="6"/>
      <c r="S33" s="508"/>
      <c r="T33" s="66"/>
      <c r="U33" s="470"/>
      <c r="V33" s="6"/>
      <c r="W33" s="6"/>
      <c r="X33" s="508"/>
      <c r="Y33" s="509"/>
      <c r="Z33" s="6"/>
      <c r="AA33" s="502"/>
      <c r="AB33" s="508"/>
      <c r="AC33" s="66"/>
      <c r="AD33" s="470"/>
      <c r="AE33" s="6"/>
      <c r="AF33" s="6"/>
      <c r="AG33" s="508"/>
      <c r="AH33" s="509"/>
      <c r="AI33" s="502"/>
      <c r="AJ33" s="6"/>
      <c r="AK33" s="508"/>
    </row>
    <row r="34" spans="1:37" ht="26.5" customHeight="1" x14ac:dyDescent="0.35">
      <c r="A34" s="1477"/>
      <c r="B34" s="534">
        <v>2</v>
      </c>
      <c r="C34" s="494"/>
      <c r="D34" s="494"/>
      <c r="E34" s="494">
        <v>15</v>
      </c>
      <c r="F34" s="495"/>
      <c r="G34" s="566"/>
      <c r="H34" s="515"/>
      <c r="I34" s="515" t="s">
        <v>152</v>
      </c>
      <c r="J34" s="568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>
        <v>28</v>
      </c>
      <c r="X34" s="508"/>
      <c r="Y34" s="6"/>
      <c r="Z34" s="502"/>
      <c r="AA34" s="515" t="s">
        <v>152</v>
      </c>
      <c r="AB34" s="527"/>
      <c r="AC34" s="66"/>
      <c r="AD34" s="470"/>
      <c r="AE34" s="6"/>
      <c r="AF34" s="6"/>
      <c r="AG34" s="508"/>
      <c r="AH34" s="509"/>
      <c r="AI34" s="6"/>
      <c r="AJ34" s="6"/>
      <c r="AK34" s="508"/>
    </row>
    <row r="35" spans="1:37" ht="54" customHeight="1" x14ac:dyDescent="0.35">
      <c r="A35" s="1478">
        <v>44790</v>
      </c>
      <c r="B35" s="472">
        <v>1</v>
      </c>
      <c r="C35" s="494"/>
      <c r="D35" s="494"/>
      <c r="E35" s="508">
        <v>70</v>
      </c>
      <c r="F35" s="465"/>
      <c r="G35" s="465"/>
      <c r="H35" s="6"/>
      <c r="I35" s="502" t="s">
        <v>454</v>
      </c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508">
        <v>70</v>
      </c>
      <c r="X35" s="465"/>
      <c r="Y35" s="465"/>
      <c r="Z35" s="6"/>
      <c r="AA35" s="502" t="s">
        <v>454</v>
      </c>
      <c r="AB35" s="508"/>
      <c r="AC35" s="66"/>
      <c r="AD35" s="470"/>
      <c r="AE35" s="6"/>
      <c r="AF35" s="508">
        <v>70</v>
      </c>
      <c r="AG35" s="465"/>
      <c r="AH35" s="465"/>
      <c r="AI35" s="6"/>
      <c r="AJ35" s="502" t="s">
        <v>454</v>
      </c>
      <c r="AK35" s="508"/>
    </row>
    <row r="36" spans="1:37" ht="75" customHeight="1" x14ac:dyDescent="0.35">
      <c r="A36" s="1477"/>
      <c r="B36" s="472">
        <v>2</v>
      </c>
      <c r="C36" s="6"/>
      <c r="D36" s="6">
        <v>180</v>
      </c>
      <c r="E36" s="508">
        <v>10</v>
      </c>
      <c r="F36" s="465"/>
      <c r="G36" s="465"/>
      <c r="H36" s="502" t="s">
        <v>456</v>
      </c>
      <c r="I36" s="502" t="s">
        <v>455</v>
      </c>
      <c r="J36" s="527"/>
      <c r="K36" s="66"/>
      <c r="L36" s="465"/>
      <c r="M36" s="6">
        <v>180</v>
      </c>
      <c r="N36" s="508">
        <v>10</v>
      </c>
      <c r="O36" s="465"/>
      <c r="P36" s="465"/>
      <c r="Q36" s="502" t="s">
        <v>456</v>
      </c>
      <c r="R36" s="502" t="s">
        <v>455</v>
      </c>
      <c r="S36" s="527"/>
      <c r="T36" s="66"/>
      <c r="U36" s="470"/>
      <c r="V36" s="6">
        <v>186</v>
      </c>
      <c r="W36" s="508">
        <v>10</v>
      </c>
      <c r="X36" s="465"/>
      <c r="Y36" s="465"/>
      <c r="Z36" s="502" t="s">
        <v>457</v>
      </c>
      <c r="AA36" s="502" t="s">
        <v>455</v>
      </c>
      <c r="AB36" s="508"/>
      <c r="AC36" s="66"/>
      <c r="AD36" s="470"/>
      <c r="AE36" s="6">
        <v>180</v>
      </c>
      <c r="AF36" s="508">
        <v>10</v>
      </c>
      <c r="AG36" s="465"/>
      <c r="AH36" s="465"/>
      <c r="AI36" s="502" t="s">
        <v>456</v>
      </c>
      <c r="AJ36" s="502" t="s">
        <v>455</v>
      </c>
      <c r="AK36" s="508"/>
    </row>
    <row r="37" spans="1:37" ht="89.5" customHeight="1" x14ac:dyDescent="0.35">
      <c r="A37" s="1478">
        <v>44791</v>
      </c>
      <c r="B37" s="534">
        <v>1</v>
      </c>
      <c r="C37" s="494">
        <v>306</v>
      </c>
      <c r="D37" s="494"/>
      <c r="E37" s="6"/>
      <c r="F37" s="508"/>
      <c r="G37" s="469" t="s">
        <v>458</v>
      </c>
      <c r="H37" s="502"/>
      <c r="I37" s="502"/>
      <c r="J37" s="527"/>
      <c r="K37" s="66"/>
      <c r="L37" s="470"/>
      <c r="M37" s="6"/>
      <c r="N37" s="6"/>
      <c r="O37" s="508"/>
      <c r="P37" s="509"/>
      <c r="Q37" s="6"/>
      <c r="R37" s="6"/>
      <c r="S37" s="508"/>
      <c r="T37" s="66"/>
      <c r="U37" s="470"/>
      <c r="V37" s="6">
        <v>16</v>
      </c>
      <c r="W37" s="6"/>
      <c r="X37" s="508"/>
      <c r="Y37" s="509"/>
      <c r="Z37" s="502" t="s">
        <v>459</v>
      </c>
      <c r="AA37" s="502"/>
      <c r="AB37" s="527"/>
      <c r="AC37" s="66"/>
      <c r="AD37" s="470"/>
      <c r="AE37" s="6"/>
      <c r="AF37" s="6"/>
      <c r="AG37" s="508"/>
      <c r="AH37" s="509"/>
      <c r="AI37" s="6"/>
      <c r="AJ37" s="6"/>
      <c r="AK37" s="508"/>
    </row>
    <row r="38" spans="1:37" ht="42" customHeight="1" x14ac:dyDescent="0.35">
      <c r="A38" s="1477"/>
      <c r="B38" s="472">
        <v>2</v>
      </c>
      <c r="C38" s="493"/>
      <c r="D38" s="494"/>
      <c r="E38" s="494"/>
      <c r="F38" s="495"/>
      <c r="G38" s="566"/>
      <c r="H38" s="514"/>
      <c r="I38" s="6"/>
      <c r="J38" s="527"/>
      <c r="K38" s="66"/>
      <c r="L38" s="470"/>
      <c r="M38" s="6"/>
      <c r="N38" s="6"/>
      <c r="O38" s="508"/>
      <c r="P38" s="469"/>
      <c r="Q38" s="6"/>
      <c r="R38" s="6"/>
      <c r="S38" s="627"/>
      <c r="T38" s="66"/>
      <c r="U38" s="470"/>
      <c r="V38" s="6">
        <v>24</v>
      </c>
      <c r="W38" s="6"/>
      <c r="X38" s="508"/>
      <c r="Y38" s="509"/>
      <c r="Z38" s="502" t="s">
        <v>459</v>
      </c>
      <c r="AA38" s="6"/>
      <c r="AB38" s="508"/>
      <c r="AC38" s="66"/>
      <c r="AD38" s="470"/>
      <c r="AE38" s="6"/>
      <c r="AF38" s="6"/>
      <c r="AG38" s="508"/>
      <c r="AH38" s="509"/>
      <c r="AI38" s="6"/>
      <c r="AJ38" s="502"/>
      <c r="AK38" s="508"/>
    </row>
    <row r="39" spans="1:37" ht="39" customHeight="1" x14ac:dyDescent="0.35">
      <c r="A39" s="1478">
        <v>44792</v>
      </c>
      <c r="B39" s="472">
        <v>1</v>
      </c>
      <c r="C39" s="493"/>
      <c r="D39" s="494"/>
      <c r="E39" s="494"/>
      <c r="F39" s="495"/>
      <c r="G39" s="566"/>
      <c r="H39" s="514"/>
      <c r="I39" s="573"/>
      <c r="J39" s="568"/>
      <c r="K39" s="66"/>
      <c r="L39" s="470"/>
      <c r="M39" s="6"/>
      <c r="N39" s="6"/>
      <c r="O39" s="508"/>
      <c r="P39" s="509"/>
      <c r="Q39" s="6"/>
      <c r="R39" s="6"/>
      <c r="S39" s="508"/>
      <c r="T39" s="66"/>
      <c r="U39" s="470"/>
      <c r="V39" s="6">
        <v>15</v>
      </c>
      <c r="W39" s="6"/>
      <c r="X39" s="508"/>
      <c r="Y39" s="509"/>
      <c r="Z39" s="502" t="s">
        <v>459</v>
      </c>
      <c r="AA39" s="502"/>
      <c r="AB39" s="527"/>
      <c r="AC39" s="66"/>
      <c r="AD39" s="470"/>
      <c r="AE39" s="6"/>
      <c r="AF39" s="6"/>
      <c r="AG39" s="508"/>
      <c r="AH39" s="509"/>
      <c r="AI39" s="6"/>
      <c r="AJ39" s="6"/>
      <c r="AK39" s="508"/>
    </row>
    <row r="40" spans="1:37" ht="59.5" customHeight="1" x14ac:dyDescent="0.35">
      <c r="A40" s="1477"/>
      <c r="B40" s="472">
        <v>2</v>
      </c>
      <c r="C40" s="493"/>
      <c r="D40" s="494"/>
      <c r="E40" s="494"/>
      <c r="F40" s="508"/>
      <c r="G40" s="566"/>
      <c r="H40" s="514"/>
      <c r="I40" s="573"/>
      <c r="J40" s="527"/>
      <c r="K40" s="66"/>
      <c r="L40" s="470"/>
      <c r="M40" s="6"/>
      <c r="N40" s="6"/>
      <c r="O40" s="508"/>
      <c r="P40" s="509"/>
      <c r="Q40" s="6"/>
      <c r="R40" s="6"/>
      <c r="S40" s="527"/>
      <c r="T40" s="66"/>
      <c r="U40" s="470"/>
      <c r="V40" s="6">
        <v>129</v>
      </c>
      <c r="W40" s="6"/>
      <c r="X40" s="508"/>
      <c r="Y40" s="509"/>
      <c r="Z40" s="502" t="s">
        <v>460</v>
      </c>
      <c r="AA40" s="502"/>
      <c r="AB40" s="527"/>
      <c r="AC40" s="66"/>
      <c r="AD40" s="470"/>
      <c r="AE40" s="6"/>
      <c r="AF40" s="6"/>
      <c r="AG40" s="508"/>
      <c r="AH40" s="509"/>
      <c r="AI40" s="6"/>
      <c r="AJ40" s="6"/>
      <c r="AK40" s="527"/>
    </row>
    <row r="41" spans="1:37" ht="19.95" customHeight="1" x14ac:dyDescent="0.35">
      <c r="A41" s="1478">
        <v>44793</v>
      </c>
      <c r="B41" s="472">
        <v>1</v>
      </c>
      <c r="C41" s="493"/>
      <c r="D41" s="494"/>
      <c r="E41" s="494"/>
      <c r="F41" s="508"/>
      <c r="G41" s="566"/>
      <c r="H41" s="515"/>
      <c r="I41" s="573"/>
      <c r="J41" s="568"/>
      <c r="K41" s="66"/>
      <c r="L41" s="470"/>
      <c r="M41" s="6"/>
      <c r="N41" s="6"/>
      <c r="O41" s="508"/>
      <c r="P41" s="509"/>
      <c r="Q41" s="6"/>
      <c r="R41" s="6"/>
      <c r="S41" s="527"/>
      <c r="T41" s="66"/>
      <c r="U41" s="470"/>
      <c r="V41" s="6"/>
      <c r="W41" s="6"/>
      <c r="X41" s="508"/>
      <c r="Y41" s="509"/>
      <c r="Z41" s="502"/>
      <c r="AA41" s="502"/>
      <c r="AB41" s="508"/>
      <c r="AC41" s="66"/>
      <c r="AD41" s="470"/>
      <c r="AE41" s="6"/>
      <c r="AF41" s="6"/>
      <c r="AG41" s="508"/>
      <c r="AH41" s="509"/>
      <c r="AI41" s="502"/>
      <c r="AJ41" s="6"/>
      <c r="AK41" s="508"/>
    </row>
    <row r="42" spans="1:37" ht="19.95" customHeight="1" x14ac:dyDescent="0.35">
      <c r="A42" s="1477"/>
      <c r="B42" s="472">
        <v>2</v>
      </c>
      <c r="C42" s="494"/>
      <c r="D42" s="494"/>
      <c r="E42" s="494">
        <v>27</v>
      </c>
      <c r="F42" s="508"/>
      <c r="G42" s="566"/>
      <c r="H42" s="514"/>
      <c r="I42" s="515" t="s">
        <v>152</v>
      </c>
      <c r="J42" s="568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>
        <v>30</v>
      </c>
      <c r="X42" s="508"/>
      <c r="Y42" s="469"/>
      <c r="Z42" s="6"/>
      <c r="AA42" s="515" t="s">
        <v>152</v>
      </c>
      <c r="AB42" s="527"/>
      <c r="AC42" s="66"/>
      <c r="AD42" s="470"/>
      <c r="AE42" s="6"/>
      <c r="AF42" s="6"/>
      <c r="AG42" s="508"/>
      <c r="AH42" s="509"/>
      <c r="AI42" s="6"/>
      <c r="AJ42" s="6"/>
      <c r="AK42" s="508"/>
    </row>
    <row r="43" spans="1:37" ht="19.95" customHeight="1" x14ac:dyDescent="0.35">
      <c r="A43" s="1478">
        <v>44794</v>
      </c>
      <c r="B43" s="472">
        <v>1</v>
      </c>
      <c r="C43" s="494"/>
      <c r="D43" s="494"/>
      <c r="E43" s="494">
        <v>10</v>
      </c>
      <c r="F43" s="495"/>
      <c r="G43" s="514"/>
      <c r="H43" s="514"/>
      <c r="I43" s="515" t="s">
        <v>152</v>
      </c>
      <c r="J43" s="527"/>
      <c r="K43" s="66"/>
      <c r="L43" s="470">
        <v>28</v>
      </c>
      <c r="M43" s="6"/>
      <c r="N43" s="6"/>
      <c r="O43" s="508"/>
      <c r="P43" s="509" t="s">
        <v>461</v>
      </c>
      <c r="Q43" s="6"/>
      <c r="R43" s="6"/>
      <c r="S43" s="508"/>
      <c r="T43" s="66"/>
      <c r="U43" s="470"/>
      <c r="V43" s="6"/>
      <c r="W43" s="6">
        <v>10</v>
      </c>
      <c r="X43" s="508"/>
      <c r="Y43" s="509"/>
      <c r="Z43" s="6"/>
      <c r="AA43" s="515" t="s">
        <v>152</v>
      </c>
      <c r="AB43" s="508"/>
      <c r="AC43" s="66"/>
      <c r="AD43" s="470"/>
      <c r="AE43" s="6"/>
      <c r="AF43" s="6"/>
      <c r="AG43" s="508"/>
      <c r="AH43" s="502"/>
      <c r="AI43" s="515"/>
      <c r="AJ43" s="6"/>
      <c r="AK43" s="508"/>
    </row>
    <row r="44" spans="1:37" ht="36" customHeight="1" x14ac:dyDescent="0.35">
      <c r="A44" s="1477"/>
      <c r="B44" s="472">
        <v>2</v>
      </c>
      <c r="C44" s="494"/>
      <c r="D44" s="494"/>
      <c r="E44" s="494">
        <v>8</v>
      </c>
      <c r="F44" s="495"/>
      <c r="G44" s="514"/>
      <c r="H44" s="514"/>
      <c r="I44" s="514" t="s">
        <v>445</v>
      </c>
      <c r="J44" s="527"/>
      <c r="K44" s="66"/>
      <c r="L44" s="470"/>
      <c r="M44" s="6"/>
      <c r="N44" s="6"/>
      <c r="O44" s="508"/>
      <c r="P44" s="509"/>
      <c r="Q44" s="6"/>
      <c r="R44" s="502"/>
      <c r="S44" s="627"/>
      <c r="T44" s="66"/>
      <c r="U44" s="470"/>
      <c r="V44" s="6"/>
      <c r="W44" s="494">
        <v>8</v>
      </c>
      <c r="X44" s="495"/>
      <c r="Y44" s="514"/>
      <c r="Z44" s="514"/>
      <c r="AA44" s="514" t="s">
        <v>445</v>
      </c>
      <c r="AB44" s="527"/>
      <c r="AC44" s="66"/>
      <c r="AD44" s="470"/>
      <c r="AE44" s="6"/>
      <c r="AF44" s="6"/>
      <c r="AG44" s="508"/>
      <c r="AH44" s="509"/>
      <c r="AI44" s="502"/>
      <c r="AJ44" s="502"/>
      <c r="AK44" s="508"/>
    </row>
    <row r="45" spans="1:37" ht="19.95" customHeight="1" x14ac:dyDescent="0.35">
      <c r="A45" s="1478">
        <v>44795</v>
      </c>
      <c r="B45" s="472">
        <v>1</v>
      </c>
      <c r="C45" s="494"/>
      <c r="D45" s="494"/>
      <c r="E45" s="494"/>
      <c r="F45" s="495"/>
      <c r="G45" s="514"/>
      <c r="H45" s="514"/>
      <c r="I45" s="515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09"/>
      <c r="Z45" s="6"/>
      <c r="AA45" s="502"/>
      <c r="AB45" s="508"/>
      <c r="AC45" s="66"/>
      <c r="AD45" s="470"/>
      <c r="AE45" s="6"/>
      <c r="AF45" s="6"/>
      <c r="AG45" s="508"/>
      <c r="AH45" s="509"/>
      <c r="AI45" s="502"/>
      <c r="AJ45" s="6"/>
      <c r="AK45" s="508"/>
    </row>
    <row r="46" spans="1:37" ht="46.2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5"/>
      <c r="I46" s="573"/>
      <c r="J46" s="527"/>
      <c r="K46" s="66"/>
      <c r="L46" s="470"/>
      <c r="M46" s="6"/>
      <c r="N46" s="6"/>
      <c r="O46" s="633"/>
      <c r="P46" s="509"/>
      <c r="Q46" s="515"/>
      <c r="R46" s="6"/>
      <c r="S46" s="527"/>
      <c r="T46" s="66"/>
      <c r="U46" s="470"/>
      <c r="V46" s="6"/>
      <c r="W46" s="6"/>
      <c r="X46" s="508"/>
      <c r="Y46" s="509"/>
      <c r="Z46" s="6"/>
      <c r="AA46" s="502"/>
      <c r="AB46" s="527"/>
      <c r="AC46" s="66"/>
      <c r="AD46" s="470">
        <v>51</v>
      </c>
      <c r="AE46" s="6"/>
      <c r="AF46" s="6"/>
      <c r="AG46" s="508"/>
      <c r="AH46" s="469" t="s">
        <v>462</v>
      </c>
      <c r="AI46" s="6"/>
      <c r="AJ46" s="6"/>
      <c r="AK46" s="527"/>
    </row>
    <row r="47" spans="1:37" ht="19.95" customHeight="1" x14ac:dyDescent="0.35">
      <c r="A47" s="1478">
        <v>44796</v>
      </c>
      <c r="B47" s="472">
        <v>1</v>
      </c>
      <c r="C47" s="494"/>
      <c r="D47" s="494"/>
      <c r="E47" s="494"/>
      <c r="F47" s="495"/>
      <c r="G47" s="515"/>
      <c r="H47" s="514"/>
      <c r="I47" s="515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09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6"/>
      <c r="AK47" s="508"/>
    </row>
    <row r="48" spans="1:37" ht="42.75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14"/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/>
      <c r="X48" s="508"/>
      <c r="Y48" s="469"/>
      <c r="Z48" s="6"/>
      <c r="AA48" s="502"/>
      <c r="AB48" s="508"/>
      <c r="AC48" s="66"/>
      <c r="AD48" s="470"/>
      <c r="AE48" s="6"/>
      <c r="AF48" s="6"/>
      <c r="AG48" s="508"/>
      <c r="AH48" s="509"/>
      <c r="AI48" s="502"/>
      <c r="AJ48" s="6"/>
      <c r="AK48" s="508"/>
    </row>
    <row r="49" spans="1:37" ht="19.95" customHeight="1" x14ac:dyDescent="0.35">
      <c r="A49" s="1478">
        <v>44797</v>
      </c>
      <c r="B49" s="472">
        <v>1</v>
      </c>
      <c r="C49" s="494"/>
      <c r="D49" s="494"/>
      <c r="E49" s="494"/>
      <c r="F49" s="495"/>
      <c r="G49" s="515"/>
      <c r="H49" s="514"/>
      <c r="I49" s="573"/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/>
      <c r="X49" s="508"/>
      <c r="Y49" s="509"/>
      <c r="Z49" s="502"/>
      <c r="AA49" s="502"/>
      <c r="AB49" s="527"/>
      <c r="AC49" s="66"/>
      <c r="AD49" s="470"/>
      <c r="AE49" s="6"/>
      <c r="AF49" s="6"/>
      <c r="AG49" s="508"/>
      <c r="AH49" s="509"/>
      <c r="AI49" s="502"/>
      <c r="AJ49" s="6"/>
      <c r="AK49" s="508"/>
    </row>
    <row r="50" spans="1:37" ht="19.9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15"/>
      <c r="J50" s="527"/>
      <c r="K50" s="66"/>
      <c r="L50" s="470"/>
      <c r="M50" s="6"/>
      <c r="N50" s="6"/>
      <c r="O50" s="508"/>
      <c r="P50" s="509"/>
      <c r="Q50" s="502"/>
      <c r="R50" s="502"/>
      <c r="S50" s="627"/>
      <c r="T50" s="66"/>
      <c r="U50" s="470"/>
      <c r="V50" s="6"/>
      <c r="W50" s="6"/>
      <c r="X50" s="508"/>
      <c r="Y50" s="469"/>
      <c r="Z50" s="502"/>
      <c r="AA50" s="502"/>
      <c r="AB50" s="508"/>
      <c r="AC50" s="66"/>
      <c r="AD50" s="470"/>
      <c r="AE50" s="6"/>
      <c r="AF50" s="6"/>
      <c r="AG50" s="508"/>
      <c r="AH50" s="509"/>
      <c r="AI50" s="6"/>
      <c r="AJ50" s="6"/>
      <c r="AK50" s="508"/>
    </row>
    <row r="51" spans="1:37" ht="19.95" customHeight="1" x14ac:dyDescent="0.35">
      <c r="A51" s="1478">
        <v>44798</v>
      </c>
      <c r="B51" s="472">
        <v>1</v>
      </c>
      <c r="C51" s="494"/>
      <c r="D51" s="494"/>
      <c r="E51" s="494"/>
      <c r="F51" s="495"/>
      <c r="G51" s="514"/>
      <c r="H51" s="514"/>
      <c r="I51" s="515"/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</row>
    <row r="52" spans="1:37" ht="31.95" customHeight="1" x14ac:dyDescent="0.35">
      <c r="A52" s="1477"/>
      <c r="B52" s="472">
        <v>2</v>
      </c>
      <c r="C52" s="494"/>
      <c r="D52" s="494"/>
      <c r="E52" s="494"/>
      <c r="F52" s="495"/>
      <c r="G52" s="514"/>
      <c r="H52" s="515"/>
      <c r="I52" s="573"/>
      <c r="J52" s="527"/>
      <c r="K52" s="66"/>
      <c r="L52" s="470"/>
      <c r="M52" s="6"/>
      <c r="N52" s="6"/>
      <c r="O52" s="508"/>
      <c r="P52" s="509"/>
      <c r="Q52" s="6"/>
      <c r="R52" s="6"/>
      <c r="S52" s="527"/>
      <c r="T52" s="66"/>
      <c r="U52" s="470"/>
      <c r="V52" s="6"/>
      <c r="W52" s="6"/>
      <c r="X52" s="508"/>
      <c r="Y52" s="469"/>
      <c r="Z52" s="502"/>
      <c r="AA52" s="502"/>
      <c r="AB52" s="527"/>
      <c r="AC52" s="66"/>
      <c r="AD52" s="470"/>
      <c r="AE52" s="6"/>
      <c r="AF52" s="6"/>
      <c r="AG52" s="508"/>
      <c r="AH52" s="509"/>
      <c r="AI52" s="6"/>
      <c r="AJ52" s="6"/>
      <c r="AK52" s="508"/>
    </row>
    <row r="53" spans="1:37" ht="34.200000000000003" customHeight="1" x14ac:dyDescent="0.35">
      <c r="A53" s="1478">
        <v>44799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68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>
        <v>10</v>
      </c>
      <c r="X53" s="508"/>
      <c r="Y53" s="469"/>
      <c r="Z53" s="6"/>
      <c r="AA53" s="515" t="s">
        <v>152</v>
      </c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</row>
    <row r="54" spans="1:37" ht="19.9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4"/>
      <c r="I54" s="514"/>
      <c r="J54" s="568"/>
      <c r="K54" s="66"/>
      <c r="L54" s="470"/>
      <c r="M54" s="6"/>
      <c r="N54" s="6"/>
      <c r="O54" s="508"/>
      <c r="P54" s="509"/>
      <c r="Q54" s="502"/>
      <c r="R54" s="6"/>
      <c r="S54" s="527"/>
      <c r="T54" s="66"/>
      <c r="U54" s="470"/>
      <c r="V54" s="6"/>
      <c r="W54" s="6"/>
      <c r="X54" s="508"/>
      <c r="Y54" s="577"/>
      <c r="Z54" s="564"/>
      <c r="AA54" s="502"/>
      <c r="AB54" s="508"/>
      <c r="AC54" s="66"/>
      <c r="AD54" s="470"/>
      <c r="AE54" s="6"/>
      <c r="AF54" s="6"/>
      <c r="AG54" s="508"/>
      <c r="AH54" s="509"/>
      <c r="AI54" s="6"/>
      <c r="AJ54" s="502"/>
      <c r="AK54" s="508"/>
    </row>
    <row r="55" spans="1:37" ht="31.95" customHeight="1" x14ac:dyDescent="0.35">
      <c r="A55" s="1478">
        <v>44800</v>
      </c>
      <c r="B55" s="472">
        <v>1</v>
      </c>
      <c r="C55" s="493"/>
      <c r="D55" s="494"/>
      <c r="E55" s="494">
        <v>10</v>
      </c>
      <c r="F55" s="495"/>
      <c r="G55" s="514"/>
      <c r="H55" s="514"/>
      <c r="I55" s="515" t="s">
        <v>152</v>
      </c>
      <c r="J55" s="56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>
        <v>30</v>
      </c>
      <c r="X55" s="508"/>
      <c r="Y55" s="509"/>
      <c r="Z55" s="514"/>
      <c r="AA55" s="515" t="s">
        <v>152</v>
      </c>
      <c r="AB55" s="527"/>
      <c r="AC55" s="66"/>
      <c r="AD55" s="470"/>
      <c r="AE55" s="6"/>
      <c r="AF55" s="6">
        <v>10</v>
      </c>
      <c r="AG55" s="508"/>
      <c r="AH55" s="509"/>
      <c r="AI55" s="6"/>
      <c r="AJ55" s="6" t="s">
        <v>336</v>
      </c>
      <c r="AK55" s="508"/>
    </row>
    <row r="56" spans="1:37" ht="56.5" customHeight="1" x14ac:dyDescent="0.35">
      <c r="A56" s="1477"/>
      <c r="B56" s="500">
        <v>2</v>
      </c>
      <c r="C56" s="493"/>
      <c r="D56" s="494"/>
      <c r="E56" s="494">
        <v>20</v>
      </c>
      <c r="F56" s="495"/>
      <c r="G56" s="515"/>
      <c r="H56" s="514"/>
      <c r="I56" s="515" t="s">
        <v>152</v>
      </c>
      <c r="J56" s="568"/>
      <c r="K56" s="66"/>
      <c r="L56" s="470"/>
      <c r="M56" s="6"/>
      <c r="N56" s="6"/>
      <c r="O56" s="508"/>
      <c r="P56" s="509"/>
      <c r="Q56" s="6"/>
      <c r="R56" s="6"/>
      <c r="S56" s="627"/>
      <c r="T56" s="66"/>
      <c r="U56" s="470"/>
      <c r="V56" s="6"/>
      <c r="W56" s="6">
        <v>10</v>
      </c>
      <c r="X56" s="508"/>
      <c r="Y56" s="469"/>
      <c r="Z56" s="502"/>
      <c r="AA56" s="515" t="s">
        <v>152</v>
      </c>
      <c r="AB56" s="508"/>
      <c r="AC56" s="66"/>
      <c r="AD56" s="470"/>
      <c r="AE56" s="6"/>
      <c r="AF56" s="6"/>
      <c r="AG56" s="508"/>
      <c r="AH56" s="509"/>
      <c r="AI56" s="502"/>
      <c r="AJ56" s="514"/>
      <c r="AK56" s="508"/>
    </row>
    <row r="57" spans="1:37" ht="45.65" customHeight="1" x14ac:dyDescent="0.35">
      <c r="A57" s="1478">
        <v>44801</v>
      </c>
      <c r="B57" s="472">
        <v>1</v>
      </c>
      <c r="C57" s="493"/>
      <c r="D57" s="494"/>
      <c r="E57" s="494"/>
      <c r="F57" s="495"/>
      <c r="G57" s="515"/>
      <c r="H57" s="514"/>
      <c r="I57" s="515"/>
      <c r="J57" s="527"/>
      <c r="K57" s="66"/>
      <c r="L57" s="470"/>
      <c r="M57" s="6"/>
      <c r="N57" s="6"/>
      <c r="O57" s="508"/>
      <c r="P57" s="509"/>
      <c r="Q57" s="6"/>
      <c r="R57" s="502"/>
      <c r="S57" s="508"/>
      <c r="T57" s="66"/>
      <c r="U57" s="470"/>
      <c r="V57" s="6"/>
      <c r="W57" s="6"/>
      <c r="X57" s="508"/>
      <c r="Y57" s="469"/>
      <c r="Z57" s="502"/>
      <c r="AA57" s="502"/>
      <c r="AB57" s="508"/>
      <c r="AC57" s="66"/>
      <c r="AD57" s="470"/>
      <c r="AE57" s="6"/>
      <c r="AF57" s="6"/>
      <c r="AG57" s="508"/>
      <c r="AH57" s="509"/>
      <c r="AI57" s="6"/>
      <c r="AJ57" s="6"/>
      <c r="AK57" s="508"/>
    </row>
    <row r="58" spans="1:37" ht="39.65" customHeight="1" x14ac:dyDescent="0.35">
      <c r="A58" s="1477"/>
      <c r="B58" s="500">
        <v>2</v>
      </c>
      <c r="C58" s="493"/>
      <c r="D58" s="494"/>
      <c r="E58" s="494">
        <v>38</v>
      </c>
      <c r="F58" s="495"/>
      <c r="G58" s="515"/>
      <c r="H58" s="514"/>
      <c r="I58" s="515" t="s">
        <v>152</v>
      </c>
      <c r="J58" s="527"/>
      <c r="K58" s="66"/>
      <c r="L58" s="470"/>
      <c r="M58" s="6"/>
      <c r="N58" s="6"/>
      <c r="O58" s="508"/>
      <c r="P58" s="509"/>
      <c r="Q58" s="6"/>
      <c r="R58" s="6"/>
      <c r="S58" s="527"/>
      <c r="T58" s="66"/>
      <c r="U58" s="470"/>
      <c r="V58" s="6"/>
      <c r="W58" s="6">
        <v>45</v>
      </c>
      <c r="X58" s="508"/>
      <c r="Y58" s="509"/>
      <c r="Z58" s="502"/>
      <c r="AA58" s="515" t="s">
        <v>152</v>
      </c>
      <c r="AB58" s="508"/>
      <c r="AC58" s="66"/>
      <c r="AD58" s="470"/>
      <c r="AE58" s="6"/>
      <c r="AF58" s="6"/>
      <c r="AG58" s="508"/>
      <c r="AH58" s="509"/>
      <c r="AI58" s="6"/>
      <c r="AJ58" s="6"/>
      <c r="AK58" s="508"/>
    </row>
    <row r="59" spans="1:37" ht="19.95" customHeight="1" x14ac:dyDescent="0.35">
      <c r="A59" s="1478">
        <v>44802</v>
      </c>
      <c r="B59" s="472">
        <v>1</v>
      </c>
      <c r="C59" s="493"/>
      <c r="D59" s="494"/>
      <c r="E59" s="494">
        <v>18</v>
      </c>
      <c r="F59" s="495"/>
      <c r="G59" s="514"/>
      <c r="H59" s="514"/>
      <c r="I59" s="515" t="s">
        <v>152</v>
      </c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>
        <v>10</v>
      </c>
      <c r="X59" s="508"/>
      <c r="Y59" s="509"/>
      <c r="Z59" s="6"/>
      <c r="AA59" s="515" t="s">
        <v>152</v>
      </c>
      <c r="AB59" s="508"/>
      <c r="AC59" s="66"/>
      <c r="AD59" s="470"/>
      <c r="AE59" s="6"/>
      <c r="AF59" s="6">
        <v>10</v>
      </c>
      <c r="AG59" s="508"/>
      <c r="AH59" s="469"/>
      <c r="AI59" s="6"/>
      <c r="AJ59" s="515" t="s">
        <v>152</v>
      </c>
      <c r="AK59" s="508"/>
    </row>
    <row r="60" spans="1:37" ht="53.5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515"/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6"/>
      <c r="AB60" s="527"/>
      <c r="AC60" s="66"/>
      <c r="AD60" s="470"/>
      <c r="AE60" s="6"/>
      <c r="AF60" s="6"/>
      <c r="AG60" s="508"/>
      <c r="AH60" s="509"/>
      <c r="AI60" s="6"/>
      <c r="AJ60" s="6"/>
      <c r="AK60" s="527"/>
    </row>
    <row r="61" spans="1:37" ht="19.95" customHeight="1" x14ac:dyDescent="0.35">
      <c r="A61" s="1478">
        <v>44803</v>
      </c>
      <c r="B61" s="472">
        <v>1</v>
      </c>
      <c r="C61" s="618"/>
      <c r="D61" s="619"/>
      <c r="E61" s="494">
        <v>10</v>
      </c>
      <c r="F61" s="620"/>
      <c r="G61" s="514"/>
      <c r="H61" s="576"/>
      <c r="I61" s="515" t="s">
        <v>152</v>
      </c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>
        <v>10</v>
      </c>
      <c r="X61" s="508"/>
      <c r="Y61" s="469"/>
      <c r="Z61" s="502"/>
      <c r="AA61" s="515" t="s">
        <v>152</v>
      </c>
      <c r="AB61" s="624"/>
      <c r="AC61" s="66"/>
      <c r="AD61" s="470"/>
      <c r="AE61" s="6"/>
      <c r="AF61" s="6"/>
      <c r="AG61" s="508"/>
      <c r="AH61" s="509"/>
      <c r="AI61" s="6"/>
      <c r="AJ61" s="6"/>
      <c r="AK61" s="624"/>
    </row>
    <row r="62" spans="1:37" ht="19.9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621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6"/>
      <c r="AB62" s="624"/>
      <c r="AC62" s="66"/>
      <c r="AD62" s="470"/>
      <c r="AE62" s="6"/>
      <c r="AF62" s="6"/>
      <c r="AG62" s="508"/>
      <c r="AH62" s="509"/>
      <c r="AI62" s="6"/>
      <c r="AJ62" s="6"/>
      <c r="AK62" s="624"/>
    </row>
    <row r="63" spans="1:37" ht="19.95" customHeight="1" x14ac:dyDescent="0.35">
      <c r="A63" s="1478">
        <v>44804</v>
      </c>
      <c r="B63" s="472">
        <v>1</v>
      </c>
      <c r="C63" s="587"/>
      <c r="D63" s="588"/>
      <c r="E63" s="588"/>
      <c r="F63" s="589"/>
      <c r="G63" s="598"/>
      <c r="H63" s="590"/>
      <c r="I63" s="515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6"/>
      <c r="AB63" s="563"/>
      <c r="AC63" s="66"/>
      <c r="AD63" s="470"/>
      <c r="AE63" s="6"/>
      <c r="AF63" s="6"/>
      <c r="AG63" s="495"/>
      <c r="AH63" s="566"/>
      <c r="AI63" s="514"/>
      <c r="AJ63" s="514"/>
      <c r="AK63" s="586"/>
    </row>
    <row r="64" spans="1:37" ht="19.9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</row>
    <row r="65" spans="1:33" x14ac:dyDescent="0.35">
      <c r="A65" s="423" t="s">
        <v>225</v>
      </c>
      <c r="C65" s="631">
        <f>SUM(C3:C64)</f>
        <v>2091</v>
      </c>
      <c r="D65" s="65">
        <f>SUM(D3:D64)</f>
        <v>180</v>
      </c>
      <c r="E65" s="631">
        <f>SUM(E3:E64)</f>
        <v>1164</v>
      </c>
      <c r="F65" s="65">
        <f>SUM(F3:F64)</f>
        <v>575</v>
      </c>
      <c r="L65" s="65">
        <f>SUM(L3:L64)</f>
        <v>1018</v>
      </c>
      <c r="M65" s="65">
        <f>SUM(M3:M64)</f>
        <v>180</v>
      </c>
      <c r="N65" s="65">
        <f>SUM(N3:N64)</f>
        <v>672</v>
      </c>
      <c r="O65" s="65">
        <f>SUM(O3:O64)</f>
        <v>570</v>
      </c>
      <c r="U65" s="65">
        <f>SUM(U3:U64)</f>
        <v>0</v>
      </c>
      <c r="V65" s="65">
        <f>SUM(V3:V64)</f>
        <v>407</v>
      </c>
      <c r="W65" s="65">
        <f>SUM(W3:W64)</f>
        <v>583</v>
      </c>
      <c r="X65" s="65">
        <f>SUM(X3:X64)</f>
        <v>571</v>
      </c>
      <c r="AD65" s="65">
        <f>SUM(AD3:AD64)</f>
        <v>51</v>
      </c>
      <c r="AE65" s="65">
        <f>SUM(AE3:AE64)</f>
        <v>205</v>
      </c>
      <c r="AF65" s="65">
        <f>SUM(AF3:AF64)</f>
        <v>130</v>
      </c>
      <c r="AG65" s="65">
        <f>SUM(AG3:AG64)</f>
        <v>591</v>
      </c>
    </row>
    <row r="73" spans="1:33" ht="14.6" thickBot="1" x14ac:dyDescent="0.4"/>
    <row r="74" spans="1:3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3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33" ht="21.75" customHeight="1" x14ac:dyDescent="0.4">
      <c r="B76" s="541" t="s">
        <v>218</v>
      </c>
      <c r="C76" s="542">
        <f>C65</f>
        <v>2091</v>
      </c>
      <c r="D76" s="543">
        <f>C76/60</f>
        <v>34.85</v>
      </c>
      <c r="E76" s="542">
        <f>D65</f>
        <v>180</v>
      </c>
      <c r="F76" s="544">
        <f>E76/60</f>
        <v>3</v>
      </c>
      <c r="G76" s="542">
        <f>E65</f>
        <v>1164</v>
      </c>
      <c r="H76" s="543">
        <f>G76/60</f>
        <v>19.399999999999999</v>
      </c>
      <c r="I76" s="542">
        <f>F65</f>
        <v>575</v>
      </c>
      <c r="J76" s="543">
        <f>I76/60</f>
        <v>9.5833333333333339</v>
      </c>
    </row>
    <row r="77" spans="1:33" ht="19.5" customHeight="1" x14ac:dyDescent="0.4">
      <c r="B77" s="541" t="s">
        <v>219</v>
      </c>
      <c r="C77" s="545">
        <f>L65</f>
        <v>1018</v>
      </c>
      <c r="D77" s="546">
        <f t="shared" ref="D77:F79" si="0">C77/60</f>
        <v>16.966666666666665</v>
      </c>
      <c r="E77" s="545">
        <f>M65</f>
        <v>180</v>
      </c>
      <c r="F77" s="547">
        <f t="shared" si="0"/>
        <v>3</v>
      </c>
      <c r="G77" s="545">
        <f>N65</f>
        <v>672</v>
      </c>
      <c r="H77" s="546">
        <f t="shared" ref="H77:J79" si="1">G77/60</f>
        <v>11.2</v>
      </c>
      <c r="I77" s="545">
        <f>O65</f>
        <v>570</v>
      </c>
      <c r="J77" s="546">
        <f t="shared" si="1"/>
        <v>9.5</v>
      </c>
    </row>
    <row r="78" spans="1:33" ht="20.25" customHeight="1" x14ac:dyDescent="0.4">
      <c r="B78" s="541" t="s">
        <v>220</v>
      </c>
      <c r="C78" s="545">
        <f>U65</f>
        <v>0</v>
      </c>
      <c r="D78" s="546">
        <f t="shared" si="0"/>
        <v>0</v>
      </c>
      <c r="E78" s="545">
        <f>V65</f>
        <v>407</v>
      </c>
      <c r="F78" s="547">
        <f t="shared" si="0"/>
        <v>6.7833333333333332</v>
      </c>
      <c r="G78" s="545">
        <f>W65</f>
        <v>583</v>
      </c>
      <c r="H78" s="546">
        <f t="shared" si="1"/>
        <v>9.7166666666666668</v>
      </c>
      <c r="I78" s="545">
        <f>X65</f>
        <v>571</v>
      </c>
      <c r="J78" s="546">
        <f t="shared" si="1"/>
        <v>9.5166666666666675</v>
      </c>
    </row>
    <row r="79" spans="1:33" ht="22.5" customHeight="1" thickBot="1" x14ac:dyDescent="0.45">
      <c r="B79" s="541" t="s">
        <v>221</v>
      </c>
      <c r="C79" s="548">
        <f>AD65</f>
        <v>51</v>
      </c>
      <c r="D79" s="549">
        <f t="shared" si="0"/>
        <v>0.85</v>
      </c>
      <c r="E79" s="548">
        <f>AE65</f>
        <v>205</v>
      </c>
      <c r="F79" s="550">
        <f t="shared" si="0"/>
        <v>3.4166666666666665</v>
      </c>
      <c r="G79" s="548">
        <f>AF65</f>
        <v>130</v>
      </c>
      <c r="H79" s="549">
        <f t="shared" si="1"/>
        <v>2.1666666666666665</v>
      </c>
      <c r="I79" s="548">
        <f>AG65</f>
        <v>591</v>
      </c>
      <c r="J79" s="549">
        <f t="shared" si="1"/>
        <v>9.85</v>
      </c>
    </row>
    <row r="80" spans="1:33" ht="18.45" thickBot="1" x14ac:dyDescent="0.5">
      <c r="B80" s="354"/>
      <c r="C80" s="255"/>
      <c r="D80" s="255"/>
      <c r="E80" s="255"/>
      <c r="F80" s="255"/>
      <c r="G80" s="255"/>
      <c r="H80" s="255"/>
      <c r="I80" s="255"/>
      <c r="J80" s="255"/>
    </row>
    <row r="81" spans="2:10" ht="18.45" thickBot="1" x14ac:dyDescent="0.5">
      <c r="B81" s="551" t="s">
        <v>217</v>
      </c>
      <c r="C81" s="556"/>
      <c r="D81" s="557">
        <f>SUM(D76:D80)</f>
        <v>52.666666666666664</v>
      </c>
      <c r="E81" s="556"/>
      <c r="F81" s="557">
        <f>SUM(F76:F80)</f>
        <v>16.2</v>
      </c>
      <c r="G81" s="556"/>
      <c r="H81" s="557">
        <f>SUM(H76:H80)</f>
        <v>42.483333333333327</v>
      </c>
      <c r="I81" s="556"/>
      <c r="J81" s="558">
        <f>AVERAGE(J76:J80)</f>
        <v>9.6125000000000007</v>
      </c>
    </row>
  </sheetData>
  <mergeCells count="43">
    <mergeCell ref="A9:A10"/>
    <mergeCell ref="C1:F1"/>
    <mergeCell ref="G1:J1"/>
    <mergeCell ref="L1:O1"/>
    <mergeCell ref="P1:S1"/>
    <mergeCell ref="AD1:AG1"/>
    <mergeCell ref="AH1:AK1"/>
    <mergeCell ref="A3:A4"/>
    <mergeCell ref="A5:A6"/>
    <mergeCell ref="A7:A8"/>
    <mergeCell ref="U1:X1"/>
    <mergeCell ref="Y1:AB1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I74:J74"/>
    <mergeCell ref="A59:A60"/>
    <mergeCell ref="A61:A62"/>
    <mergeCell ref="A63:A64"/>
    <mergeCell ref="C74:D74"/>
    <mergeCell ref="E74:F74"/>
    <mergeCell ref="G74:H74"/>
  </mergeCells>
  <pageMargins left="0.7" right="0.7" top="0.75" bottom="0.75" header="0.3" footer="0.3"/>
  <pageSetup paperSize="9" orientation="portrait" horizontalDpi="180" verticalDpi="18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K81"/>
  <sheetViews>
    <sheetView zoomScale="55" zoomScaleNormal="55" workbookViewId="0">
      <pane xSplit="2" ySplit="2" topLeftCell="S21" activePane="bottomRight" state="frozen"/>
      <selection pane="topRight" activeCell="C1" sqref="C1"/>
      <selection pane="bottomLeft" activeCell="A3" sqref="A3"/>
      <selection pane="bottomRight" activeCell="AK60" sqref="AK60"/>
    </sheetView>
  </sheetViews>
  <sheetFormatPr defaultColWidth="8.84375" defaultRowHeight="14.15" x14ac:dyDescent="0.35"/>
  <cols>
    <col min="1" max="1" width="14.53515625" style="423" customWidth="1"/>
    <col min="2" max="2" width="15.69140625" style="65" customWidth="1"/>
    <col min="3" max="3" width="13.15234375" style="423" customWidth="1"/>
    <col min="4" max="4" width="12.84375" style="423" customWidth="1"/>
    <col min="5" max="5" width="15.69140625" style="423" customWidth="1"/>
    <col min="6" max="6" width="16.84375" style="423" customWidth="1"/>
    <col min="7" max="7" width="21.15234375" style="423" customWidth="1"/>
    <col min="8" max="8" width="28.3828125" style="423" customWidth="1"/>
    <col min="9" max="9" width="30.3828125" style="423" customWidth="1"/>
    <col min="10" max="10" width="24.53515625" style="423" customWidth="1"/>
    <col min="11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4.3046875" style="423" customWidth="1"/>
    <col min="20" max="24" width="10.69140625" style="423" customWidth="1"/>
    <col min="25" max="25" width="26.53515625" style="423" customWidth="1"/>
    <col min="26" max="26" width="23.84375" style="423" customWidth="1"/>
    <col min="27" max="27" width="32.3828125" style="423" customWidth="1"/>
    <col min="28" max="28" width="21.15234375" style="423" customWidth="1"/>
    <col min="29" max="33" width="10.69140625" style="423" customWidth="1"/>
    <col min="34" max="34" width="20.3046875" style="423" customWidth="1"/>
    <col min="35" max="35" width="24" style="423" customWidth="1"/>
    <col min="36" max="36" width="23.69140625" style="423" customWidth="1"/>
    <col min="37" max="37" width="23" style="423" customWidth="1"/>
    <col min="38" max="16384" width="8.84375" style="423"/>
  </cols>
  <sheetData>
    <row r="1" spans="1:37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4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5</v>
      </c>
      <c r="AE1" s="1471"/>
      <c r="AF1" s="1471"/>
      <c r="AG1" s="1471"/>
      <c r="AH1" s="1473" t="s">
        <v>206</v>
      </c>
      <c r="AI1" s="1473"/>
      <c r="AJ1" s="1473"/>
      <c r="AK1" s="1474"/>
    </row>
    <row r="2" spans="1:37" ht="42.65" customHeight="1" thickBot="1" x14ac:dyDescent="0.4">
      <c r="A2" s="429" t="s">
        <v>0</v>
      </c>
      <c r="B2" s="430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</row>
    <row r="3" spans="1:37" ht="30" customHeight="1" thickTop="1" x14ac:dyDescent="0.35">
      <c r="A3" s="1478">
        <v>44805</v>
      </c>
      <c r="B3" s="501">
        <v>1</v>
      </c>
      <c r="C3" s="490"/>
      <c r="D3" s="491"/>
      <c r="E3" s="491">
        <v>10</v>
      </c>
      <c r="F3" s="492"/>
      <c r="G3" s="566"/>
      <c r="H3" s="514"/>
      <c r="I3" s="515" t="s">
        <v>463</v>
      </c>
      <c r="J3" s="567"/>
      <c r="K3" s="66"/>
      <c r="L3" s="507"/>
      <c r="M3" s="522"/>
      <c r="N3" s="522"/>
      <c r="O3" s="520"/>
      <c r="P3" s="521"/>
      <c r="Q3" s="580"/>
      <c r="R3" s="581"/>
      <c r="S3" s="520"/>
      <c r="T3" s="66"/>
      <c r="U3" s="507"/>
      <c r="V3" s="522"/>
      <c r="W3" s="522">
        <v>35</v>
      </c>
      <c r="X3" s="508"/>
      <c r="Y3" s="469"/>
      <c r="Z3" s="521"/>
      <c r="AA3" s="600" t="s">
        <v>464</v>
      </c>
      <c r="AB3" s="601"/>
      <c r="AC3" s="66"/>
      <c r="AD3" s="507"/>
      <c r="AE3" s="522"/>
      <c r="AF3" s="6"/>
      <c r="AG3" s="520"/>
      <c r="AH3" s="521"/>
      <c r="AI3" s="522"/>
      <c r="AJ3" s="6"/>
      <c r="AK3" s="520"/>
    </row>
    <row r="4" spans="1:37" ht="19.95" customHeight="1" x14ac:dyDescent="0.35">
      <c r="A4" s="1477"/>
      <c r="B4" s="472">
        <v>2</v>
      </c>
      <c r="C4" s="493"/>
      <c r="D4" s="494">
        <v>22</v>
      </c>
      <c r="E4" s="494">
        <v>10</v>
      </c>
      <c r="F4" s="495"/>
      <c r="G4" s="566"/>
      <c r="H4" s="514" t="s">
        <v>465</v>
      </c>
      <c r="I4" s="515" t="s">
        <v>152</v>
      </c>
      <c r="J4" s="568"/>
      <c r="K4" s="66"/>
      <c r="L4" s="470"/>
      <c r="M4" s="6">
        <v>10</v>
      </c>
      <c r="N4" s="6"/>
      <c r="O4" s="508"/>
      <c r="P4" s="509"/>
      <c r="Q4" s="514" t="s">
        <v>465</v>
      </c>
      <c r="R4" s="28"/>
      <c r="S4" s="508"/>
      <c r="T4" s="66"/>
      <c r="U4" s="470"/>
      <c r="V4" s="502"/>
      <c r="W4" s="6">
        <v>7</v>
      </c>
      <c r="X4" s="508"/>
      <c r="Y4" s="469"/>
      <c r="Z4" s="6"/>
      <c r="AA4" s="579" t="s">
        <v>152</v>
      </c>
      <c r="AB4" s="603"/>
      <c r="AC4" s="66"/>
      <c r="AD4" s="470"/>
      <c r="AE4" s="6"/>
      <c r="AF4" s="6"/>
      <c r="AG4" s="508"/>
      <c r="AH4" s="509"/>
      <c r="AI4" s="6"/>
      <c r="AJ4" s="6"/>
      <c r="AK4" s="508"/>
    </row>
    <row r="5" spans="1:37" ht="26.5" customHeight="1" x14ac:dyDescent="0.35">
      <c r="A5" s="1478">
        <v>44806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47"/>
      <c r="AA5" s="6"/>
      <c r="AB5" s="604"/>
      <c r="AC5" s="66"/>
      <c r="AD5" s="470"/>
      <c r="AE5" s="6"/>
      <c r="AF5" s="6"/>
      <c r="AG5" s="508"/>
      <c r="AH5" s="509"/>
      <c r="AI5" s="6"/>
      <c r="AJ5" s="502"/>
      <c r="AK5" s="508"/>
    </row>
    <row r="6" spans="1:37" ht="63" customHeight="1" x14ac:dyDescent="0.35">
      <c r="A6" s="1477"/>
      <c r="B6" s="472">
        <v>2</v>
      </c>
      <c r="C6" s="493"/>
      <c r="D6" s="494"/>
      <c r="E6" s="494"/>
      <c r="F6" s="495"/>
      <c r="G6" s="566"/>
      <c r="H6" s="514"/>
      <c r="I6" s="515"/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/>
      <c r="X6" s="508"/>
      <c r="Y6" s="469"/>
      <c r="Z6" s="6"/>
      <c r="AA6" s="579"/>
      <c r="AB6" s="508"/>
      <c r="AC6" s="66"/>
      <c r="AD6" s="470"/>
      <c r="AE6" s="6"/>
      <c r="AF6" s="6"/>
      <c r="AG6" s="508"/>
      <c r="AH6" s="509"/>
      <c r="AI6" s="6"/>
      <c r="AJ6" s="6"/>
      <c r="AK6" s="508"/>
    </row>
    <row r="7" spans="1:37" ht="19.95" customHeight="1" x14ac:dyDescent="0.35">
      <c r="A7" s="1478">
        <v>44807</v>
      </c>
      <c r="B7" s="472">
        <v>1</v>
      </c>
      <c r="C7" s="493"/>
      <c r="D7" s="494"/>
      <c r="E7" s="494"/>
      <c r="F7" s="495"/>
      <c r="G7" s="566"/>
      <c r="H7" s="515"/>
      <c r="I7" s="515"/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524"/>
      <c r="W7" s="6"/>
      <c r="X7" s="508"/>
      <c r="Y7" s="509"/>
      <c r="Z7" s="6"/>
      <c r="AA7" s="6"/>
      <c r="AB7" s="508"/>
      <c r="AC7" s="66"/>
      <c r="AD7" s="470"/>
      <c r="AE7" s="6"/>
      <c r="AF7" s="6"/>
      <c r="AG7" s="508"/>
      <c r="AH7" s="509"/>
      <c r="AI7" s="6"/>
      <c r="AJ7" s="6"/>
      <c r="AK7" s="508"/>
    </row>
    <row r="8" spans="1:37" ht="31.2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515"/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525"/>
      <c r="W8" s="509"/>
      <c r="X8" s="508"/>
      <c r="Y8" s="469"/>
      <c r="Z8" s="6"/>
      <c r="AA8" s="6"/>
      <c r="AB8" s="527"/>
      <c r="AC8" s="66"/>
      <c r="AD8" s="470"/>
      <c r="AE8" s="6"/>
      <c r="AF8" s="6"/>
      <c r="AG8" s="508"/>
      <c r="AH8" s="509"/>
      <c r="AI8" s="6"/>
      <c r="AJ8" s="6"/>
      <c r="AK8" s="527"/>
    </row>
    <row r="9" spans="1:37" ht="33.65" customHeight="1" x14ac:dyDescent="0.35">
      <c r="A9" s="1478">
        <v>44808</v>
      </c>
      <c r="B9" s="472">
        <v>1</v>
      </c>
      <c r="C9" s="493"/>
      <c r="D9" s="494"/>
      <c r="E9" s="494"/>
      <c r="F9" s="495"/>
      <c r="G9" s="566"/>
      <c r="H9" s="514"/>
      <c r="I9" s="514"/>
      <c r="J9" s="527"/>
      <c r="K9" s="66"/>
      <c r="L9" s="470"/>
      <c r="M9" s="6"/>
      <c r="N9" s="6"/>
      <c r="O9" s="508"/>
      <c r="P9" s="469"/>
      <c r="Q9" s="6"/>
      <c r="R9" s="502"/>
      <c r="S9" s="527"/>
      <c r="T9" s="66"/>
      <c r="U9" s="470"/>
      <c r="V9" s="6"/>
      <c r="W9" s="6"/>
      <c r="X9" s="508"/>
      <c r="Y9" s="509"/>
      <c r="Z9" s="6"/>
      <c r="AA9" s="6"/>
      <c r="AB9" s="527"/>
      <c r="AC9" s="66"/>
      <c r="AD9" s="470"/>
      <c r="AE9" s="6"/>
      <c r="AF9" s="6"/>
      <c r="AG9" s="508"/>
      <c r="AH9" s="509"/>
      <c r="AI9" s="6"/>
      <c r="AJ9" s="6"/>
      <c r="AK9" s="527"/>
    </row>
    <row r="10" spans="1:37" ht="47.5" customHeight="1" x14ac:dyDescent="0.35">
      <c r="A10" s="1477"/>
      <c r="B10" s="472">
        <v>2</v>
      </c>
      <c r="C10" s="493"/>
      <c r="D10" s="494"/>
      <c r="E10" s="494"/>
      <c r="F10" s="495"/>
      <c r="G10" s="566"/>
      <c r="H10" s="514"/>
      <c r="I10" s="515"/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/>
      <c r="V10" s="6"/>
      <c r="W10" s="6"/>
      <c r="X10" s="508"/>
      <c r="Z10" s="469"/>
      <c r="AA10" s="6"/>
      <c r="AB10" s="527"/>
      <c r="AC10" s="66"/>
      <c r="AD10" s="470"/>
      <c r="AE10" s="6"/>
      <c r="AF10" s="6"/>
      <c r="AG10" s="508"/>
      <c r="AH10" s="509"/>
      <c r="AI10" s="6"/>
      <c r="AJ10" s="6"/>
      <c r="AK10" s="527"/>
    </row>
    <row r="11" spans="1:37" ht="30.75" customHeight="1" x14ac:dyDescent="0.35">
      <c r="A11" s="1478">
        <v>44809</v>
      </c>
      <c r="B11" s="472">
        <v>1</v>
      </c>
      <c r="C11" s="493"/>
      <c r="D11" s="494"/>
      <c r="E11" s="494"/>
      <c r="F11" s="495"/>
      <c r="G11" s="565"/>
      <c r="H11" s="514"/>
      <c r="I11" s="515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</row>
    <row r="12" spans="1:37" ht="36.75" customHeight="1" x14ac:dyDescent="0.35">
      <c r="A12" s="1477"/>
      <c r="B12" s="472">
        <v>2</v>
      </c>
      <c r="C12" s="493"/>
      <c r="D12" s="494"/>
      <c r="E12" s="494"/>
      <c r="F12" s="495">
        <v>710</v>
      </c>
      <c r="G12" s="566"/>
      <c r="H12" s="514"/>
      <c r="I12" s="515"/>
      <c r="J12" s="527" t="s">
        <v>466</v>
      </c>
      <c r="K12" s="66"/>
      <c r="L12" s="470"/>
      <c r="M12" s="6"/>
      <c r="N12" s="6"/>
      <c r="O12" s="508">
        <v>704</v>
      </c>
      <c r="P12" s="469"/>
      <c r="Q12" s="6"/>
      <c r="R12" s="502"/>
      <c r="S12" s="527" t="s">
        <v>466</v>
      </c>
      <c r="T12" s="66"/>
      <c r="U12" s="470"/>
      <c r="V12" s="6"/>
      <c r="W12" s="6"/>
      <c r="X12" s="508">
        <v>720</v>
      </c>
      <c r="Y12" s="509"/>
      <c r="Z12" s="6"/>
      <c r="AA12" s="602"/>
      <c r="AB12" s="527" t="s">
        <v>466</v>
      </c>
      <c r="AC12" s="66"/>
      <c r="AD12" s="470"/>
      <c r="AE12" s="6"/>
      <c r="AF12" s="6"/>
      <c r="AG12" s="508">
        <v>707</v>
      </c>
      <c r="AH12" s="509"/>
      <c r="AI12" s="6"/>
      <c r="AJ12" s="6"/>
      <c r="AK12" s="527" t="s">
        <v>466</v>
      </c>
    </row>
    <row r="13" spans="1:37" ht="40.5" customHeight="1" x14ac:dyDescent="0.35">
      <c r="A13" s="1478">
        <v>44810</v>
      </c>
      <c r="B13" s="472">
        <v>1</v>
      </c>
      <c r="C13" s="493"/>
      <c r="D13" s="494"/>
      <c r="E13" s="494"/>
      <c r="F13" s="495">
        <v>720</v>
      </c>
      <c r="G13" s="566"/>
      <c r="H13" s="514"/>
      <c r="I13" s="515"/>
      <c r="J13" s="527" t="s">
        <v>466</v>
      </c>
      <c r="K13" s="66"/>
      <c r="L13" s="470"/>
      <c r="M13" s="6"/>
      <c r="N13" s="6"/>
      <c r="O13" s="495">
        <v>720</v>
      </c>
      <c r="P13" s="469"/>
      <c r="Q13" s="6"/>
      <c r="R13" s="502"/>
      <c r="S13" s="527" t="s">
        <v>466</v>
      </c>
      <c r="T13" s="66"/>
      <c r="U13" s="470"/>
      <c r="V13" s="6"/>
      <c r="W13" s="6"/>
      <c r="X13" s="495">
        <v>720</v>
      </c>
      <c r="Y13" s="469"/>
      <c r="Z13" s="502"/>
      <c r="AA13" s="6"/>
      <c r="AB13" s="527" t="s">
        <v>466</v>
      </c>
      <c r="AC13" s="66"/>
      <c r="AD13" s="470"/>
      <c r="AE13" s="6"/>
      <c r="AF13" s="6"/>
      <c r="AG13" s="495">
        <v>720</v>
      </c>
      <c r="AH13" s="509"/>
      <c r="AI13" s="6"/>
      <c r="AJ13" s="6"/>
      <c r="AK13" s="527" t="s">
        <v>466</v>
      </c>
    </row>
    <row r="14" spans="1:37" ht="34.200000000000003" customHeight="1" x14ac:dyDescent="0.35">
      <c r="A14" s="1477"/>
      <c r="B14" s="472">
        <v>2</v>
      </c>
      <c r="C14" s="493"/>
      <c r="D14" s="494"/>
      <c r="E14" s="494"/>
      <c r="F14" s="495">
        <v>720</v>
      </c>
      <c r="G14" s="566"/>
      <c r="H14" s="515"/>
      <c r="I14" s="515"/>
      <c r="J14" s="527" t="s">
        <v>466</v>
      </c>
      <c r="K14" s="66"/>
      <c r="L14" s="470"/>
      <c r="M14" s="6"/>
      <c r="N14" s="6"/>
      <c r="O14" s="495">
        <v>720</v>
      </c>
      <c r="P14" s="509"/>
      <c r="Q14" s="6"/>
      <c r="R14" s="6"/>
      <c r="S14" s="527" t="s">
        <v>466</v>
      </c>
      <c r="T14" s="66"/>
      <c r="U14" s="470"/>
      <c r="V14" s="6"/>
      <c r="W14" s="6"/>
      <c r="X14" s="495">
        <v>720</v>
      </c>
      <c r="Y14" s="469"/>
      <c r="Z14" s="502"/>
      <c r="AA14" s="502"/>
      <c r="AB14" s="527" t="s">
        <v>466</v>
      </c>
      <c r="AC14" s="66"/>
      <c r="AD14" s="470"/>
      <c r="AE14" s="6"/>
      <c r="AF14" s="6"/>
      <c r="AG14" s="495">
        <v>720</v>
      </c>
      <c r="AH14" s="469"/>
      <c r="AI14" s="6"/>
      <c r="AJ14" s="6"/>
      <c r="AK14" s="527" t="s">
        <v>466</v>
      </c>
    </row>
    <row r="15" spans="1:37" ht="43.95" customHeight="1" x14ac:dyDescent="0.35">
      <c r="A15" s="1478">
        <v>44811</v>
      </c>
      <c r="B15" s="472">
        <v>1</v>
      </c>
      <c r="C15" s="493"/>
      <c r="D15" s="494"/>
      <c r="E15" s="6"/>
      <c r="F15" s="495">
        <v>720</v>
      </c>
      <c r="G15" s="566"/>
      <c r="H15" s="515"/>
      <c r="I15" s="515"/>
      <c r="J15" s="527" t="s">
        <v>466</v>
      </c>
      <c r="K15" s="66"/>
      <c r="L15" s="470"/>
      <c r="M15" s="6"/>
      <c r="N15" s="6"/>
      <c r="O15" s="495">
        <v>720</v>
      </c>
      <c r="P15" s="470"/>
      <c r="Q15" s="515"/>
      <c r="R15" s="6"/>
      <c r="S15" s="527" t="s">
        <v>466</v>
      </c>
      <c r="T15" s="66"/>
      <c r="U15" s="470"/>
      <c r="V15" s="6"/>
      <c r="W15" s="6"/>
      <c r="X15" s="495">
        <v>720</v>
      </c>
      <c r="Y15" s="470"/>
      <c r="Z15" s="515"/>
      <c r="AA15" s="609"/>
      <c r="AB15" s="527" t="s">
        <v>466</v>
      </c>
      <c r="AC15" s="66"/>
      <c r="AD15" s="470"/>
      <c r="AE15" s="6"/>
      <c r="AF15" s="66"/>
      <c r="AG15" s="495">
        <v>720</v>
      </c>
      <c r="AI15" s="515"/>
      <c r="AJ15" s="470"/>
      <c r="AK15" s="527" t="s">
        <v>466</v>
      </c>
    </row>
    <row r="16" spans="1:37" ht="37.5" customHeight="1" x14ac:dyDescent="0.35">
      <c r="A16" s="1477"/>
      <c r="B16" s="472">
        <v>2</v>
      </c>
      <c r="C16" s="493"/>
      <c r="D16" s="494"/>
      <c r="E16" s="494"/>
      <c r="F16" s="495">
        <v>720</v>
      </c>
      <c r="G16" s="565"/>
      <c r="H16" s="514"/>
      <c r="I16" s="565"/>
      <c r="J16" s="527" t="s">
        <v>466</v>
      </c>
      <c r="K16" s="66"/>
      <c r="L16" s="470"/>
      <c r="M16" s="6"/>
      <c r="N16" s="6"/>
      <c r="O16" s="495">
        <v>720</v>
      </c>
      <c r="P16" s="470"/>
      <c r="Q16" s="6"/>
      <c r="R16" s="6"/>
      <c r="S16" s="527" t="s">
        <v>466</v>
      </c>
      <c r="T16" s="66"/>
      <c r="U16" s="470"/>
      <c r="V16" s="6"/>
      <c r="W16" s="6"/>
      <c r="X16" s="495">
        <v>720</v>
      </c>
      <c r="Y16" s="514"/>
      <c r="Z16" s="514"/>
      <c r="AA16" s="6"/>
      <c r="AB16" s="527" t="s">
        <v>466</v>
      </c>
      <c r="AC16" s="66"/>
      <c r="AD16" s="470"/>
      <c r="AE16" s="6"/>
      <c r="AF16" s="6"/>
      <c r="AG16" s="495">
        <v>720</v>
      </c>
      <c r="AH16" s="470"/>
      <c r="AI16" s="6"/>
      <c r="AJ16" s="6"/>
      <c r="AK16" s="527" t="s">
        <v>466</v>
      </c>
    </row>
    <row r="17" spans="1:37" ht="32.5" customHeight="1" x14ac:dyDescent="0.35">
      <c r="A17" s="1478">
        <v>44812</v>
      </c>
      <c r="B17" s="534">
        <v>1</v>
      </c>
      <c r="C17" s="493"/>
      <c r="D17" s="494"/>
      <c r="E17" s="494"/>
      <c r="F17" s="495">
        <v>720</v>
      </c>
      <c r="G17" s="566"/>
      <c r="H17" s="514"/>
      <c r="I17" s="515"/>
      <c r="J17" s="527" t="s">
        <v>466</v>
      </c>
      <c r="K17" s="66"/>
      <c r="L17" s="470"/>
      <c r="M17" s="6"/>
      <c r="N17" s="6"/>
      <c r="O17" s="495">
        <v>720</v>
      </c>
      <c r="P17" s="470"/>
      <c r="Q17" s="6"/>
      <c r="R17" s="6"/>
      <c r="S17" s="527" t="s">
        <v>466</v>
      </c>
      <c r="T17" s="66"/>
      <c r="U17" s="470"/>
      <c r="V17" s="6"/>
      <c r="W17" s="6"/>
      <c r="X17" s="495">
        <v>720</v>
      </c>
      <c r="Y17" s="514"/>
      <c r="Z17" s="514"/>
      <c r="AA17" s="6"/>
      <c r="AB17" s="527" t="s">
        <v>466</v>
      </c>
      <c r="AC17" s="66"/>
      <c r="AD17" s="470"/>
      <c r="AE17" s="6"/>
      <c r="AF17" s="6"/>
      <c r="AG17" s="495">
        <v>720</v>
      </c>
      <c r="AH17" s="470"/>
      <c r="AI17" s="6"/>
      <c r="AJ17" s="502"/>
      <c r="AK17" s="527" t="s">
        <v>466</v>
      </c>
    </row>
    <row r="18" spans="1:37" ht="39.65" customHeight="1" x14ac:dyDescent="0.35">
      <c r="A18" s="1477"/>
      <c r="B18" s="472">
        <v>2</v>
      </c>
      <c r="C18" s="493"/>
      <c r="D18" s="494"/>
      <c r="E18" s="494"/>
      <c r="F18" s="495">
        <v>720</v>
      </c>
      <c r="G18" s="565"/>
      <c r="H18" s="515"/>
      <c r="I18" s="514"/>
      <c r="J18" s="527" t="s">
        <v>466</v>
      </c>
      <c r="K18" s="66"/>
      <c r="L18" s="470"/>
      <c r="M18" s="6"/>
      <c r="N18" s="6"/>
      <c r="O18" s="495">
        <v>720</v>
      </c>
      <c r="P18" s="470"/>
      <c r="Q18" s="6"/>
      <c r="R18" s="6"/>
      <c r="S18" s="527" t="s">
        <v>466</v>
      </c>
      <c r="T18" s="66"/>
      <c r="U18" s="470"/>
      <c r="V18" s="6"/>
      <c r="W18" s="6"/>
      <c r="X18" s="495">
        <v>720</v>
      </c>
      <c r="Y18" s="465"/>
      <c r="Z18" s="6"/>
      <c r="AA18" s="502"/>
      <c r="AB18" s="527" t="s">
        <v>466</v>
      </c>
      <c r="AC18" s="66"/>
      <c r="AD18" s="470"/>
      <c r="AE18" s="6"/>
      <c r="AF18" s="6"/>
      <c r="AG18" s="495">
        <v>720</v>
      </c>
      <c r="AH18" s="470"/>
      <c r="AI18" s="6"/>
      <c r="AJ18" s="502"/>
      <c r="AK18" s="527" t="s">
        <v>466</v>
      </c>
    </row>
    <row r="19" spans="1:37" ht="33.65" customHeight="1" x14ac:dyDescent="0.35">
      <c r="A19" s="1478">
        <v>44813</v>
      </c>
      <c r="B19" s="472">
        <v>1</v>
      </c>
      <c r="C19" s="66"/>
      <c r="D19" s="494"/>
      <c r="E19" s="494"/>
      <c r="F19" s="495">
        <v>720</v>
      </c>
      <c r="G19" s="566"/>
      <c r="H19" s="514"/>
      <c r="I19" s="515"/>
      <c r="J19" s="527" t="s">
        <v>466</v>
      </c>
      <c r="K19" s="66"/>
      <c r="L19" s="470"/>
      <c r="M19" s="6"/>
      <c r="N19" s="6"/>
      <c r="O19" s="495">
        <v>720</v>
      </c>
      <c r="P19" s="470"/>
      <c r="Q19" s="6"/>
      <c r="R19" s="6"/>
      <c r="S19" s="527" t="s">
        <v>466</v>
      </c>
      <c r="T19" s="66"/>
      <c r="U19" s="470"/>
      <c r="V19" s="6"/>
      <c r="W19" s="6"/>
      <c r="X19" s="495">
        <v>720</v>
      </c>
      <c r="Y19" s="470"/>
      <c r="Z19" s="502"/>
      <c r="AA19" s="502"/>
      <c r="AB19" s="527" t="s">
        <v>466</v>
      </c>
      <c r="AC19" s="66"/>
      <c r="AD19" s="470"/>
      <c r="AE19" s="6"/>
      <c r="AF19" s="6"/>
      <c r="AG19" s="495">
        <v>720</v>
      </c>
      <c r="AH19" s="470"/>
      <c r="AI19" s="6"/>
      <c r="AJ19" s="502"/>
      <c r="AK19" s="527" t="s">
        <v>466</v>
      </c>
    </row>
    <row r="20" spans="1:37" ht="56.5" customHeight="1" x14ac:dyDescent="0.35">
      <c r="A20" s="1477"/>
      <c r="B20" s="472">
        <v>2</v>
      </c>
      <c r="C20" s="493"/>
      <c r="D20" s="494"/>
      <c r="E20" s="494"/>
      <c r="F20" s="495">
        <v>720</v>
      </c>
      <c r="G20" s="566"/>
      <c r="H20" s="515"/>
      <c r="I20" s="515"/>
      <c r="J20" s="527" t="s">
        <v>466</v>
      </c>
      <c r="K20" s="66"/>
      <c r="L20" s="470"/>
      <c r="M20" s="6"/>
      <c r="N20" s="6"/>
      <c r="O20" s="495">
        <v>720</v>
      </c>
      <c r="P20" s="470"/>
      <c r="Q20" s="6"/>
      <c r="R20" s="6"/>
      <c r="S20" s="527" t="s">
        <v>466</v>
      </c>
      <c r="T20" s="66"/>
      <c r="U20" s="470"/>
      <c r="V20" s="214"/>
      <c r="W20" s="6"/>
      <c r="X20" s="495">
        <v>720</v>
      </c>
      <c r="Y20" s="470"/>
      <c r="Z20" s="502"/>
      <c r="AA20" s="605"/>
      <c r="AB20" s="527" t="s">
        <v>466</v>
      </c>
      <c r="AC20" s="66"/>
      <c r="AD20" s="470"/>
      <c r="AE20" s="6"/>
      <c r="AF20" s="6"/>
      <c r="AG20" s="495">
        <v>720</v>
      </c>
      <c r="AH20" s="465"/>
      <c r="AI20" s="6"/>
      <c r="AJ20" s="508"/>
      <c r="AK20" s="527" t="s">
        <v>466</v>
      </c>
    </row>
    <row r="21" spans="1:37" ht="97.2" customHeight="1" x14ac:dyDescent="0.35">
      <c r="A21" s="1478">
        <v>44814</v>
      </c>
      <c r="B21" s="472">
        <v>1</v>
      </c>
      <c r="C21" s="493"/>
      <c r="D21" s="494"/>
      <c r="E21" s="494"/>
      <c r="F21" s="495">
        <v>720</v>
      </c>
      <c r="G21" s="569"/>
      <c r="H21" s="514"/>
      <c r="I21" s="515"/>
      <c r="J21" s="527" t="s">
        <v>466</v>
      </c>
      <c r="K21" s="66"/>
      <c r="L21" s="470"/>
      <c r="M21" s="6"/>
      <c r="N21" s="6"/>
      <c r="O21" s="495">
        <v>720</v>
      </c>
      <c r="P21" s="470"/>
      <c r="Q21" s="6"/>
      <c r="R21" s="6"/>
      <c r="S21" s="527" t="s">
        <v>466</v>
      </c>
      <c r="T21" s="66"/>
      <c r="U21" s="470"/>
      <c r="V21" s="6"/>
      <c r="W21" s="6"/>
      <c r="X21" s="495">
        <v>720</v>
      </c>
      <c r="Y21" s="470"/>
      <c r="Z21" s="6"/>
      <c r="AA21" s="502"/>
      <c r="AB21" s="527" t="s">
        <v>466</v>
      </c>
      <c r="AC21" s="66"/>
      <c r="AD21" s="470"/>
      <c r="AE21" s="6"/>
      <c r="AF21" s="6"/>
      <c r="AG21" s="495">
        <v>720</v>
      </c>
      <c r="AH21" s="470"/>
      <c r="AI21" s="6"/>
      <c r="AJ21" s="508"/>
      <c r="AK21" s="527" t="s">
        <v>466</v>
      </c>
    </row>
    <row r="22" spans="1:37" ht="55.95" customHeight="1" x14ac:dyDescent="0.35">
      <c r="A22" s="1477"/>
      <c r="B22" s="472">
        <v>2</v>
      </c>
      <c r="C22" s="493"/>
      <c r="D22" s="494"/>
      <c r="E22" s="494"/>
      <c r="F22" s="495">
        <v>720</v>
      </c>
      <c r="G22" s="562"/>
      <c r="H22" s="515"/>
      <c r="I22" s="515"/>
      <c r="J22" s="527" t="s">
        <v>466</v>
      </c>
      <c r="K22" s="66"/>
      <c r="L22" s="470"/>
      <c r="M22" s="6"/>
      <c r="N22" s="6"/>
      <c r="O22" s="495">
        <v>720</v>
      </c>
      <c r="P22" s="469"/>
      <c r="Q22" s="6"/>
      <c r="R22" s="6"/>
      <c r="S22" s="527" t="s">
        <v>466</v>
      </c>
      <c r="T22" s="66"/>
      <c r="U22" s="470"/>
      <c r="V22" s="6"/>
      <c r="W22" s="6"/>
      <c r="X22" s="495">
        <v>720</v>
      </c>
      <c r="Y22" s="470"/>
      <c r="Z22" s="6"/>
      <c r="AA22" s="502"/>
      <c r="AB22" s="527" t="s">
        <v>466</v>
      </c>
      <c r="AC22" s="66"/>
      <c r="AD22" s="470"/>
      <c r="AE22" s="6"/>
      <c r="AF22" s="6"/>
      <c r="AG22" s="495">
        <v>720</v>
      </c>
      <c r="AH22" s="470"/>
      <c r="AI22" s="6"/>
      <c r="AJ22" s="508"/>
      <c r="AK22" s="527" t="s">
        <v>466</v>
      </c>
    </row>
    <row r="23" spans="1:37" ht="37.950000000000003" customHeight="1" x14ac:dyDescent="0.35">
      <c r="A23" s="1478">
        <v>44815</v>
      </c>
      <c r="B23" s="534">
        <v>1</v>
      </c>
      <c r="C23" s="493"/>
      <c r="D23" s="494"/>
      <c r="E23" s="494"/>
      <c r="F23" s="495">
        <v>720</v>
      </c>
      <c r="G23" s="566"/>
      <c r="H23" s="514"/>
      <c r="I23" s="515"/>
      <c r="J23" s="527" t="s">
        <v>466</v>
      </c>
      <c r="K23" s="66"/>
      <c r="L23" s="470"/>
      <c r="M23" s="6"/>
      <c r="N23" s="6"/>
      <c r="O23" s="495">
        <v>720</v>
      </c>
      <c r="P23" s="566"/>
      <c r="Q23" s="514"/>
      <c r="R23" s="515"/>
      <c r="S23" s="527" t="s">
        <v>466</v>
      </c>
      <c r="T23" s="66"/>
      <c r="U23" s="470"/>
      <c r="V23" s="6"/>
      <c r="W23" s="6"/>
      <c r="X23" s="495">
        <v>720</v>
      </c>
      <c r="Y23" s="566"/>
      <c r="Z23" s="514"/>
      <c r="AA23" s="515"/>
      <c r="AB23" s="527" t="s">
        <v>466</v>
      </c>
      <c r="AC23" s="66"/>
      <c r="AD23" s="470"/>
      <c r="AE23" s="6"/>
      <c r="AF23" s="6"/>
      <c r="AG23" s="495">
        <v>720</v>
      </c>
      <c r="AH23" s="6"/>
      <c r="AI23" s="514"/>
      <c r="AJ23" s="527"/>
      <c r="AK23" s="527" t="s">
        <v>466</v>
      </c>
    </row>
    <row r="24" spans="1:37" ht="49.95" customHeight="1" x14ac:dyDescent="0.35">
      <c r="A24" s="1477"/>
      <c r="B24" s="472">
        <v>2</v>
      </c>
      <c r="C24" s="493"/>
      <c r="D24" s="494"/>
      <c r="E24" s="494"/>
      <c r="F24" s="495">
        <v>720</v>
      </c>
      <c r="G24" s="566"/>
      <c r="H24" s="514"/>
      <c r="I24" s="515"/>
      <c r="J24" s="527" t="s">
        <v>466</v>
      </c>
      <c r="K24" s="66"/>
      <c r="L24" s="470"/>
      <c r="M24" s="6"/>
      <c r="N24" s="6"/>
      <c r="O24" s="495">
        <v>720</v>
      </c>
      <c r="P24" s="566"/>
      <c r="Q24" s="514"/>
      <c r="R24" s="515"/>
      <c r="S24" s="527" t="s">
        <v>466</v>
      </c>
      <c r="T24" s="66"/>
      <c r="U24" s="470"/>
      <c r="V24" s="6"/>
      <c r="W24" s="6"/>
      <c r="X24" s="495">
        <v>720</v>
      </c>
      <c r="Y24" s="566"/>
      <c r="Z24" s="514"/>
      <c r="AA24" s="515"/>
      <c r="AB24" s="527" t="s">
        <v>466</v>
      </c>
      <c r="AC24" s="66"/>
      <c r="AD24" s="470"/>
      <c r="AE24" s="6"/>
      <c r="AF24" s="6"/>
      <c r="AG24" s="495">
        <v>720</v>
      </c>
      <c r="AH24" s="6"/>
      <c r="AI24" s="514"/>
      <c r="AJ24" s="508"/>
      <c r="AK24" s="527" t="s">
        <v>466</v>
      </c>
    </row>
    <row r="25" spans="1:37" ht="46.2" customHeight="1" x14ac:dyDescent="0.35">
      <c r="A25" s="1478">
        <v>44816</v>
      </c>
      <c r="B25" s="472">
        <v>1</v>
      </c>
      <c r="C25" s="493"/>
      <c r="D25" s="494"/>
      <c r="E25" s="494"/>
      <c r="F25" s="495">
        <v>720</v>
      </c>
      <c r="G25" s="566"/>
      <c r="H25" s="514"/>
      <c r="I25" s="515"/>
      <c r="J25" s="527" t="s">
        <v>466</v>
      </c>
      <c r="K25" s="66"/>
      <c r="L25" s="470"/>
      <c r="M25" s="6"/>
      <c r="N25" s="6"/>
      <c r="O25" s="495">
        <v>720</v>
      </c>
      <c r="P25" s="470"/>
      <c r="Q25" s="514"/>
      <c r="R25" s="6"/>
      <c r="S25" s="527" t="s">
        <v>466</v>
      </c>
      <c r="T25" s="66"/>
      <c r="U25" s="470"/>
      <c r="V25" s="6"/>
      <c r="W25" s="6"/>
      <c r="X25" s="495">
        <v>720</v>
      </c>
      <c r="Y25" s="470"/>
      <c r="Z25" s="6"/>
      <c r="AA25" s="502"/>
      <c r="AB25" s="527" t="s">
        <v>466</v>
      </c>
      <c r="AC25" s="66"/>
      <c r="AD25" s="470"/>
      <c r="AE25" s="6"/>
      <c r="AF25" s="6"/>
      <c r="AG25" s="495">
        <v>720</v>
      </c>
      <c r="AH25" s="6"/>
      <c r="AI25" s="6"/>
      <c r="AJ25" s="508"/>
      <c r="AK25" s="527" t="s">
        <v>466</v>
      </c>
    </row>
    <row r="26" spans="1:37" ht="42" customHeight="1" x14ac:dyDescent="0.35">
      <c r="A26" s="1477"/>
      <c r="B26" s="472">
        <v>2</v>
      </c>
      <c r="C26" s="493"/>
      <c r="D26" s="494"/>
      <c r="E26" s="494"/>
      <c r="F26" s="495">
        <v>720</v>
      </c>
      <c r="G26" s="566"/>
      <c r="H26" s="515"/>
      <c r="I26" s="573"/>
      <c r="J26" s="527" t="s">
        <v>466</v>
      </c>
      <c r="K26" s="66"/>
      <c r="L26" s="470"/>
      <c r="M26" s="6"/>
      <c r="N26" s="6"/>
      <c r="O26" s="495">
        <v>720</v>
      </c>
      <c r="P26" s="566"/>
      <c r="Q26" s="515"/>
      <c r="R26" s="515"/>
      <c r="S26" s="527" t="s">
        <v>466</v>
      </c>
      <c r="T26" s="66"/>
      <c r="U26" s="470"/>
      <c r="V26" s="494"/>
      <c r="W26" s="6"/>
      <c r="X26" s="495">
        <v>720</v>
      </c>
      <c r="Y26" s="566"/>
      <c r="Z26" s="515"/>
      <c r="AA26" s="515"/>
      <c r="AB26" s="527" t="s">
        <v>466</v>
      </c>
      <c r="AC26" s="66"/>
      <c r="AD26" s="470"/>
      <c r="AE26" s="494"/>
      <c r="AF26" s="6"/>
      <c r="AG26" s="495">
        <v>720</v>
      </c>
      <c r="AH26" s="6"/>
      <c r="AI26" s="6"/>
      <c r="AJ26" s="508"/>
      <c r="AK26" s="527" t="s">
        <v>466</v>
      </c>
    </row>
    <row r="27" spans="1:37" ht="49.95" customHeight="1" x14ac:dyDescent="0.35">
      <c r="A27" s="1478">
        <v>44817</v>
      </c>
      <c r="B27" s="534">
        <v>1</v>
      </c>
      <c r="C27" s="493"/>
      <c r="D27" s="494"/>
      <c r="E27" s="494"/>
      <c r="F27" s="495">
        <v>313</v>
      </c>
      <c r="G27" s="566"/>
      <c r="H27" s="514"/>
      <c r="I27" s="573"/>
      <c r="J27" s="527" t="s">
        <v>466</v>
      </c>
      <c r="K27" s="66"/>
      <c r="L27" s="470"/>
      <c r="M27" s="6"/>
      <c r="N27" s="6"/>
      <c r="O27" s="495">
        <v>334</v>
      </c>
      <c r="P27" s="566"/>
      <c r="Q27" s="514"/>
      <c r="R27" s="515"/>
      <c r="S27" s="527" t="s">
        <v>466</v>
      </c>
      <c r="T27" s="66"/>
      <c r="U27" s="470"/>
      <c r="V27" s="6"/>
      <c r="W27" s="6"/>
      <c r="X27" s="508">
        <v>320</v>
      </c>
      <c r="Y27" s="566"/>
      <c r="Z27" s="514"/>
      <c r="AA27" s="515"/>
      <c r="AB27" s="527" t="s">
        <v>466</v>
      </c>
      <c r="AC27" s="66"/>
      <c r="AD27" s="470"/>
      <c r="AE27" s="6"/>
      <c r="AF27" s="6"/>
      <c r="AG27" s="508">
        <v>325</v>
      </c>
      <c r="AH27" s="6"/>
      <c r="AI27" s="6"/>
      <c r="AJ27" s="527"/>
      <c r="AK27" s="527" t="s">
        <v>466</v>
      </c>
    </row>
    <row r="28" spans="1:37" ht="49.2" customHeight="1" x14ac:dyDescent="0.35">
      <c r="A28" s="1477"/>
      <c r="B28" s="472">
        <v>2</v>
      </c>
      <c r="C28" s="493"/>
      <c r="D28" s="494"/>
      <c r="E28" s="494"/>
      <c r="F28" s="495"/>
      <c r="G28" s="515"/>
      <c r="H28" s="515"/>
      <c r="I28" s="573"/>
      <c r="J28" s="527"/>
      <c r="K28" s="66"/>
      <c r="L28" s="470"/>
      <c r="M28" s="6"/>
      <c r="N28" s="6"/>
      <c r="O28" s="495"/>
      <c r="P28" s="515"/>
      <c r="Q28" s="515"/>
      <c r="R28" s="515"/>
      <c r="S28" s="526"/>
      <c r="T28" s="66"/>
      <c r="U28" s="470"/>
      <c r="V28" s="6">
        <v>10</v>
      </c>
      <c r="X28" s="495"/>
      <c r="Y28" s="515"/>
      <c r="Z28" s="6" t="s">
        <v>468</v>
      </c>
      <c r="AA28" s="573"/>
      <c r="AB28" s="527"/>
      <c r="AC28" s="66"/>
      <c r="AD28" s="470">
        <v>79</v>
      </c>
      <c r="AE28" s="6">
        <v>10</v>
      </c>
      <c r="AF28" s="6"/>
      <c r="AG28" s="495"/>
      <c r="AH28" s="502" t="s">
        <v>467</v>
      </c>
      <c r="AI28" s="6" t="s">
        <v>468</v>
      </c>
      <c r="AJ28" s="573"/>
      <c r="AK28" s="526"/>
    </row>
    <row r="29" spans="1:37" ht="57" customHeight="1" x14ac:dyDescent="0.35">
      <c r="A29" s="1478">
        <v>44818</v>
      </c>
      <c r="B29" s="472">
        <v>1</v>
      </c>
      <c r="C29" s="493"/>
      <c r="D29" s="494"/>
      <c r="E29" s="494"/>
      <c r="F29" s="495"/>
      <c r="G29" s="566"/>
      <c r="H29" s="514"/>
      <c r="I29" s="573"/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>
        <v>20</v>
      </c>
      <c r="X29" s="495"/>
      <c r="Y29" s="566"/>
      <c r="Z29" s="514"/>
      <c r="AA29" s="573" t="s">
        <v>152</v>
      </c>
      <c r="AB29" s="527"/>
      <c r="AC29" s="66"/>
      <c r="AD29" s="470"/>
      <c r="AE29" s="6"/>
      <c r="AF29" s="6"/>
      <c r="AG29" s="495"/>
      <c r="AH29" s="566"/>
      <c r="AI29" s="514"/>
      <c r="AJ29" s="515"/>
      <c r="AK29" s="508"/>
    </row>
    <row r="30" spans="1:37" ht="39.7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4"/>
      <c r="I30" s="515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/>
      <c r="X30" s="495"/>
      <c r="Y30" s="566"/>
      <c r="Z30" s="514"/>
      <c r="AA30" s="515"/>
      <c r="AB30" s="508"/>
      <c r="AC30" s="66"/>
      <c r="AD30" s="470"/>
      <c r="AE30" s="6"/>
      <c r="AF30" s="6"/>
      <c r="AG30" s="495"/>
      <c r="AH30" s="566"/>
      <c r="AI30" s="514"/>
      <c r="AJ30" s="515"/>
      <c r="AK30" s="508"/>
    </row>
    <row r="31" spans="1:37" ht="48.65" customHeight="1" x14ac:dyDescent="0.35">
      <c r="A31" s="1478">
        <v>44819</v>
      </c>
      <c r="B31" s="472">
        <v>1</v>
      </c>
      <c r="C31" s="493"/>
      <c r="D31" s="494"/>
      <c r="E31" s="494"/>
      <c r="F31" s="495"/>
      <c r="G31" s="566"/>
      <c r="H31" s="514"/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509"/>
      <c r="Z31" s="6"/>
      <c r="AA31" s="6"/>
      <c r="AB31" s="527"/>
      <c r="AC31" s="66"/>
      <c r="AD31" s="470"/>
      <c r="AE31" s="6"/>
      <c r="AF31" s="6"/>
      <c r="AG31" s="495"/>
      <c r="AH31" s="509"/>
      <c r="AI31" s="6"/>
      <c r="AJ31" s="6"/>
      <c r="AK31" s="527"/>
    </row>
    <row r="32" spans="1:37" ht="42.75" customHeight="1" x14ac:dyDescent="0.35">
      <c r="A32" s="1477"/>
      <c r="B32" s="472">
        <v>2</v>
      </c>
      <c r="C32" s="493"/>
      <c r="D32" s="494"/>
      <c r="E32" s="494">
        <v>40</v>
      </c>
      <c r="F32" s="495"/>
      <c r="G32" s="566"/>
      <c r="H32" s="514"/>
      <c r="I32" s="573" t="s">
        <v>152</v>
      </c>
      <c r="J32" s="568"/>
      <c r="K32" s="66"/>
      <c r="L32" s="470"/>
      <c r="M32" s="6"/>
      <c r="N32" s="6"/>
      <c r="O32" s="508"/>
      <c r="P32" s="509"/>
      <c r="Q32" s="6"/>
      <c r="R32" s="6"/>
      <c r="S32" s="627"/>
      <c r="T32" s="66"/>
      <c r="U32" s="470"/>
      <c r="V32" s="6"/>
      <c r="W32" s="6">
        <v>31</v>
      </c>
      <c r="X32" s="508"/>
      <c r="Y32" s="509"/>
      <c r="Z32" s="502"/>
      <c r="AA32" s="573" t="s">
        <v>152</v>
      </c>
      <c r="AB32" s="527"/>
      <c r="AC32" s="66"/>
      <c r="AD32" s="470"/>
      <c r="AE32" s="6"/>
      <c r="AF32" s="6"/>
      <c r="AG32" s="508"/>
      <c r="AH32" s="509"/>
      <c r="AI32" s="502"/>
      <c r="AJ32" s="6"/>
      <c r="AK32" s="508"/>
    </row>
    <row r="33" spans="1:37" ht="54" customHeight="1" x14ac:dyDescent="0.35">
      <c r="A33" s="1478">
        <v>44820</v>
      </c>
      <c r="B33" s="472">
        <v>1</v>
      </c>
      <c r="C33" s="493"/>
      <c r="D33" s="494"/>
      <c r="E33" s="494">
        <v>52</v>
      </c>
      <c r="F33" s="495"/>
      <c r="G33" s="566"/>
      <c r="H33" s="514"/>
      <c r="I33" s="573" t="s">
        <v>152</v>
      </c>
      <c r="J33" s="568"/>
      <c r="K33" s="66"/>
      <c r="L33" s="470"/>
      <c r="M33" s="6"/>
      <c r="N33" s="6"/>
      <c r="O33" s="508"/>
      <c r="P33" s="509"/>
      <c r="Q33" s="6"/>
      <c r="R33" s="6"/>
      <c r="S33" s="508"/>
      <c r="T33" s="66"/>
      <c r="U33" s="470"/>
      <c r="V33" s="6"/>
      <c r="W33" s="6">
        <v>60</v>
      </c>
      <c r="X33" s="508"/>
      <c r="Y33" s="509"/>
      <c r="Z33" s="6"/>
      <c r="AA33" s="502" t="s">
        <v>152</v>
      </c>
      <c r="AB33" s="508"/>
      <c r="AC33" s="66"/>
      <c r="AD33" s="470"/>
      <c r="AE33" s="6"/>
      <c r="AF33" s="6"/>
      <c r="AG33" s="508"/>
      <c r="AH33" s="509"/>
      <c r="AI33" s="502"/>
      <c r="AJ33" s="6"/>
      <c r="AK33" s="508"/>
    </row>
    <row r="34" spans="1:37" ht="26.5" customHeight="1" x14ac:dyDescent="0.35">
      <c r="A34" s="1477"/>
      <c r="B34" s="534">
        <v>2</v>
      </c>
      <c r="C34" s="494"/>
      <c r="D34" s="494"/>
      <c r="E34" s="494"/>
      <c r="F34" s="495"/>
      <c r="G34" s="566"/>
      <c r="H34" s="515"/>
      <c r="I34" s="515"/>
      <c r="J34" s="568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>
        <v>10</v>
      </c>
      <c r="X34" s="508"/>
      <c r="Y34" s="6"/>
      <c r="Z34" s="502"/>
      <c r="AA34" s="515" t="s">
        <v>152</v>
      </c>
      <c r="AB34" s="527"/>
      <c r="AC34" s="66"/>
      <c r="AD34" s="470"/>
      <c r="AE34" s="6"/>
      <c r="AF34" s="6"/>
      <c r="AG34" s="508"/>
      <c r="AH34" s="509"/>
      <c r="AI34" s="6"/>
      <c r="AJ34" s="6"/>
      <c r="AK34" s="508"/>
    </row>
    <row r="35" spans="1:37" ht="54" customHeight="1" x14ac:dyDescent="0.35">
      <c r="A35" s="1478">
        <v>44821</v>
      </c>
      <c r="B35" s="472">
        <v>1</v>
      </c>
      <c r="C35" s="494"/>
      <c r="D35" s="494"/>
      <c r="E35" s="508">
        <v>30</v>
      </c>
      <c r="F35" s="465"/>
      <c r="G35" s="465"/>
      <c r="H35" s="6"/>
      <c r="I35" s="502" t="s">
        <v>152</v>
      </c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508">
        <v>10</v>
      </c>
      <c r="X35" s="465"/>
      <c r="Y35" s="465"/>
      <c r="Z35" s="6"/>
      <c r="AA35" s="502" t="s">
        <v>152</v>
      </c>
      <c r="AB35" s="508"/>
      <c r="AC35" s="66"/>
      <c r="AD35" s="470"/>
      <c r="AE35" s="6"/>
      <c r="AF35" s="508"/>
      <c r="AG35" s="465"/>
      <c r="AH35" s="465"/>
      <c r="AI35" s="6"/>
      <c r="AJ35" s="502"/>
      <c r="AK35" s="508"/>
    </row>
    <row r="36" spans="1:37" ht="75" customHeight="1" x14ac:dyDescent="0.35">
      <c r="A36" s="1477"/>
      <c r="B36" s="472">
        <v>2</v>
      </c>
      <c r="C36" s="6"/>
      <c r="D36" s="6"/>
      <c r="E36" s="508">
        <v>40</v>
      </c>
      <c r="F36" s="465"/>
      <c r="G36" s="465"/>
      <c r="H36" s="502"/>
      <c r="I36" s="502" t="s">
        <v>152</v>
      </c>
      <c r="J36" s="527"/>
      <c r="K36" s="66"/>
      <c r="L36" s="465"/>
      <c r="M36" s="6"/>
      <c r="N36" s="508"/>
      <c r="O36" s="465"/>
      <c r="P36" s="465"/>
      <c r="Q36" s="502"/>
      <c r="R36" s="502"/>
      <c r="S36" s="527"/>
      <c r="T36" s="66"/>
      <c r="U36" s="470"/>
      <c r="V36" s="6"/>
      <c r="W36" s="508">
        <v>50</v>
      </c>
      <c r="X36" s="465"/>
      <c r="Y36" s="465"/>
      <c r="Z36" s="502"/>
      <c r="AA36" s="502" t="s">
        <v>152</v>
      </c>
      <c r="AB36" s="508"/>
      <c r="AC36" s="66"/>
      <c r="AD36" s="470"/>
      <c r="AE36" s="6"/>
      <c r="AF36" s="508"/>
      <c r="AG36" s="465"/>
      <c r="AH36" s="465"/>
      <c r="AI36" s="502"/>
      <c r="AJ36" s="502"/>
      <c r="AK36" s="508"/>
    </row>
    <row r="37" spans="1:37" ht="89.5" customHeight="1" x14ac:dyDescent="0.35">
      <c r="A37" s="1478">
        <v>44822</v>
      </c>
      <c r="B37" s="534">
        <v>1</v>
      </c>
      <c r="C37" s="494"/>
      <c r="D37" s="494"/>
      <c r="E37" s="6">
        <v>25</v>
      </c>
      <c r="F37" s="508"/>
      <c r="G37" s="469"/>
      <c r="H37" s="502"/>
      <c r="I37" s="502" t="s">
        <v>469</v>
      </c>
      <c r="J37" s="527"/>
      <c r="K37" s="66"/>
      <c r="L37" s="470"/>
      <c r="M37" s="6"/>
      <c r="N37" s="6"/>
      <c r="O37" s="508"/>
      <c r="P37" s="509"/>
      <c r="Q37" s="6"/>
      <c r="R37" s="6"/>
      <c r="S37" s="508"/>
      <c r="T37" s="66"/>
      <c r="U37" s="470"/>
      <c r="V37" s="6"/>
      <c r="W37" s="6">
        <v>20</v>
      </c>
      <c r="X37" s="508"/>
      <c r="Y37" s="509"/>
      <c r="Z37" s="502"/>
      <c r="AA37" s="502" t="s">
        <v>469</v>
      </c>
      <c r="AB37" s="527"/>
      <c r="AC37" s="66"/>
      <c r="AD37" s="470"/>
      <c r="AE37" s="6"/>
      <c r="AF37" s="6"/>
      <c r="AG37" s="508"/>
      <c r="AH37" s="509"/>
      <c r="AI37" s="6"/>
      <c r="AJ37" s="6"/>
      <c r="AK37" s="508"/>
    </row>
    <row r="38" spans="1:37" ht="42" customHeight="1" x14ac:dyDescent="0.35">
      <c r="A38" s="1477"/>
      <c r="B38" s="472">
        <v>2</v>
      </c>
      <c r="C38" s="493"/>
      <c r="D38" s="494"/>
      <c r="E38" s="494"/>
      <c r="F38" s="495">
        <v>73</v>
      </c>
      <c r="G38" s="566"/>
      <c r="H38" s="514"/>
      <c r="I38" s="6"/>
      <c r="J38" s="527" t="s">
        <v>466</v>
      </c>
      <c r="K38" s="66"/>
      <c r="L38" s="470"/>
      <c r="M38" s="6"/>
      <c r="N38" s="6"/>
      <c r="O38" s="508">
        <v>117</v>
      </c>
      <c r="P38" s="469"/>
      <c r="Q38" s="6"/>
      <c r="R38" s="6"/>
      <c r="S38" s="527" t="s">
        <v>466</v>
      </c>
      <c r="T38" s="66"/>
      <c r="U38" s="470"/>
      <c r="V38" s="6"/>
      <c r="W38" s="6"/>
      <c r="X38" s="508">
        <v>75</v>
      </c>
      <c r="Y38" s="509"/>
      <c r="Z38" s="502"/>
      <c r="AA38" s="6"/>
      <c r="AB38" s="527" t="s">
        <v>466</v>
      </c>
      <c r="AC38" s="66"/>
      <c r="AD38" s="470"/>
      <c r="AE38" s="6"/>
      <c r="AF38" s="6"/>
      <c r="AG38" s="508">
        <v>76</v>
      </c>
      <c r="AH38" s="509"/>
      <c r="AI38" s="6"/>
      <c r="AJ38" s="502"/>
      <c r="AK38" s="527" t="s">
        <v>466</v>
      </c>
    </row>
    <row r="39" spans="1:37" ht="39" customHeight="1" x14ac:dyDescent="0.35">
      <c r="A39" s="1478">
        <v>44823</v>
      </c>
      <c r="B39" s="472">
        <v>1</v>
      </c>
      <c r="C39" s="493"/>
      <c r="D39" s="494"/>
      <c r="E39" s="494"/>
      <c r="F39" s="495"/>
      <c r="G39" s="566"/>
      <c r="H39" s="514"/>
      <c r="I39" s="573"/>
      <c r="J39" s="568"/>
      <c r="K39" s="66"/>
      <c r="L39" s="470"/>
      <c r="M39" s="6"/>
      <c r="N39" s="6"/>
      <c r="O39" s="508"/>
      <c r="P39" s="509"/>
      <c r="Q39" s="6"/>
      <c r="R39" s="6"/>
      <c r="S39" s="508"/>
      <c r="T39" s="66"/>
      <c r="U39" s="470"/>
      <c r="V39" s="6"/>
      <c r="W39" s="6"/>
      <c r="X39" s="508"/>
      <c r="Y39" s="509"/>
      <c r="Z39" s="502"/>
      <c r="AA39" s="502"/>
      <c r="AB39" s="527"/>
      <c r="AC39" s="66"/>
      <c r="AD39" s="470"/>
      <c r="AE39" s="6"/>
      <c r="AF39" s="6"/>
      <c r="AG39" s="508"/>
      <c r="AH39" s="509"/>
      <c r="AI39" s="6"/>
      <c r="AJ39" s="6"/>
      <c r="AK39" s="508"/>
    </row>
    <row r="40" spans="1:37" ht="59.5" customHeight="1" x14ac:dyDescent="0.35">
      <c r="A40" s="1477"/>
      <c r="B40" s="472">
        <v>2</v>
      </c>
      <c r="C40" s="493"/>
      <c r="D40" s="494"/>
      <c r="E40" s="494">
        <v>15</v>
      </c>
      <c r="F40" s="508"/>
      <c r="G40" s="566"/>
      <c r="H40" s="514"/>
      <c r="I40" s="573" t="s">
        <v>152</v>
      </c>
      <c r="J40" s="527"/>
      <c r="K40" s="66"/>
      <c r="L40" s="470"/>
      <c r="M40" s="6"/>
      <c r="N40" s="6"/>
      <c r="O40" s="508"/>
      <c r="P40" s="509"/>
      <c r="Q40" s="6"/>
      <c r="R40" s="6"/>
      <c r="S40" s="527"/>
      <c r="T40" s="66"/>
      <c r="U40" s="470"/>
      <c r="V40" s="6"/>
      <c r="W40" s="6">
        <v>5</v>
      </c>
      <c r="X40" s="508"/>
      <c r="Y40" s="509"/>
      <c r="Z40" s="502"/>
      <c r="AA40" s="502"/>
      <c r="AB40" s="527"/>
      <c r="AC40" s="66"/>
      <c r="AD40" s="470"/>
      <c r="AE40" s="6"/>
      <c r="AF40" s="6"/>
      <c r="AG40" s="508"/>
      <c r="AH40" s="509"/>
      <c r="AI40" s="6"/>
      <c r="AJ40" s="6"/>
      <c r="AK40" s="527"/>
    </row>
    <row r="41" spans="1:37" ht="19.95" customHeight="1" x14ac:dyDescent="0.35">
      <c r="A41" s="1478">
        <v>44824</v>
      </c>
      <c r="B41" s="472">
        <v>1</v>
      </c>
      <c r="C41" s="493"/>
      <c r="D41" s="494"/>
      <c r="E41" s="494">
        <v>12</v>
      </c>
      <c r="F41" s="508"/>
      <c r="G41" s="566"/>
      <c r="H41" s="515"/>
      <c r="I41" s="573" t="s">
        <v>152</v>
      </c>
      <c r="J41" s="568"/>
      <c r="K41" s="66"/>
      <c r="L41" s="470"/>
      <c r="M41" s="6"/>
      <c r="N41" s="6"/>
      <c r="O41" s="508"/>
      <c r="P41" s="509"/>
      <c r="Q41" s="6"/>
      <c r="R41" s="6"/>
      <c r="S41" s="527"/>
      <c r="T41" s="66"/>
      <c r="U41" s="470"/>
      <c r="V41" s="6"/>
      <c r="W41" s="6"/>
      <c r="X41" s="508"/>
      <c r="Y41" s="509"/>
      <c r="Z41" s="502"/>
      <c r="AA41" s="502"/>
      <c r="AB41" s="508"/>
      <c r="AC41" s="66"/>
      <c r="AD41" s="470"/>
      <c r="AE41" s="6"/>
      <c r="AF41" s="6"/>
      <c r="AG41" s="508"/>
      <c r="AH41" s="509"/>
      <c r="AI41" s="502"/>
      <c r="AJ41" s="6"/>
      <c r="AK41" s="508"/>
    </row>
    <row r="42" spans="1:37" ht="19.95" customHeight="1" x14ac:dyDescent="0.35">
      <c r="A42" s="1477"/>
      <c r="B42" s="472">
        <v>2</v>
      </c>
      <c r="C42" s="494"/>
      <c r="D42" s="494"/>
      <c r="E42" s="494">
        <v>15</v>
      </c>
      <c r="F42" s="508"/>
      <c r="G42" s="566"/>
      <c r="H42" s="514"/>
      <c r="I42" s="573" t="s">
        <v>152</v>
      </c>
      <c r="J42" s="568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>
        <v>20</v>
      </c>
      <c r="X42" s="508"/>
      <c r="Y42" s="469"/>
      <c r="Z42" s="6"/>
      <c r="AA42" s="502" t="s">
        <v>152</v>
      </c>
      <c r="AB42" s="527"/>
      <c r="AC42" s="66"/>
      <c r="AD42" s="470"/>
      <c r="AE42" s="6"/>
      <c r="AF42" s="6"/>
      <c r="AG42" s="508"/>
      <c r="AH42" s="509"/>
      <c r="AI42" s="6"/>
      <c r="AJ42" s="6"/>
      <c r="AK42" s="508"/>
    </row>
    <row r="43" spans="1:37" ht="19.95" customHeight="1" x14ac:dyDescent="0.35">
      <c r="A43" s="1478">
        <v>44825</v>
      </c>
      <c r="B43" s="472">
        <v>1</v>
      </c>
      <c r="C43" s="494"/>
      <c r="D43" s="494"/>
      <c r="E43" s="494"/>
      <c r="F43" s="495"/>
      <c r="G43" s="514"/>
      <c r="H43" s="514"/>
      <c r="I43" s="515"/>
      <c r="J43" s="527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/>
      <c r="W43" s="6"/>
      <c r="X43" s="508"/>
      <c r="Y43" s="509"/>
      <c r="Z43" s="6"/>
      <c r="AA43" s="515"/>
      <c r="AB43" s="508"/>
      <c r="AC43" s="66"/>
      <c r="AD43" s="470"/>
      <c r="AE43" s="6"/>
      <c r="AF43" s="6"/>
      <c r="AG43" s="508"/>
      <c r="AH43" s="502"/>
      <c r="AI43" s="515"/>
      <c r="AJ43" s="6"/>
      <c r="AK43" s="508"/>
    </row>
    <row r="44" spans="1:37" ht="36" customHeight="1" x14ac:dyDescent="0.35">
      <c r="A44" s="1477"/>
      <c r="B44" s="472">
        <v>2</v>
      </c>
      <c r="C44" s="494"/>
      <c r="D44" s="494"/>
      <c r="E44" s="494">
        <v>25</v>
      </c>
      <c r="F44" s="495"/>
      <c r="G44" s="514"/>
      <c r="H44" s="514"/>
      <c r="I44" s="573" t="s">
        <v>152</v>
      </c>
      <c r="J44" s="527"/>
      <c r="K44" s="66"/>
      <c r="L44" s="470"/>
      <c r="M44" s="6"/>
      <c r="N44" s="6"/>
      <c r="O44" s="508"/>
      <c r="P44" s="509"/>
      <c r="Q44" s="6"/>
      <c r="R44" s="502"/>
      <c r="S44" s="627"/>
      <c r="T44" s="66"/>
      <c r="U44" s="470">
        <v>95</v>
      </c>
      <c r="V44" s="6"/>
      <c r="W44" s="494">
        <v>8</v>
      </c>
      <c r="X44" s="495"/>
      <c r="Y44" s="514" t="s">
        <v>470</v>
      </c>
      <c r="Z44" s="514"/>
      <c r="AA44" s="502" t="s">
        <v>152</v>
      </c>
      <c r="AB44" s="527"/>
      <c r="AC44" s="66"/>
      <c r="AD44" s="470"/>
      <c r="AE44" s="6"/>
      <c r="AF44" s="6">
        <v>10</v>
      </c>
      <c r="AG44" s="508"/>
      <c r="AH44" s="509"/>
      <c r="AI44" s="502"/>
      <c r="AJ44" s="502" t="s">
        <v>152</v>
      </c>
      <c r="AK44" s="508"/>
    </row>
    <row r="45" spans="1:37" ht="19.95" customHeight="1" x14ac:dyDescent="0.35">
      <c r="A45" s="1478">
        <v>44826</v>
      </c>
      <c r="B45" s="472">
        <v>1</v>
      </c>
      <c r="C45" s="494"/>
      <c r="D45" s="494"/>
      <c r="E45" s="494"/>
      <c r="F45" s="495"/>
      <c r="G45" s="514"/>
      <c r="H45" s="514"/>
      <c r="I45" s="515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09"/>
      <c r="Z45" s="6"/>
      <c r="AA45" s="502"/>
      <c r="AB45" s="508"/>
      <c r="AC45" s="66"/>
      <c r="AD45" s="470"/>
      <c r="AE45" s="6"/>
      <c r="AF45" s="6"/>
      <c r="AG45" s="508"/>
      <c r="AH45" s="509"/>
      <c r="AI45" s="502"/>
      <c r="AJ45" s="6"/>
      <c r="AK45" s="508"/>
    </row>
    <row r="46" spans="1:37" ht="46.2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5"/>
      <c r="I46" s="573"/>
      <c r="J46" s="527"/>
      <c r="K46" s="66"/>
      <c r="L46" s="470"/>
      <c r="M46" s="6"/>
      <c r="N46" s="6"/>
      <c r="O46" s="633"/>
      <c r="P46" s="509"/>
      <c r="Q46" s="515"/>
      <c r="R46" s="6"/>
      <c r="S46" s="527"/>
      <c r="T46" s="66"/>
      <c r="U46" s="470"/>
      <c r="V46" s="6"/>
      <c r="W46" s="6"/>
      <c r="X46" s="508"/>
      <c r="Y46" s="509"/>
      <c r="Z46" s="6"/>
      <c r="AA46" s="502"/>
      <c r="AB46" s="527"/>
      <c r="AC46" s="66"/>
      <c r="AD46" s="470"/>
      <c r="AE46" s="6"/>
      <c r="AF46" s="6"/>
      <c r="AG46" s="508"/>
      <c r="AH46" s="469"/>
      <c r="AI46" s="6"/>
      <c r="AJ46" s="6"/>
      <c r="AK46" s="527"/>
    </row>
    <row r="47" spans="1:37" ht="19.95" customHeight="1" x14ac:dyDescent="0.35">
      <c r="A47" s="1478">
        <v>44827</v>
      </c>
      <c r="B47" s="472">
        <v>1</v>
      </c>
      <c r="C47" s="494"/>
      <c r="D47" s="494"/>
      <c r="E47" s="494"/>
      <c r="F47" s="495"/>
      <c r="G47" s="515"/>
      <c r="H47" s="514"/>
      <c r="I47" s="515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09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6"/>
      <c r="AK47" s="508"/>
    </row>
    <row r="48" spans="1:37" ht="42.75" customHeight="1" x14ac:dyDescent="0.35">
      <c r="A48" s="1477"/>
      <c r="B48" s="472">
        <v>2</v>
      </c>
      <c r="C48" s="494"/>
      <c r="D48" s="494"/>
      <c r="E48" s="494">
        <v>22</v>
      </c>
      <c r="F48" s="495"/>
      <c r="G48" s="515"/>
      <c r="H48" s="515"/>
      <c r="I48" s="573" t="s">
        <v>152</v>
      </c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>
        <v>30</v>
      </c>
      <c r="X48" s="508"/>
      <c r="Y48" s="469"/>
      <c r="Z48" s="6"/>
      <c r="AA48" s="502" t="s">
        <v>152</v>
      </c>
      <c r="AB48" s="508"/>
      <c r="AC48" s="66"/>
      <c r="AD48" s="470"/>
      <c r="AE48" s="6"/>
      <c r="AF48" s="6"/>
      <c r="AG48" s="508"/>
      <c r="AH48" s="509"/>
      <c r="AI48" s="502"/>
      <c r="AJ48" s="6"/>
      <c r="AK48" s="508"/>
    </row>
    <row r="49" spans="1:37" ht="19.95" customHeight="1" x14ac:dyDescent="0.35">
      <c r="A49" s="1478">
        <v>44828</v>
      </c>
      <c r="B49" s="472">
        <v>1</v>
      </c>
      <c r="C49" s="494"/>
      <c r="D49" s="494">
        <v>30</v>
      </c>
      <c r="E49" s="494">
        <v>20</v>
      </c>
      <c r="F49" s="495"/>
      <c r="G49" s="515"/>
      <c r="H49" s="514" t="s">
        <v>276</v>
      </c>
      <c r="I49" s="573" t="s">
        <v>152</v>
      </c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>
        <v>10</v>
      </c>
      <c r="W49" s="6">
        <v>22</v>
      </c>
      <c r="X49" s="508"/>
      <c r="Y49" s="509"/>
      <c r="Z49" s="502" t="s">
        <v>471</v>
      </c>
      <c r="AA49" s="502" t="s">
        <v>152</v>
      </c>
      <c r="AB49" s="527"/>
      <c r="AC49" s="66"/>
      <c r="AD49" s="470"/>
      <c r="AE49" s="6">
        <v>10</v>
      </c>
      <c r="AF49" s="6"/>
      <c r="AG49" s="508"/>
      <c r="AH49" s="509"/>
      <c r="AI49" s="502" t="s">
        <v>471</v>
      </c>
      <c r="AJ49" s="6"/>
      <c r="AK49" s="508"/>
    </row>
    <row r="50" spans="1:37" ht="19.95" customHeight="1" x14ac:dyDescent="0.35">
      <c r="A50" s="1477"/>
      <c r="B50" s="472">
        <v>2</v>
      </c>
      <c r="C50" s="494"/>
      <c r="D50" s="494"/>
      <c r="E50" s="494">
        <v>27</v>
      </c>
      <c r="F50" s="495"/>
      <c r="G50" s="514"/>
      <c r="H50" s="514"/>
      <c r="I50" s="515" t="s">
        <v>472</v>
      </c>
      <c r="J50" s="527"/>
      <c r="K50" s="66"/>
      <c r="L50" s="470"/>
      <c r="M50" s="6"/>
      <c r="N50" s="6"/>
      <c r="O50" s="508"/>
      <c r="P50" s="509"/>
      <c r="Q50" s="502"/>
      <c r="R50" s="502"/>
      <c r="S50" s="627"/>
      <c r="T50" s="66"/>
      <c r="U50" s="470"/>
      <c r="V50" s="6"/>
      <c r="W50" s="6">
        <v>22</v>
      </c>
      <c r="X50" s="508"/>
      <c r="Y50" s="469"/>
      <c r="Z50" s="502"/>
      <c r="AA50" s="502" t="s">
        <v>152</v>
      </c>
      <c r="AB50" s="508"/>
      <c r="AC50" s="66"/>
      <c r="AD50" s="470"/>
      <c r="AE50" s="6"/>
      <c r="AF50" s="6">
        <v>18</v>
      </c>
      <c r="AG50" s="508"/>
      <c r="AH50" s="509"/>
      <c r="AI50" s="6"/>
      <c r="AJ50" s="502" t="s">
        <v>152</v>
      </c>
      <c r="AK50" s="508"/>
    </row>
    <row r="51" spans="1:37" ht="19.95" customHeight="1" x14ac:dyDescent="0.35">
      <c r="A51" s="1478">
        <v>44829</v>
      </c>
      <c r="B51" s="472">
        <v>1</v>
      </c>
      <c r="C51" s="494"/>
      <c r="D51" s="494">
        <v>15</v>
      </c>
      <c r="E51" s="494">
        <v>20</v>
      </c>
      <c r="F51" s="495"/>
      <c r="G51" s="514"/>
      <c r="H51" s="514" t="s">
        <v>276</v>
      </c>
      <c r="I51" s="573" t="s">
        <v>152</v>
      </c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>
        <v>30</v>
      </c>
      <c r="X51" s="508"/>
      <c r="Y51" s="469"/>
      <c r="Z51" s="6"/>
      <c r="AA51" s="502" t="s">
        <v>152</v>
      </c>
      <c r="AB51" s="508"/>
      <c r="AC51" s="66"/>
      <c r="AD51" s="470"/>
      <c r="AE51" s="6"/>
      <c r="AF51" s="6"/>
      <c r="AG51" s="508"/>
      <c r="AH51" s="509"/>
      <c r="AI51" s="6"/>
      <c r="AJ51" s="6"/>
      <c r="AK51" s="508"/>
    </row>
    <row r="52" spans="1:37" ht="31.95" customHeight="1" x14ac:dyDescent="0.35">
      <c r="A52" s="1477"/>
      <c r="B52" s="472">
        <v>2</v>
      </c>
      <c r="C52" s="494"/>
      <c r="D52" s="494"/>
      <c r="E52" s="494"/>
      <c r="F52" s="495"/>
      <c r="G52" s="514"/>
      <c r="H52" s="515"/>
      <c r="I52" s="573"/>
      <c r="J52" s="527"/>
      <c r="K52" s="66"/>
      <c r="L52" s="470">
        <v>320</v>
      </c>
      <c r="M52" s="6"/>
      <c r="N52" s="6"/>
      <c r="O52" s="508"/>
      <c r="P52" s="509" t="s">
        <v>473</v>
      </c>
      <c r="Q52" s="6"/>
      <c r="R52" s="6"/>
      <c r="S52" s="527"/>
      <c r="T52" s="66"/>
      <c r="U52" s="470"/>
      <c r="V52" s="6"/>
      <c r="W52" s="6"/>
      <c r="X52" s="508"/>
      <c r="Y52" s="469"/>
      <c r="Z52" s="502"/>
      <c r="AA52" s="502"/>
      <c r="AB52" s="527"/>
      <c r="AC52" s="66"/>
      <c r="AD52" s="470"/>
      <c r="AE52" s="6"/>
      <c r="AF52" s="6"/>
      <c r="AG52" s="508"/>
      <c r="AH52" s="509"/>
      <c r="AI52" s="6"/>
      <c r="AJ52" s="6"/>
      <c r="AK52" s="508"/>
    </row>
    <row r="53" spans="1:37" ht="73.2" customHeight="1" x14ac:dyDescent="0.35">
      <c r="A53" s="1478">
        <v>44830</v>
      </c>
      <c r="B53" s="472">
        <v>1</v>
      </c>
      <c r="C53" s="494"/>
      <c r="D53" s="494"/>
      <c r="E53" s="494">
        <v>10</v>
      </c>
      <c r="F53" s="495"/>
      <c r="G53" s="514"/>
      <c r="H53" s="514"/>
      <c r="I53" s="573" t="s">
        <v>152</v>
      </c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>
        <v>22</v>
      </c>
      <c r="X53" s="508"/>
      <c r="Y53" s="469"/>
      <c r="Z53" s="6"/>
      <c r="AA53" s="502" t="s">
        <v>152</v>
      </c>
      <c r="AB53" s="508"/>
      <c r="AC53" s="66"/>
      <c r="AD53" s="470"/>
      <c r="AE53" s="502"/>
      <c r="AF53" s="6">
        <v>28</v>
      </c>
      <c r="AG53" s="508"/>
      <c r="AH53" s="509"/>
      <c r="AI53" s="502"/>
      <c r="AJ53" s="502" t="s">
        <v>152</v>
      </c>
      <c r="AK53" s="508"/>
    </row>
    <row r="54" spans="1:37" ht="76.95" customHeight="1" x14ac:dyDescent="0.35">
      <c r="A54" s="1477"/>
      <c r="B54" s="500">
        <v>2</v>
      </c>
      <c r="C54" s="494"/>
      <c r="D54" s="494"/>
      <c r="E54" s="494"/>
      <c r="F54" s="495">
        <v>310</v>
      </c>
      <c r="G54" s="514"/>
      <c r="H54" s="514"/>
      <c r="I54" s="514"/>
      <c r="J54" s="527" t="s">
        <v>474</v>
      </c>
      <c r="K54" s="66"/>
      <c r="L54" s="470"/>
      <c r="M54" s="6"/>
      <c r="N54" s="6"/>
      <c r="O54" s="495">
        <v>310</v>
      </c>
      <c r="P54" s="514"/>
      <c r="Q54" s="514"/>
      <c r="R54" s="514"/>
      <c r="S54" s="527" t="s">
        <v>474</v>
      </c>
      <c r="T54" s="66"/>
      <c r="U54" s="470"/>
      <c r="V54" s="6">
        <v>40</v>
      </c>
      <c r="W54" s="6">
        <v>9</v>
      </c>
      <c r="X54" s="495">
        <v>310</v>
      </c>
      <c r="Y54" s="514"/>
      <c r="Z54" s="515" t="s">
        <v>475</v>
      </c>
      <c r="AA54" s="514" t="s">
        <v>476</v>
      </c>
      <c r="AB54" s="527" t="s">
        <v>474</v>
      </c>
      <c r="AC54" s="66"/>
      <c r="AD54" s="470"/>
      <c r="AE54" s="6"/>
      <c r="AF54" s="6"/>
      <c r="AG54" s="495">
        <v>310</v>
      </c>
      <c r="AH54" s="514"/>
      <c r="AI54" s="514"/>
      <c r="AJ54" s="514"/>
      <c r="AK54" s="527" t="s">
        <v>474</v>
      </c>
    </row>
    <row r="55" spans="1:37" ht="31.95" customHeight="1" x14ac:dyDescent="0.35">
      <c r="A55" s="1478">
        <v>44831</v>
      </c>
      <c r="B55" s="472">
        <v>1</v>
      </c>
      <c r="C55" s="493"/>
      <c r="D55" s="494"/>
      <c r="E55" s="494">
        <v>39</v>
      </c>
      <c r="F55" s="495"/>
      <c r="G55" s="514"/>
      <c r="H55" s="514"/>
      <c r="I55" s="573" t="s">
        <v>152</v>
      </c>
      <c r="J55" s="56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>
        <v>50</v>
      </c>
      <c r="X55" s="508"/>
      <c r="Y55" s="509"/>
      <c r="Z55" s="514"/>
      <c r="AA55" s="502" t="s">
        <v>152</v>
      </c>
      <c r="AB55" s="527"/>
      <c r="AC55" s="66"/>
      <c r="AD55" s="470"/>
      <c r="AE55" s="6"/>
      <c r="AF55" s="6">
        <v>12</v>
      </c>
      <c r="AG55" s="508"/>
      <c r="AH55" s="509"/>
      <c r="AI55" s="6"/>
      <c r="AJ55" s="502" t="s">
        <v>152</v>
      </c>
      <c r="AK55" s="508"/>
    </row>
    <row r="56" spans="1:37" ht="97.95" customHeight="1" x14ac:dyDescent="0.35">
      <c r="A56" s="1477"/>
      <c r="B56" s="500">
        <v>2</v>
      </c>
      <c r="C56" s="493"/>
      <c r="D56" s="494"/>
      <c r="E56" s="494"/>
      <c r="F56" s="495">
        <v>338</v>
      </c>
      <c r="G56" s="515"/>
      <c r="H56" s="514"/>
      <c r="I56" s="515"/>
      <c r="J56" s="527" t="s">
        <v>477</v>
      </c>
      <c r="K56" s="66"/>
      <c r="L56" s="470"/>
      <c r="M56" s="6"/>
      <c r="N56" s="6"/>
      <c r="O56" s="495">
        <v>338</v>
      </c>
      <c r="P56" s="515"/>
      <c r="Q56" s="514"/>
      <c r="R56" s="515"/>
      <c r="S56" s="527" t="s">
        <v>477</v>
      </c>
      <c r="T56" s="66"/>
      <c r="U56" s="470"/>
      <c r="V56" s="6"/>
      <c r="W56" s="6"/>
      <c r="X56" s="495">
        <v>338</v>
      </c>
      <c r="Y56" s="515"/>
      <c r="Z56" s="514"/>
      <c r="AA56" s="515"/>
      <c r="AB56" s="527" t="s">
        <v>477</v>
      </c>
      <c r="AC56" s="66"/>
      <c r="AD56" s="470"/>
      <c r="AE56" s="6"/>
      <c r="AF56" s="6"/>
      <c r="AG56" s="495">
        <v>338</v>
      </c>
      <c r="AH56" s="515"/>
      <c r="AI56" s="514"/>
      <c r="AJ56" s="515"/>
      <c r="AK56" s="527" t="s">
        <v>477</v>
      </c>
    </row>
    <row r="57" spans="1:37" ht="45.65" customHeight="1" x14ac:dyDescent="0.35">
      <c r="A57" s="1478">
        <v>44832</v>
      </c>
      <c r="B57" s="472">
        <v>1</v>
      </c>
      <c r="C57" s="493"/>
      <c r="D57" s="494"/>
      <c r="E57" s="494"/>
      <c r="F57" s="495">
        <v>80</v>
      </c>
      <c r="G57" s="515"/>
      <c r="H57" s="514"/>
      <c r="I57" s="515"/>
      <c r="J57" s="527" t="s">
        <v>478</v>
      </c>
      <c r="K57" s="66"/>
      <c r="L57" s="470"/>
      <c r="M57" s="6"/>
      <c r="N57" s="6"/>
      <c r="O57" s="495">
        <v>80</v>
      </c>
      <c r="P57" s="515"/>
      <c r="Q57" s="514"/>
      <c r="R57" s="515"/>
      <c r="S57" s="527" t="s">
        <v>478</v>
      </c>
      <c r="T57" s="66"/>
      <c r="U57" s="470"/>
      <c r="V57" s="6"/>
      <c r="W57" s="6"/>
      <c r="X57" s="495">
        <v>80</v>
      </c>
      <c r="Y57" s="515"/>
      <c r="Z57" s="514"/>
      <c r="AA57" s="515"/>
      <c r="AB57" s="527" t="s">
        <v>478</v>
      </c>
      <c r="AC57" s="66"/>
      <c r="AD57" s="470"/>
      <c r="AE57" s="6"/>
      <c r="AF57" s="6"/>
      <c r="AG57" s="495">
        <v>80</v>
      </c>
      <c r="AH57" s="515"/>
      <c r="AI57" s="514"/>
      <c r="AJ57" s="515"/>
      <c r="AK57" s="527" t="s">
        <v>478</v>
      </c>
    </row>
    <row r="58" spans="1:37" ht="39.65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515"/>
      <c r="J58" s="527"/>
      <c r="K58" s="66"/>
      <c r="L58" s="470"/>
      <c r="M58" s="6"/>
      <c r="N58" s="6"/>
      <c r="O58" s="508"/>
      <c r="P58" s="509"/>
      <c r="Q58" s="6"/>
      <c r="R58" s="6"/>
      <c r="S58" s="527"/>
      <c r="T58" s="66"/>
      <c r="U58" s="470"/>
      <c r="V58" s="6"/>
      <c r="W58" s="6"/>
      <c r="X58" s="508"/>
      <c r="Y58" s="509"/>
      <c r="Z58" s="502"/>
      <c r="AA58" s="515"/>
      <c r="AB58" s="508"/>
      <c r="AC58" s="66"/>
      <c r="AD58" s="470"/>
      <c r="AE58" s="6"/>
      <c r="AF58" s="6"/>
      <c r="AG58" s="508"/>
      <c r="AH58" s="509"/>
      <c r="AI58" s="6"/>
      <c r="AJ58" s="6"/>
      <c r="AK58" s="508"/>
    </row>
    <row r="59" spans="1:37" ht="34.200000000000003" customHeight="1" x14ac:dyDescent="0.35">
      <c r="A59" s="1478">
        <v>44833</v>
      </c>
      <c r="B59" s="472">
        <v>1</v>
      </c>
      <c r="C59" s="493"/>
      <c r="D59" s="494"/>
      <c r="E59" s="494">
        <v>55</v>
      </c>
      <c r="F59" s="495"/>
      <c r="G59" s="514"/>
      <c r="H59" s="514"/>
      <c r="I59" s="573" t="s">
        <v>152</v>
      </c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>
        <v>35</v>
      </c>
      <c r="X59" s="508"/>
      <c r="Y59" s="509"/>
      <c r="Z59" s="6"/>
      <c r="AA59" s="502" t="s">
        <v>152</v>
      </c>
      <c r="AB59" s="508"/>
      <c r="AC59" s="66"/>
      <c r="AD59" s="470"/>
      <c r="AE59" s="6"/>
      <c r="AF59" s="6"/>
      <c r="AG59" s="508"/>
      <c r="AH59" s="469"/>
      <c r="AI59" s="6"/>
      <c r="AJ59" s="515"/>
      <c r="AK59" s="508"/>
    </row>
    <row r="60" spans="1:37" ht="53.5" customHeight="1" x14ac:dyDescent="0.35">
      <c r="A60" s="1477"/>
      <c r="B60" s="500">
        <v>2</v>
      </c>
      <c r="C60" s="493"/>
      <c r="D60" s="494"/>
      <c r="E60" s="494">
        <v>30</v>
      </c>
      <c r="F60" s="495"/>
      <c r="G60" s="514"/>
      <c r="H60" s="515"/>
      <c r="I60" s="573" t="s">
        <v>152</v>
      </c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>
        <v>28</v>
      </c>
      <c r="X60" s="508"/>
      <c r="Y60" s="469"/>
      <c r="Z60" s="502"/>
      <c r="AA60" s="502" t="s">
        <v>152</v>
      </c>
      <c r="AB60" s="527"/>
      <c r="AC60" s="66"/>
      <c r="AD60" s="470"/>
      <c r="AE60" s="6"/>
      <c r="AF60" s="6">
        <v>28</v>
      </c>
      <c r="AG60" s="508"/>
      <c r="AH60" s="509"/>
      <c r="AI60" s="6"/>
      <c r="AJ60" s="502" t="s">
        <v>152</v>
      </c>
      <c r="AK60" s="527"/>
    </row>
    <row r="61" spans="1:37" ht="19.95" customHeight="1" x14ac:dyDescent="0.35">
      <c r="A61" s="1478">
        <v>44834</v>
      </c>
      <c r="B61" s="472">
        <v>1</v>
      </c>
      <c r="C61" s="618"/>
      <c r="D61" s="619"/>
      <c r="E61" s="494">
        <v>45</v>
      </c>
      <c r="F61" s="620"/>
      <c r="G61" s="514"/>
      <c r="H61" s="576"/>
      <c r="I61" s="573" t="s">
        <v>152</v>
      </c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>
        <v>37</v>
      </c>
      <c r="X61" s="508"/>
      <c r="Y61" s="469"/>
      <c r="Z61" s="502"/>
      <c r="AA61" s="502" t="s">
        <v>152</v>
      </c>
      <c r="AB61" s="624"/>
      <c r="AC61" s="66"/>
      <c r="AD61" s="470"/>
      <c r="AE61" s="6"/>
      <c r="AF61" s="6">
        <v>43</v>
      </c>
      <c r="AG61" s="508"/>
      <c r="AH61" s="509"/>
      <c r="AI61" s="6"/>
      <c r="AJ61" s="502" t="s">
        <v>152</v>
      </c>
      <c r="AK61" s="624"/>
    </row>
    <row r="62" spans="1:37" ht="19.95" customHeight="1" x14ac:dyDescent="0.35">
      <c r="A62" s="1477"/>
      <c r="B62" s="500">
        <v>2</v>
      </c>
      <c r="C62" s="618"/>
      <c r="D62" s="619"/>
      <c r="E62" s="619">
        <v>12</v>
      </c>
      <c r="F62" s="620"/>
      <c r="G62" s="617"/>
      <c r="H62" s="576"/>
      <c r="I62" s="573" t="s">
        <v>152</v>
      </c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>
        <v>66</v>
      </c>
      <c r="X62" s="508"/>
      <c r="Y62" s="469"/>
      <c r="Z62" s="502"/>
      <c r="AA62" s="502" t="s">
        <v>152</v>
      </c>
      <c r="AB62" s="624"/>
      <c r="AC62" s="66"/>
      <c r="AD62" s="470"/>
      <c r="AE62" s="6"/>
      <c r="AF62" s="6">
        <v>63</v>
      </c>
      <c r="AG62" s="508"/>
      <c r="AH62" s="509"/>
      <c r="AI62" s="6"/>
      <c r="AJ62" s="502" t="s">
        <v>152</v>
      </c>
      <c r="AK62" s="624"/>
    </row>
    <row r="63" spans="1:37" ht="19.95" customHeight="1" x14ac:dyDescent="0.35">
      <c r="A63" s="1478"/>
      <c r="B63" s="472">
        <v>1</v>
      </c>
      <c r="C63" s="587"/>
      <c r="D63" s="588"/>
      <c r="E63" s="588"/>
      <c r="F63" s="589"/>
      <c r="G63" s="598"/>
      <c r="H63" s="590"/>
      <c r="I63" s="515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6"/>
      <c r="AB63" s="563"/>
      <c r="AC63" s="66"/>
      <c r="AD63" s="470"/>
      <c r="AE63" s="6"/>
      <c r="AF63" s="6"/>
      <c r="AG63" s="495"/>
      <c r="AH63" s="566"/>
      <c r="AI63" s="514"/>
      <c r="AJ63" s="514"/>
      <c r="AK63" s="586"/>
    </row>
    <row r="64" spans="1:37" ht="19.9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</row>
    <row r="65" spans="1:33" x14ac:dyDescent="0.35">
      <c r="A65" s="423" t="s">
        <v>225</v>
      </c>
      <c r="C65" s="631">
        <f>SUM(C3:C64)</f>
        <v>0</v>
      </c>
      <c r="D65" s="65">
        <f>SUM(D3:D64)</f>
        <v>67</v>
      </c>
      <c r="E65" s="631">
        <f>SUM(E3:E64)</f>
        <v>554</v>
      </c>
      <c r="F65" s="65">
        <f>SUM(F3:F64)</f>
        <v>11904</v>
      </c>
      <c r="L65" s="65">
        <f>SUM(L3:L64)</f>
        <v>320</v>
      </c>
      <c r="M65" s="65">
        <f>SUM(M3:M64)</f>
        <v>10</v>
      </c>
      <c r="N65" s="65">
        <f>SUM(N3:N64)</f>
        <v>0</v>
      </c>
      <c r="O65" s="65">
        <f>SUM(O3:O64)</f>
        <v>11963</v>
      </c>
      <c r="U65" s="65">
        <f>SUM(U3:U64)</f>
        <v>95</v>
      </c>
      <c r="V65" s="65">
        <f>SUM(V3:V64)</f>
        <v>60</v>
      </c>
      <c r="W65" s="65">
        <f>SUM(W3:W64)</f>
        <v>627</v>
      </c>
      <c r="X65" s="65">
        <f>SUM(X3:X64)</f>
        <v>11923</v>
      </c>
      <c r="AD65" s="65">
        <f>SUM(AD3:AD64)</f>
        <v>79</v>
      </c>
      <c r="AE65" s="65">
        <f>SUM(AE3:AE64)</f>
        <v>20</v>
      </c>
      <c r="AF65" s="65">
        <f>SUM(AF3:AF64)</f>
        <v>202</v>
      </c>
      <c r="AG65" s="65">
        <f>SUM(AG3:AG64)</f>
        <v>11916</v>
      </c>
    </row>
    <row r="73" spans="1:33" ht="14.6" thickBot="1" x14ac:dyDescent="0.4"/>
    <row r="74" spans="1:3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3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33" ht="21.75" customHeight="1" x14ac:dyDescent="0.4">
      <c r="B76" s="541" t="s">
        <v>218</v>
      </c>
      <c r="C76" s="542">
        <f>C65</f>
        <v>0</v>
      </c>
      <c r="D76" s="543">
        <f>C76/60</f>
        <v>0</v>
      </c>
      <c r="E76" s="542">
        <f>D65</f>
        <v>67</v>
      </c>
      <c r="F76" s="544">
        <f>E76/60</f>
        <v>1.1166666666666667</v>
      </c>
      <c r="G76" s="542">
        <f>E65</f>
        <v>554</v>
      </c>
      <c r="H76" s="543">
        <f>G76/60</f>
        <v>9.2333333333333325</v>
      </c>
      <c r="I76" s="542">
        <f>F65</f>
        <v>11904</v>
      </c>
      <c r="J76" s="543">
        <f>I76/60</f>
        <v>198.4</v>
      </c>
    </row>
    <row r="77" spans="1:33" ht="19.5" customHeight="1" x14ac:dyDescent="0.4">
      <c r="B77" s="541" t="s">
        <v>219</v>
      </c>
      <c r="C77" s="545">
        <f>L65</f>
        <v>320</v>
      </c>
      <c r="D77" s="546">
        <f t="shared" ref="D77:F79" si="0">C77/60</f>
        <v>5.333333333333333</v>
      </c>
      <c r="E77" s="545">
        <f>M65</f>
        <v>10</v>
      </c>
      <c r="F77" s="547">
        <f t="shared" si="0"/>
        <v>0.16666666666666666</v>
      </c>
      <c r="G77" s="545">
        <f>N65</f>
        <v>0</v>
      </c>
      <c r="H77" s="546">
        <f t="shared" ref="H77:J79" si="1">G77/60</f>
        <v>0</v>
      </c>
      <c r="I77" s="545">
        <f>O65</f>
        <v>11963</v>
      </c>
      <c r="J77" s="546">
        <f t="shared" si="1"/>
        <v>199.38333333333333</v>
      </c>
    </row>
    <row r="78" spans="1:33" ht="20.25" customHeight="1" x14ac:dyDescent="0.4">
      <c r="B78" s="541" t="s">
        <v>220</v>
      </c>
      <c r="C78" s="545">
        <f>U65</f>
        <v>95</v>
      </c>
      <c r="D78" s="546">
        <f t="shared" si="0"/>
        <v>1.5833333333333333</v>
      </c>
      <c r="E78" s="545">
        <f>V65</f>
        <v>60</v>
      </c>
      <c r="F78" s="547">
        <f t="shared" si="0"/>
        <v>1</v>
      </c>
      <c r="G78" s="545">
        <f>W65</f>
        <v>627</v>
      </c>
      <c r="H78" s="546">
        <f t="shared" si="1"/>
        <v>10.45</v>
      </c>
      <c r="I78" s="545">
        <f>X65</f>
        <v>11923</v>
      </c>
      <c r="J78" s="546">
        <f t="shared" si="1"/>
        <v>198.71666666666667</v>
      </c>
    </row>
    <row r="79" spans="1:33" ht="22.5" customHeight="1" thickBot="1" x14ac:dyDescent="0.45">
      <c r="B79" s="541" t="s">
        <v>221</v>
      </c>
      <c r="C79" s="548">
        <f>AD65</f>
        <v>79</v>
      </c>
      <c r="D79" s="549">
        <f t="shared" si="0"/>
        <v>1.3166666666666667</v>
      </c>
      <c r="E79" s="548">
        <f>AE65</f>
        <v>20</v>
      </c>
      <c r="F79" s="550">
        <f t="shared" si="0"/>
        <v>0.33333333333333331</v>
      </c>
      <c r="G79" s="548">
        <f>AF65</f>
        <v>202</v>
      </c>
      <c r="H79" s="549">
        <f t="shared" si="1"/>
        <v>3.3666666666666667</v>
      </c>
      <c r="I79" s="548">
        <f>AG65</f>
        <v>11916</v>
      </c>
      <c r="J79" s="549">
        <f t="shared" si="1"/>
        <v>198.6</v>
      </c>
    </row>
    <row r="80" spans="1:33" ht="18.45" thickBot="1" x14ac:dyDescent="0.5">
      <c r="B80" s="354"/>
      <c r="C80" s="255"/>
      <c r="D80" s="255"/>
      <c r="E80" s="255"/>
      <c r="F80" s="255"/>
      <c r="G80" s="255"/>
      <c r="H80" s="255"/>
      <c r="I80" s="255"/>
      <c r="J80" s="255"/>
    </row>
    <row r="81" spans="2:10" ht="18.45" thickBot="1" x14ac:dyDescent="0.5">
      <c r="B81" s="551" t="s">
        <v>217</v>
      </c>
      <c r="C81" s="556"/>
      <c r="D81" s="557">
        <f>SUM(D76:D80)</f>
        <v>8.2333333333333325</v>
      </c>
      <c r="E81" s="556"/>
      <c r="F81" s="557">
        <f>SUM(F76:F80)</f>
        <v>2.6166666666666667</v>
      </c>
      <c r="G81" s="556"/>
      <c r="H81" s="557">
        <f>SUM(H76:H80)</f>
        <v>23.049999999999997</v>
      </c>
      <c r="I81" s="556"/>
      <c r="J81" s="558">
        <f>AVERAGE(J76:J80)</f>
        <v>198.77500000000001</v>
      </c>
    </row>
  </sheetData>
  <mergeCells count="43">
    <mergeCell ref="I74:J74"/>
    <mergeCell ref="A59:A60"/>
    <mergeCell ref="A61:A62"/>
    <mergeCell ref="A63:A64"/>
    <mergeCell ref="C74:D74"/>
    <mergeCell ref="E74:F74"/>
    <mergeCell ref="G74:H74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D1:AG1"/>
    <mergeCell ref="AH1:AK1"/>
    <mergeCell ref="A3:A4"/>
    <mergeCell ref="A5:A6"/>
    <mergeCell ref="A7:A8"/>
    <mergeCell ref="U1:X1"/>
    <mergeCell ref="Y1:AB1"/>
    <mergeCell ref="A9:A10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T82"/>
  <sheetViews>
    <sheetView zoomScale="55" zoomScaleNormal="55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AQ53" sqref="AQ53"/>
    </sheetView>
  </sheetViews>
  <sheetFormatPr defaultColWidth="8.84375" defaultRowHeight="14.15" x14ac:dyDescent="0.35"/>
  <cols>
    <col min="1" max="1" width="14.53515625" style="423" customWidth="1"/>
    <col min="2" max="2" width="15.69140625" style="65" customWidth="1"/>
    <col min="3" max="3" width="13.15234375" style="423" customWidth="1"/>
    <col min="4" max="4" width="12.84375" style="423" customWidth="1"/>
    <col min="5" max="5" width="15.69140625" style="423" customWidth="1"/>
    <col min="6" max="6" width="16.84375" style="423" customWidth="1"/>
    <col min="7" max="7" width="21.15234375" style="423" customWidth="1"/>
    <col min="8" max="8" width="28.3828125" style="423" customWidth="1"/>
    <col min="9" max="9" width="30.3828125" style="423" customWidth="1"/>
    <col min="10" max="10" width="24.53515625" style="423" customWidth="1"/>
    <col min="11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4.3046875" style="423" customWidth="1"/>
    <col min="20" max="24" width="10.69140625" style="423" customWidth="1"/>
    <col min="25" max="25" width="28" style="423" customWidth="1"/>
    <col min="26" max="26" width="23.84375" style="423" customWidth="1"/>
    <col min="27" max="27" width="32.3828125" style="423" customWidth="1"/>
    <col min="28" max="28" width="21.15234375" style="423" customWidth="1"/>
    <col min="29" max="33" width="10.69140625" style="423" customWidth="1"/>
    <col min="34" max="34" width="30.3828125" style="423" customWidth="1"/>
    <col min="35" max="35" width="25.3828125" style="423" customWidth="1"/>
    <col min="36" max="36" width="23.69140625" style="423" customWidth="1"/>
    <col min="37" max="37" width="23" style="423" customWidth="1"/>
    <col min="38" max="38" width="8.84375" style="423"/>
    <col min="39" max="42" width="10.69140625" style="423" customWidth="1"/>
    <col min="43" max="43" width="23.53515625" style="423" customWidth="1"/>
    <col min="44" max="44" width="24" style="423" customWidth="1"/>
    <col min="45" max="45" width="23.69140625" style="423" customWidth="1"/>
    <col min="46" max="46" width="23" style="423" customWidth="1"/>
    <col min="47" max="16384" width="8.84375" style="423"/>
  </cols>
  <sheetData>
    <row r="1" spans="1:46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4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5</v>
      </c>
      <c r="AE1" s="1471"/>
      <c r="AF1" s="1471"/>
      <c r="AG1" s="1471"/>
      <c r="AH1" s="1473" t="s">
        <v>206</v>
      </c>
      <c r="AI1" s="1473"/>
      <c r="AJ1" s="1473"/>
      <c r="AK1" s="1474"/>
      <c r="AM1" s="1471" t="s">
        <v>482</v>
      </c>
      <c r="AN1" s="1471"/>
      <c r="AO1" s="1471"/>
      <c r="AP1" s="1471"/>
      <c r="AQ1" s="1473" t="s">
        <v>206</v>
      </c>
      <c r="AR1" s="1473"/>
      <c r="AS1" s="1473"/>
      <c r="AT1" s="1474"/>
    </row>
    <row r="2" spans="1:46" ht="42.65" customHeight="1" x14ac:dyDescent="0.35">
      <c r="A2" s="634" t="s">
        <v>0</v>
      </c>
      <c r="B2" s="426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  <c r="AM2" s="424" t="s">
        <v>199</v>
      </c>
      <c r="AN2" s="424" t="s">
        <v>200</v>
      </c>
      <c r="AO2" s="424" t="s">
        <v>201</v>
      </c>
      <c r="AP2" s="424" t="s">
        <v>204</v>
      </c>
      <c r="AQ2" s="425" t="s">
        <v>199</v>
      </c>
      <c r="AR2" s="424" t="s">
        <v>200</v>
      </c>
      <c r="AS2" s="424" t="s">
        <v>201</v>
      </c>
      <c r="AT2" s="424" t="s">
        <v>204</v>
      </c>
    </row>
    <row r="3" spans="1:46" ht="30" customHeight="1" x14ac:dyDescent="0.35">
      <c r="A3" s="1478">
        <v>44835</v>
      </c>
      <c r="B3" s="501">
        <v>1</v>
      </c>
      <c r="C3" s="490"/>
      <c r="D3" s="491"/>
      <c r="E3" s="491">
        <v>30</v>
      </c>
      <c r="F3" s="492"/>
      <c r="G3" s="566"/>
      <c r="H3" s="514"/>
      <c r="I3" s="515" t="s">
        <v>152</v>
      </c>
      <c r="J3" s="567"/>
      <c r="K3" s="66"/>
      <c r="L3" s="507"/>
      <c r="M3" s="522"/>
      <c r="N3" s="522"/>
      <c r="O3" s="520"/>
      <c r="P3" s="521"/>
      <c r="Q3" s="580"/>
      <c r="R3" s="581"/>
      <c r="S3" s="520"/>
      <c r="T3" s="66"/>
      <c r="U3" s="507"/>
      <c r="V3" s="522"/>
      <c r="W3" s="522">
        <v>45</v>
      </c>
      <c r="X3" s="508"/>
      <c r="Y3" s="469"/>
      <c r="Z3" s="521"/>
      <c r="AA3" s="600" t="s">
        <v>152</v>
      </c>
      <c r="AB3" s="601"/>
      <c r="AC3" s="66"/>
      <c r="AD3" s="507"/>
      <c r="AE3" s="522"/>
      <c r="AF3" s="6">
        <v>40</v>
      </c>
      <c r="AG3" s="520"/>
      <c r="AH3" s="521"/>
      <c r="AI3" s="522"/>
      <c r="AJ3" s="6" t="s">
        <v>152</v>
      </c>
      <c r="AK3" s="520"/>
      <c r="AM3" s="507"/>
      <c r="AN3" s="522"/>
      <c r="AO3" s="6"/>
      <c r="AP3" s="520"/>
      <c r="AQ3" s="521"/>
      <c r="AR3" s="522"/>
      <c r="AS3" s="6"/>
      <c r="AT3" s="520"/>
    </row>
    <row r="4" spans="1:46" ht="40.950000000000003" customHeight="1" x14ac:dyDescent="0.35">
      <c r="A4" s="1477"/>
      <c r="B4" s="472">
        <v>2</v>
      </c>
      <c r="C4" s="493"/>
      <c r="D4" s="494"/>
      <c r="E4" s="494">
        <v>12</v>
      </c>
      <c r="F4" s="495"/>
      <c r="G4" s="566"/>
      <c r="H4" s="514"/>
      <c r="I4" s="515" t="s">
        <v>152</v>
      </c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>
        <v>50</v>
      </c>
      <c r="V4" s="502"/>
      <c r="W4" s="6">
        <v>20</v>
      </c>
      <c r="X4" s="508"/>
      <c r="Y4" s="469" t="s">
        <v>338</v>
      </c>
      <c r="Z4" s="6"/>
      <c r="AA4" s="579" t="s">
        <v>479</v>
      </c>
      <c r="AB4" s="603"/>
      <c r="AC4" s="66"/>
      <c r="AD4" s="470"/>
      <c r="AE4" s="6"/>
      <c r="AF4" s="6">
        <v>31</v>
      </c>
      <c r="AG4" s="508"/>
      <c r="AH4" s="509"/>
      <c r="AI4" s="6"/>
      <c r="AJ4" s="6" t="s">
        <v>152</v>
      </c>
      <c r="AK4" s="508"/>
      <c r="AM4" s="470"/>
      <c r="AN4" s="6"/>
      <c r="AO4" s="6"/>
      <c r="AP4" s="508"/>
      <c r="AQ4" s="509"/>
      <c r="AR4" s="6"/>
      <c r="AS4" s="6"/>
      <c r="AT4" s="508"/>
    </row>
    <row r="5" spans="1:46" ht="39.65" customHeight="1" x14ac:dyDescent="0.35">
      <c r="A5" s="1478">
        <v>44836</v>
      </c>
      <c r="B5" s="472">
        <v>1</v>
      </c>
      <c r="C5" s="493"/>
      <c r="D5" s="494"/>
      <c r="E5" s="494">
        <v>93</v>
      </c>
      <c r="F5" s="495"/>
      <c r="G5" s="566"/>
      <c r="H5" s="514"/>
      <c r="I5" s="515" t="s">
        <v>152</v>
      </c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>
        <v>93</v>
      </c>
      <c r="X5" s="508"/>
      <c r="Y5" s="469"/>
      <c r="Z5" s="6"/>
      <c r="AA5" s="579" t="s">
        <v>152</v>
      </c>
      <c r="AB5" s="604"/>
      <c r="AC5" s="66"/>
      <c r="AD5" s="470"/>
      <c r="AE5" s="6"/>
      <c r="AF5" s="6">
        <v>206</v>
      </c>
      <c r="AG5" s="508"/>
      <c r="AH5" s="509"/>
      <c r="AI5" s="6"/>
      <c r="AJ5" s="6" t="s">
        <v>480</v>
      </c>
      <c r="AK5" s="508"/>
      <c r="AM5" s="470"/>
      <c r="AN5" s="6"/>
      <c r="AO5" s="6"/>
      <c r="AP5" s="508"/>
      <c r="AQ5" s="509"/>
      <c r="AR5" s="6"/>
      <c r="AS5" s="6"/>
      <c r="AT5" s="508"/>
    </row>
    <row r="6" spans="1:46" ht="39" customHeight="1" x14ac:dyDescent="0.35">
      <c r="A6" s="1477"/>
      <c r="B6" s="472">
        <v>2</v>
      </c>
      <c r="C6" s="493"/>
      <c r="D6" s="494"/>
      <c r="E6" s="494">
        <v>31</v>
      </c>
      <c r="F6" s="495"/>
      <c r="G6" s="566"/>
      <c r="H6" s="514"/>
      <c r="I6" s="515" t="s">
        <v>152</v>
      </c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>
        <v>52</v>
      </c>
      <c r="X6" s="508"/>
      <c r="Y6" s="469"/>
      <c r="Z6" s="6"/>
      <c r="AA6" s="579" t="s">
        <v>481</v>
      </c>
      <c r="AB6" s="508"/>
      <c r="AC6" s="66"/>
      <c r="AD6" s="470"/>
      <c r="AE6" s="6"/>
      <c r="AF6" s="6">
        <v>50</v>
      </c>
      <c r="AG6" s="508"/>
      <c r="AH6" s="509"/>
      <c r="AI6" s="6"/>
      <c r="AJ6" s="6" t="s">
        <v>152</v>
      </c>
      <c r="AK6" s="508"/>
      <c r="AM6" s="470"/>
      <c r="AN6" s="6"/>
      <c r="AO6" s="6"/>
      <c r="AP6" s="508"/>
      <c r="AQ6" s="509"/>
      <c r="AR6" s="6"/>
      <c r="AS6" s="6"/>
      <c r="AT6" s="508"/>
    </row>
    <row r="7" spans="1:46" ht="30.65" customHeight="1" x14ac:dyDescent="0.35">
      <c r="A7" s="1478">
        <v>44837</v>
      </c>
      <c r="B7" s="472">
        <v>1</v>
      </c>
      <c r="C7" s="493"/>
      <c r="D7" s="494"/>
      <c r="E7" s="494">
        <v>30</v>
      </c>
      <c r="F7" s="495"/>
      <c r="G7" s="566"/>
      <c r="H7" s="515"/>
      <c r="I7" s="515" t="s">
        <v>152</v>
      </c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6"/>
      <c r="W7" s="6">
        <v>25</v>
      </c>
      <c r="X7" s="508"/>
      <c r="Y7" s="509"/>
      <c r="Z7" s="6"/>
      <c r="AA7" s="6" t="s">
        <v>152</v>
      </c>
      <c r="AB7" s="508"/>
      <c r="AC7" s="66"/>
      <c r="AD7" s="470"/>
      <c r="AE7" s="6"/>
      <c r="AF7" s="6"/>
      <c r="AG7" s="508"/>
      <c r="AH7" s="509"/>
      <c r="AI7" s="6"/>
      <c r="AJ7" s="6"/>
      <c r="AK7" s="508"/>
      <c r="AM7" s="470"/>
      <c r="AN7" s="6"/>
      <c r="AO7" s="6"/>
      <c r="AP7" s="508"/>
      <c r="AQ7" s="509"/>
      <c r="AR7" s="6"/>
      <c r="AS7" s="6"/>
      <c r="AT7" s="508"/>
    </row>
    <row r="8" spans="1:46" ht="31.2" customHeight="1" x14ac:dyDescent="0.35">
      <c r="A8" s="1477"/>
      <c r="B8" s="472">
        <v>2</v>
      </c>
      <c r="C8" s="493"/>
      <c r="D8" s="494"/>
      <c r="E8" s="494">
        <v>45</v>
      </c>
      <c r="F8" s="495"/>
      <c r="G8" s="565"/>
      <c r="H8" s="515"/>
      <c r="I8" s="515" t="s">
        <v>152</v>
      </c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>
        <v>59</v>
      </c>
      <c r="X8" s="508"/>
      <c r="Y8" s="469"/>
      <c r="Z8" s="6"/>
      <c r="AA8" s="6" t="s">
        <v>152</v>
      </c>
      <c r="AB8" s="527"/>
      <c r="AC8" s="66"/>
      <c r="AD8" s="470"/>
      <c r="AE8" s="6"/>
      <c r="AF8" s="6">
        <v>8</v>
      </c>
      <c r="AG8" s="508"/>
      <c r="AH8" s="509"/>
      <c r="AI8" s="6"/>
      <c r="AJ8" s="6" t="s">
        <v>152</v>
      </c>
      <c r="AK8" s="527"/>
      <c r="AM8" s="470"/>
      <c r="AN8" s="6"/>
      <c r="AO8" s="6"/>
      <c r="AP8" s="508"/>
      <c r="AQ8" s="509"/>
      <c r="AR8" s="6"/>
      <c r="AS8" s="6"/>
      <c r="AT8" s="527"/>
    </row>
    <row r="9" spans="1:46" ht="33.65" customHeight="1" x14ac:dyDescent="0.35">
      <c r="A9" s="1478">
        <v>44838</v>
      </c>
      <c r="B9" s="472">
        <v>1</v>
      </c>
      <c r="C9" s="493"/>
      <c r="D9" s="494"/>
      <c r="E9" s="494">
        <v>33</v>
      </c>
      <c r="F9" s="495"/>
      <c r="G9" s="566"/>
      <c r="H9" s="514"/>
      <c r="I9" s="514" t="s">
        <v>152</v>
      </c>
      <c r="J9" s="527"/>
      <c r="K9" s="66"/>
      <c r="L9" s="470"/>
      <c r="M9" s="6"/>
      <c r="N9" s="6"/>
      <c r="O9" s="508"/>
      <c r="P9" s="469"/>
      <c r="Q9" s="6"/>
      <c r="R9" s="502"/>
      <c r="S9" s="527"/>
      <c r="T9" s="66"/>
      <c r="U9" s="470">
        <v>80</v>
      </c>
      <c r="V9" s="6"/>
      <c r="W9" s="6"/>
      <c r="X9" s="508"/>
      <c r="Y9" s="509" t="s">
        <v>45</v>
      </c>
      <c r="Z9" s="6"/>
      <c r="AA9" s="6"/>
      <c r="AB9" s="527"/>
      <c r="AC9" s="66"/>
      <c r="AD9" s="470"/>
      <c r="AE9" s="6"/>
      <c r="AF9" s="6">
        <v>10</v>
      </c>
      <c r="AG9" s="508"/>
      <c r="AH9" s="509"/>
      <c r="AI9" s="6"/>
      <c r="AJ9" s="6" t="s">
        <v>152</v>
      </c>
      <c r="AK9" s="527"/>
      <c r="AM9" s="470"/>
      <c r="AN9" s="6"/>
      <c r="AO9" s="6"/>
      <c r="AP9" s="508"/>
      <c r="AQ9" s="509"/>
      <c r="AR9" s="6"/>
      <c r="AS9" s="6"/>
      <c r="AT9" s="527"/>
    </row>
    <row r="10" spans="1:46" ht="47.5" customHeight="1" x14ac:dyDescent="0.35">
      <c r="A10" s="1477"/>
      <c r="B10" s="472">
        <v>2</v>
      </c>
      <c r="C10" s="493"/>
      <c r="D10" s="494"/>
      <c r="E10" s="494">
        <v>28</v>
      </c>
      <c r="F10" s="495"/>
      <c r="G10" s="566"/>
      <c r="H10" s="514"/>
      <c r="I10" s="515" t="s">
        <v>152</v>
      </c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>
        <v>447</v>
      </c>
      <c r="V10" s="6"/>
      <c r="W10" s="6"/>
      <c r="X10" s="508"/>
      <c r="Y10" s="470" t="s">
        <v>45</v>
      </c>
      <c r="Z10" s="469"/>
      <c r="AA10" s="6"/>
      <c r="AB10" s="527"/>
      <c r="AC10" s="66"/>
      <c r="AD10" s="470"/>
      <c r="AE10" s="6"/>
      <c r="AF10" s="6"/>
      <c r="AG10" s="508"/>
      <c r="AH10" s="509"/>
      <c r="AI10" s="6"/>
      <c r="AJ10" s="6"/>
      <c r="AK10" s="527"/>
      <c r="AM10" s="470">
        <v>46</v>
      </c>
      <c r="AN10" s="6"/>
      <c r="AO10" s="6"/>
      <c r="AP10" s="508"/>
      <c r="AQ10" s="509" t="s">
        <v>483</v>
      </c>
      <c r="AR10" s="6"/>
      <c r="AS10" s="6"/>
      <c r="AT10" s="527"/>
    </row>
    <row r="11" spans="1:46" ht="30.75" customHeight="1" x14ac:dyDescent="0.35">
      <c r="A11" s="1478">
        <v>44839</v>
      </c>
      <c r="B11" s="472">
        <v>1</v>
      </c>
      <c r="C11" s="493"/>
      <c r="D11" s="494"/>
      <c r="E11" s="494">
        <v>112</v>
      </c>
      <c r="F11" s="495"/>
      <c r="G11" s="565"/>
      <c r="H11" s="514"/>
      <c r="I11" s="515" t="s">
        <v>152</v>
      </c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>
        <v>60</v>
      </c>
      <c r="X11" s="508"/>
      <c r="Y11" s="509"/>
      <c r="Z11" s="6"/>
      <c r="AA11" s="6" t="s">
        <v>152</v>
      </c>
      <c r="AB11" s="508"/>
      <c r="AC11" s="66"/>
      <c r="AD11" s="470"/>
      <c r="AE11" s="6"/>
      <c r="AF11" s="6"/>
      <c r="AG11" s="508"/>
      <c r="AH11" s="509"/>
      <c r="AI11" s="6"/>
      <c r="AJ11" s="6"/>
      <c r="AK11" s="508"/>
      <c r="AM11" s="470"/>
      <c r="AN11" s="6"/>
      <c r="AO11" s="6"/>
      <c r="AP11" s="508"/>
      <c r="AQ11" s="509"/>
      <c r="AR11" s="6"/>
      <c r="AS11" s="6"/>
      <c r="AT11" s="508"/>
    </row>
    <row r="12" spans="1:46" ht="36.75" customHeight="1" x14ac:dyDescent="0.35">
      <c r="A12" s="1477"/>
      <c r="B12" s="472">
        <v>2</v>
      </c>
      <c r="C12" s="493"/>
      <c r="D12" s="494"/>
      <c r="E12" s="494">
        <v>15</v>
      </c>
      <c r="F12" s="495"/>
      <c r="G12" s="566"/>
      <c r="H12" s="514"/>
      <c r="I12" s="515" t="s">
        <v>152</v>
      </c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>
        <v>18</v>
      </c>
      <c r="X12" s="508"/>
      <c r="Y12" s="509"/>
      <c r="Z12" s="6"/>
      <c r="AA12" s="602" t="s">
        <v>152</v>
      </c>
      <c r="AB12" s="527"/>
      <c r="AC12" s="66"/>
      <c r="AD12" s="470">
        <v>360</v>
      </c>
      <c r="AE12" s="6"/>
      <c r="AF12" s="6"/>
      <c r="AG12" s="508"/>
      <c r="AH12" s="509" t="s">
        <v>484</v>
      </c>
      <c r="AI12" s="6"/>
      <c r="AJ12" s="6"/>
      <c r="AK12" s="527"/>
      <c r="AM12" s="470"/>
      <c r="AN12" s="6"/>
      <c r="AO12" s="6"/>
      <c r="AP12" s="508"/>
      <c r="AQ12" s="509"/>
      <c r="AR12" s="6"/>
      <c r="AS12" s="6"/>
      <c r="AT12" s="527"/>
    </row>
    <row r="13" spans="1:46" ht="40.5" customHeight="1" x14ac:dyDescent="0.35">
      <c r="A13" s="1478">
        <v>44840</v>
      </c>
      <c r="B13" s="472">
        <v>1</v>
      </c>
      <c r="C13" s="493"/>
      <c r="D13" s="494"/>
      <c r="E13" s="494">
        <v>112</v>
      </c>
      <c r="F13" s="495"/>
      <c r="G13" s="566"/>
      <c r="H13" s="514"/>
      <c r="I13" s="515" t="s">
        <v>152</v>
      </c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>
        <v>60</v>
      </c>
      <c r="X13" s="495"/>
      <c r="Y13" s="469"/>
      <c r="Z13" s="502"/>
      <c r="AA13" s="6" t="s">
        <v>152</v>
      </c>
      <c r="AB13" s="527"/>
      <c r="AC13" s="66"/>
      <c r="AD13" s="470"/>
      <c r="AE13" s="6"/>
      <c r="AF13" s="6"/>
      <c r="AG13" s="495"/>
      <c r="AH13" s="509"/>
      <c r="AI13" s="6"/>
      <c r="AJ13" s="6"/>
      <c r="AK13" s="527"/>
      <c r="AM13" s="470"/>
      <c r="AN13" s="6"/>
      <c r="AO13" s="6"/>
      <c r="AP13" s="495"/>
      <c r="AQ13" s="509"/>
      <c r="AR13" s="6"/>
      <c r="AS13" s="6"/>
      <c r="AT13" s="527"/>
    </row>
    <row r="14" spans="1:46" ht="34.200000000000003" customHeight="1" x14ac:dyDescent="0.35">
      <c r="A14" s="1477"/>
      <c r="B14" s="472">
        <v>2</v>
      </c>
      <c r="C14" s="493"/>
      <c r="D14" s="494"/>
      <c r="E14" s="494">
        <v>60</v>
      </c>
      <c r="F14" s="495"/>
      <c r="G14" s="566"/>
      <c r="H14" s="515"/>
      <c r="I14" s="515" t="s">
        <v>152</v>
      </c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>
        <v>40</v>
      </c>
      <c r="X14" s="495"/>
      <c r="Y14" s="469"/>
      <c r="Z14" s="502"/>
      <c r="AA14" s="502" t="s">
        <v>152</v>
      </c>
      <c r="AB14" s="527"/>
      <c r="AC14" s="66"/>
      <c r="AD14" s="470"/>
      <c r="AE14" s="6"/>
      <c r="AF14" s="6">
        <v>10</v>
      </c>
      <c r="AG14" s="495"/>
      <c r="AH14" s="469"/>
      <c r="AI14" s="6"/>
      <c r="AJ14" s="6" t="s">
        <v>485</v>
      </c>
      <c r="AK14" s="527"/>
      <c r="AM14" s="470"/>
      <c r="AN14" s="6"/>
      <c r="AO14" s="6"/>
      <c r="AP14" s="495"/>
      <c r="AQ14" s="469"/>
      <c r="AR14" s="6"/>
      <c r="AS14" s="6"/>
      <c r="AT14" s="527"/>
    </row>
    <row r="15" spans="1:46" ht="43.95" customHeight="1" x14ac:dyDescent="0.35">
      <c r="A15" s="1478">
        <v>44841</v>
      </c>
      <c r="B15" s="472">
        <v>1</v>
      </c>
      <c r="C15" s="493"/>
      <c r="D15" s="494"/>
      <c r="E15" s="6">
        <v>40</v>
      </c>
      <c r="F15" s="495"/>
      <c r="G15" s="566"/>
      <c r="H15" s="515"/>
      <c r="I15" s="515" t="s">
        <v>152</v>
      </c>
      <c r="J15" s="527"/>
      <c r="K15" s="66"/>
      <c r="L15" s="470"/>
      <c r="M15" s="6"/>
      <c r="N15" s="6"/>
      <c r="O15" s="495"/>
      <c r="P15" s="470"/>
      <c r="Q15" s="515"/>
      <c r="R15" s="6"/>
      <c r="S15" s="527"/>
      <c r="T15" s="66"/>
      <c r="U15" s="470"/>
      <c r="V15" s="6"/>
      <c r="W15" s="6">
        <v>30</v>
      </c>
      <c r="X15" s="495"/>
      <c r="Y15" s="470"/>
      <c r="Z15" s="515"/>
      <c r="AA15" s="609" t="s">
        <v>152</v>
      </c>
      <c r="AB15" s="527"/>
      <c r="AC15" s="66"/>
      <c r="AD15" s="470"/>
      <c r="AE15" s="6"/>
      <c r="AF15" s="66"/>
      <c r="AG15" s="495"/>
      <c r="AI15" s="573"/>
      <c r="AJ15" s="6"/>
      <c r="AK15" s="527"/>
      <c r="AM15" s="470"/>
      <c r="AN15" s="6"/>
      <c r="AO15" s="66"/>
      <c r="AP15" s="495"/>
      <c r="AR15" s="573"/>
      <c r="AS15" s="6"/>
      <c r="AT15" s="527"/>
    </row>
    <row r="16" spans="1:46" ht="37.5" customHeight="1" x14ac:dyDescent="0.35">
      <c r="A16" s="1477"/>
      <c r="B16" s="472">
        <v>2</v>
      </c>
      <c r="C16" s="493"/>
      <c r="D16" s="494"/>
      <c r="E16" s="494">
        <v>36</v>
      </c>
      <c r="F16" s="495"/>
      <c r="G16" s="565"/>
      <c r="H16" s="638"/>
      <c r="I16" s="515" t="s">
        <v>152</v>
      </c>
      <c r="J16" s="527"/>
      <c r="K16" s="66"/>
      <c r="L16" s="470"/>
      <c r="M16" s="6"/>
      <c r="N16" s="6"/>
      <c r="O16" s="495"/>
      <c r="P16" s="470"/>
      <c r="Q16" s="6"/>
      <c r="R16" s="6"/>
      <c r="S16" s="527"/>
      <c r="T16" s="66"/>
      <c r="U16" s="470"/>
      <c r="V16" s="6"/>
      <c r="W16" s="6"/>
      <c r="X16" s="495"/>
      <c r="Y16" s="514"/>
      <c r="Z16" s="514"/>
      <c r="AA16" s="6"/>
      <c r="AB16" s="527"/>
      <c r="AC16" s="66"/>
      <c r="AD16" s="470"/>
      <c r="AE16" s="6"/>
      <c r="AF16" s="6"/>
      <c r="AG16" s="495"/>
      <c r="AH16" s="470"/>
      <c r="AI16" s="6"/>
      <c r="AJ16" s="6"/>
      <c r="AK16" s="527"/>
      <c r="AM16" s="470"/>
      <c r="AN16" s="6"/>
      <c r="AO16" s="6">
        <v>316</v>
      </c>
      <c r="AP16" s="495"/>
      <c r="AQ16" s="470"/>
      <c r="AR16" s="6"/>
      <c r="AS16" s="6" t="s">
        <v>152</v>
      </c>
      <c r="AT16" s="527"/>
    </row>
    <row r="17" spans="1:46" ht="39" customHeight="1" x14ac:dyDescent="0.35">
      <c r="A17" s="1478">
        <v>44842</v>
      </c>
      <c r="B17" s="534">
        <v>1</v>
      </c>
      <c r="C17" s="493"/>
      <c r="D17" s="494">
        <v>10</v>
      </c>
      <c r="E17" s="494"/>
      <c r="F17" s="495"/>
      <c r="G17" s="566"/>
      <c r="H17" s="514" t="s">
        <v>486</v>
      </c>
      <c r="I17" s="515"/>
      <c r="J17" s="527"/>
      <c r="K17" s="66"/>
      <c r="L17" s="470"/>
      <c r="M17" s="6"/>
      <c r="N17" s="6"/>
      <c r="O17" s="495"/>
      <c r="P17" s="470"/>
      <c r="Q17" s="6"/>
      <c r="R17" s="6"/>
      <c r="S17" s="527"/>
      <c r="T17" s="66"/>
      <c r="U17" s="470"/>
      <c r="V17" s="6"/>
      <c r="W17" s="6"/>
      <c r="X17" s="495"/>
      <c r="Y17" s="514"/>
      <c r="Z17" s="514"/>
      <c r="AA17" s="6"/>
      <c r="AB17" s="527"/>
      <c r="AC17" s="66"/>
      <c r="AD17" s="470"/>
      <c r="AE17" s="6"/>
      <c r="AF17" s="6"/>
      <c r="AG17" s="495"/>
      <c r="AH17" s="470"/>
      <c r="AI17" s="6"/>
      <c r="AJ17" s="502"/>
      <c r="AK17" s="527"/>
      <c r="AM17" s="470"/>
      <c r="AN17" s="6"/>
      <c r="AO17" s="6"/>
      <c r="AP17" s="495"/>
      <c r="AQ17" s="470"/>
      <c r="AR17" s="6"/>
      <c r="AS17" s="502"/>
      <c r="AT17" s="527"/>
    </row>
    <row r="18" spans="1:46" ht="63.6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515"/>
      <c r="I18" s="514"/>
      <c r="J18" s="527"/>
      <c r="K18" s="66"/>
      <c r="L18" s="470"/>
      <c r="M18" s="6"/>
      <c r="N18" s="6"/>
      <c r="O18" s="495"/>
      <c r="P18" s="470"/>
      <c r="Q18" s="6"/>
      <c r="R18" s="6"/>
      <c r="S18" s="527"/>
      <c r="T18" s="66"/>
      <c r="U18" s="470"/>
      <c r="V18" s="6"/>
      <c r="W18" s="6"/>
      <c r="X18" s="495"/>
      <c r="Y18" s="465"/>
      <c r="Z18" s="6"/>
      <c r="AA18" s="502"/>
      <c r="AB18" s="527"/>
      <c r="AC18" s="66"/>
      <c r="AD18" s="470"/>
      <c r="AE18" s="6"/>
      <c r="AF18" s="6">
        <v>251</v>
      </c>
      <c r="AG18" s="495"/>
      <c r="AH18" s="470"/>
      <c r="AI18" s="6"/>
      <c r="AJ18" s="502" t="s">
        <v>487</v>
      </c>
      <c r="AK18" s="527"/>
      <c r="AM18" s="470"/>
      <c r="AN18" s="6"/>
      <c r="AO18" s="6"/>
      <c r="AP18" s="495"/>
      <c r="AQ18" s="470"/>
      <c r="AR18" s="6"/>
      <c r="AS18" s="502"/>
      <c r="AT18" s="527"/>
    </row>
    <row r="19" spans="1:46" ht="33.65" customHeight="1" x14ac:dyDescent="0.35">
      <c r="A19" s="1478">
        <v>44843</v>
      </c>
      <c r="B19" s="472">
        <v>1</v>
      </c>
      <c r="C19" s="66"/>
      <c r="D19" s="494"/>
      <c r="E19" s="494"/>
      <c r="F19" s="495"/>
      <c r="G19" s="566"/>
      <c r="H19" s="514"/>
      <c r="I19" s="515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502"/>
      <c r="AB19" s="527"/>
      <c r="AC19" s="66"/>
      <c r="AD19" s="470"/>
      <c r="AE19" s="6"/>
      <c r="AF19" s="6"/>
      <c r="AG19" s="495"/>
      <c r="AH19" s="470"/>
      <c r="AI19" s="6"/>
      <c r="AJ19" s="502"/>
      <c r="AK19" s="527"/>
      <c r="AM19" s="470"/>
      <c r="AN19" s="6"/>
      <c r="AO19" s="6"/>
      <c r="AP19" s="495"/>
      <c r="AQ19" s="470"/>
      <c r="AR19" s="6"/>
      <c r="AS19" s="502"/>
      <c r="AT19" s="527"/>
    </row>
    <row r="20" spans="1:46" ht="56.5" customHeight="1" x14ac:dyDescent="0.35">
      <c r="A20" s="1477"/>
      <c r="B20" s="472">
        <v>2</v>
      </c>
      <c r="C20" s="493"/>
      <c r="D20" s="494"/>
      <c r="E20" s="494">
        <v>40</v>
      </c>
      <c r="F20" s="495"/>
      <c r="G20" s="566"/>
      <c r="H20" s="515"/>
      <c r="I20" s="515" t="s">
        <v>152</v>
      </c>
      <c r="J20" s="527"/>
      <c r="K20" s="66"/>
      <c r="L20" s="470"/>
      <c r="M20" s="6"/>
      <c r="N20" s="6"/>
      <c r="O20" s="495"/>
      <c r="P20" s="470"/>
      <c r="Q20" s="6"/>
      <c r="R20" s="6"/>
      <c r="S20" s="527"/>
      <c r="T20" s="66"/>
      <c r="U20" s="470"/>
      <c r="V20" s="214"/>
      <c r="W20" s="6">
        <v>56</v>
      </c>
      <c r="X20" s="495"/>
      <c r="Y20" s="470"/>
      <c r="Z20" s="502"/>
      <c r="AA20" s="605" t="s">
        <v>152</v>
      </c>
      <c r="AB20" s="527"/>
      <c r="AC20" s="66"/>
      <c r="AD20" s="470"/>
      <c r="AE20" s="6"/>
      <c r="AF20" s="6"/>
      <c r="AG20" s="495"/>
      <c r="AH20" s="465"/>
      <c r="AI20" s="6"/>
      <c r="AJ20" s="6"/>
      <c r="AK20" s="607"/>
      <c r="AM20" s="470"/>
      <c r="AN20" s="6"/>
      <c r="AO20" s="6"/>
      <c r="AP20" s="495"/>
      <c r="AQ20" s="465"/>
      <c r="AR20" s="6"/>
      <c r="AS20" s="6"/>
      <c r="AT20" s="607"/>
    </row>
    <row r="21" spans="1:46" ht="97.2" customHeight="1" x14ac:dyDescent="0.35">
      <c r="A21" s="1478">
        <v>44844</v>
      </c>
      <c r="B21" s="472">
        <v>1</v>
      </c>
      <c r="C21" s="493"/>
      <c r="D21" s="494"/>
      <c r="E21" s="494">
        <v>10</v>
      </c>
      <c r="F21" s="495"/>
      <c r="G21" s="569"/>
      <c r="H21" s="514"/>
      <c r="I21" s="515" t="s">
        <v>152</v>
      </c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>
        <v>20</v>
      </c>
      <c r="X21" s="495"/>
      <c r="Y21" s="470"/>
      <c r="Z21" s="6"/>
      <c r="AA21" s="502" t="s">
        <v>152</v>
      </c>
      <c r="AB21" s="527"/>
      <c r="AC21" s="66"/>
      <c r="AD21" s="470"/>
      <c r="AE21" s="6"/>
      <c r="AF21" s="6"/>
      <c r="AG21" s="495"/>
      <c r="AH21" s="470"/>
      <c r="AI21" s="6"/>
      <c r="AJ21" s="6"/>
      <c r="AK21" s="607"/>
      <c r="AM21" s="470"/>
      <c r="AN21" s="6"/>
      <c r="AO21" s="6"/>
      <c r="AP21" s="495"/>
      <c r="AQ21" s="470"/>
      <c r="AR21" s="6"/>
      <c r="AS21" s="47"/>
      <c r="AT21" s="527"/>
    </row>
    <row r="22" spans="1:46" ht="55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515"/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/>
      <c r="X22" s="495"/>
      <c r="Y22" s="470"/>
      <c r="Z22" s="6"/>
      <c r="AA22" s="502"/>
      <c r="AB22" s="527"/>
      <c r="AC22" s="66"/>
      <c r="AD22" s="470">
        <v>177</v>
      </c>
      <c r="AE22" s="6"/>
      <c r="AF22" s="6">
        <v>60</v>
      </c>
      <c r="AG22" s="495"/>
      <c r="AH22" s="465" t="s">
        <v>489</v>
      </c>
      <c r="AI22" s="6"/>
      <c r="AJ22" s="6" t="s">
        <v>45</v>
      </c>
      <c r="AK22" s="607"/>
      <c r="AM22" s="470"/>
      <c r="AN22" s="6"/>
      <c r="AO22" s="6"/>
      <c r="AP22" s="495"/>
      <c r="AQ22" s="470"/>
      <c r="AR22" s="6"/>
      <c r="AS22" s="47"/>
      <c r="AT22" s="527"/>
    </row>
    <row r="23" spans="1:46" ht="37.950000000000003" customHeight="1" x14ac:dyDescent="0.35">
      <c r="A23" s="1478">
        <v>44845</v>
      </c>
      <c r="B23" s="534">
        <v>1</v>
      </c>
      <c r="C23" s="493"/>
      <c r="D23" s="494"/>
      <c r="E23" s="494"/>
      <c r="F23" s="495"/>
      <c r="G23" s="566"/>
      <c r="H23" s="514"/>
      <c r="I23" s="515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>
        <v>20</v>
      </c>
      <c r="V23" s="6"/>
      <c r="W23" s="6"/>
      <c r="X23" s="495"/>
      <c r="Y23" s="565" t="s">
        <v>490</v>
      </c>
      <c r="Z23" s="514"/>
      <c r="AA23" s="515"/>
      <c r="AB23" s="527"/>
      <c r="AC23" s="66"/>
      <c r="AD23" s="470"/>
      <c r="AE23" s="6"/>
      <c r="AF23" s="6"/>
      <c r="AG23" s="495"/>
      <c r="AH23" s="6"/>
      <c r="AI23" s="514"/>
      <c r="AJ23" s="515"/>
      <c r="AK23" s="607"/>
      <c r="AM23" s="470"/>
      <c r="AN23" s="6"/>
      <c r="AO23" s="6"/>
      <c r="AP23" s="495"/>
      <c r="AQ23" s="6"/>
      <c r="AR23" s="514"/>
      <c r="AS23" s="573"/>
      <c r="AT23" s="527"/>
    </row>
    <row r="24" spans="1:46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4"/>
      <c r="I24" s="515"/>
      <c r="J24" s="527"/>
      <c r="K24" s="66"/>
      <c r="L24" s="470"/>
      <c r="M24" s="6"/>
      <c r="N24" s="6">
        <v>16</v>
      </c>
      <c r="O24" s="495"/>
      <c r="P24" s="566"/>
      <c r="Q24" s="514"/>
      <c r="R24" s="515" t="s">
        <v>152</v>
      </c>
      <c r="S24" s="527"/>
      <c r="T24" s="66"/>
      <c r="U24" s="470"/>
      <c r="V24" s="6"/>
      <c r="W24" s="6"/>
      <c r="X24" s="495"/>
      <c r="Y24" s="566"/>
      <c r="Z24" s="514"/>
      <c r="AA24" s="515"/>
      <c r="AB24" s="527"/>
      <c r="AC24" s="66"/>
      <c r="AD24" s="470"/>
      <c r="AE24" s="6"/>
      <c r="AF24" s="6"/>
      <c r="AG24" s="495"/>
      <c r="AH24" s="6"/>
      <c r="AI24" s="514"/>
      <c r="AJ24" s="6"/>
      <c r="AK24" s="607"/>
      <c r="AM24" s="470"/>
      <c r="AN24" s="6"/>
      <c r="AO24" s="6"/>
      <c r="AP24" s="495"/>
      <c r="AQ24" s="6"/>
      <c r="AR24" s="514"/>
      <c r="AS24" s="47"/>
      <c r="AT24" s="527"/>
    </row>
    <row r="25" spans="1:46" ht="46.2" customHeight="1" x14ac:dyDescent="0.35">
      <c r="A25" s="1478">
        <v>44846</v>
      </c>
      <c r="B25" s="472">
        <v>1</v>
      </c>
      <c r="C25" s="493"/>
      <c r="D25" s="494"/>
      <c r="E25" s="494"/>
      <c r="F25" s="495"/>
      <c r="G25" s="566"/>
      <c r="H25" s="514"/>
      <c r="I25" s="515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70"/>
      <c r="Z25" s="6"/>
      <c r="AA25" s="502"/>
      <c r="AB25" s="527"/>
      <c r="AC25" s="66"/>
      <c r="AD25" s="470"/>
      <c r="AE25" s="6"/>
      <c r="AF25" s="6"/>
      <c r="AG25" s="495"/>
      <c r="AH25" s="6"/>
      <c r="AI25" s="6"/>
      <c r="AJ25" s="6"/>
      <c r="AK25" s="607"/>
      <c r="AM25" s="470"/>
      <c r="AN25" s="6"/>
      <c r="AO25" s="6"/>
      <c r="AP25" s="495"/>
      <c r="AQ25" s="6"/>
      <c r="AR25" s="6"/>
      <c r="AS25" s="47"/>
      <c r="AT25" s="527"/>
    </row>
    <row r="26" spans="1:46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573"/>
      <c r="J26" s="527"/>
      <c r="K26" s="66"/>
      <c r="L26" s="470"/>
      <c r="M26" s="6"/>
      <c r="N26" s="6"/>
      <c r="O26" s="495"/>
      <c r="P26" s="566"/>
      <c r="Q26" s="515"/>
      <c r="R26" s="515"/>
      <c r="S26" s="527"/>
      <c r="T26" s="66"/>
      <c r="U26" s="470">
        <v>540</v>
      </c>
      <c r="V26" s="494"/>
      <c r="W26" s="6">
        <v>60</v>
      </c>
      <c r="X26" s="495"/>
      <c r="Y26" s="566" t="s">
        <v>491</v>
      </c>
      <c r="Z26" s="515"/>
      <c r="AA26" s="515" t="s">
        <v>331</v>
      </c>
      <c r="AB26" s="527"/>
      <c r="AC26" s="66"/>
      <c r="AD26" s="470"/>
      <c r="AE26" s="494"/>
      <c r="AF26" s="6"/>
      <c r="AG26" s="495"/>
      <c r="AH26" s="6"/>
      <c r="AI26" s="6"/>
      <c r="AJ26" s="6"/>
      <c r="AK26" s="607"/>
      <c r="AM26" s="470"/>
      <c r="AN26" s="494"/>
      <c r="AO26" s="6"/>
      <c r="AP26" s="495"/>
      <c r="AQ26" s="6"/>
      <c r="AR26" s="6"/>
      <c r="AS26" s="47"/>
      <c r="AT26" s="527"/>
    </row>
    <row r="27" spans="1:46" ht="49.95" customHeight="1" x14ac:dyDescent="0.35">
      <c r="A27" s="1478">
        <v>44847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/>
      <c r="X27" s="508"/>
      <c r="Y27" s="566"/>
      <c r="Z27" s="514"/>
      <c r="AA27" s="515"/>
      <c r="AB27" s="527"/>
      <c r="AC27" s="66"/>
      <c r="AD27" s="470"/>
      <c r="AE27" s="6">
        <v>10</v>
      </c>
      <c r="AF27" s="6"/>
      <c r="AG27" s="508"/>
      <c r="AH27" s="6"/>
      <c r="AI27" s="6" t="s">
        <v>492</v>
      </c>
      <c r="AJ27" s="515"/>
      <c r="AK27" s="607"/>
      <c r="AM27" s="470"/>
      <c r="AN27" s="6">
        <v>140</v>
      </c>
      <c r="AO27" s="6"/>
      <c r="AP27" s="508"/>
      <c r="AQ27" s="6"/>
      <c r="AR27" s="6" t="s">
        <v>493</v>
      </c>
      <c r="AS27" s="573"/>
      <c r="AT27" s="527"/>
    </row>
    <row r="28" spans="1:46" ht="49.2" customHeight="1" x14ac:dyDescent="0.35">
      <c r="A28" s="1477"/>
      <c r="B28" s="472">
        <v>2</v>
      </c>
      <c r="C28" s="493"/>
      <c r="D28" s="494"/>
      <c r="E28" s="494"/>
      <c r="F28" s="495"/>
      <c r="G28" s="515"/>
      <c r="H28" s="515"/>
      <c r="I28" s="573"/>
      <c r="J28" s="527"/>
      <c r="K28" s="66"/>
      <c r="L28" s="470"/>
      <c r="M28" s="6"/>
      <c r="N28" s="6"/>
      <c r="O28" s="495"/>
      <c r="P28" s="515"/>
      <c r="Q28" s="515"/>
      <c r="R28" s="515"/>
      <c r="S28" s="526"/>
      <c r="T28" s="66"/>
      <c r="U28" s="470">
        <v>24</v>
      </c>
      <c r="V28" s="6"/>
      <c r="X28" s="495"/>
      <c r="Y28" s="515" t="s">
        <v>494</v>
      </c>
      <c r="Z28" s="6"/>
      <c r="AA28" s="573"/>
      <c r="AB28" s="527"/>
      <c r="AC28" s="66"/>
      <c r="AD28" s="470"/>
      <c r="AE28" s="6"/>
      <c r="AF28" s="6"/>
      <c r="AG28" s="495"/>
      <c r="AH28" s="502"/>
      <c r="AI28" s="6"/>
      <c r="AJ28" s="573"/>
      <c r="AK28" s="526"/>
      <c r="AM28" s="470"/>
      <c r="AN28" s="6"/>
      <c r="AO28" s="6"/>
      <c r="AP28" s="495"/>
      <c r="AQ28" s="502"/>
      <c r="AR28" s="6"/>
      <c r="AS28" s="573"/>
      <c r="AT28" s="526"/>
    </row>
    <row r="29" spans="1:46" ht="57" customHeight="1" x14ac:dyDescent="0.35">
      <c r="A29" s="1478">
        <v>44848</v>
      </c>
      <c r="B29" s="472">
        <v>1</v>
      </c>
      <c r="C29" s="493">
        <v>185</v>
      </c>
      <c r="D29" s="494"/>
      <c r="E29" s="494"/>
      <c r="F29" s="495"/>
      <c r="G29" s="565" t="s">
        <v>495</v>
      </c>
      <c r="H29" s="514"/>
      <c r="I29" s="573"/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/>
      <c r="X29" s="495"/>
      <c r="Y29" s="566"/>
      <c r="Z29" s="514"/>
      <c r="AA29" s="573"/>
      <c r="AB29" s="527"/>
      <c r="AC29" s="66"/>
      <c r="AD29" s="470"/>
      <c r="AE29" s="6">
        <v>102</v>
      </c>
      <c r="AF29" s="6"/>
      <c r="AG29" s="495"/>
      <c r="AH29" s="566"/>
      <c r="AI29" s="515" t="s">
        <v>496</v>
      </c>
      <c r="AJ29" s="515"/>
      <c r="AK29" s="508"/>
      <c r="AM29" s="470"/>
      <c r="AN29" s="6"/>
      <c r="AO29" s="6"/>
      <c r="AP29" s="495"/>
      <c r="AQ29" s="566"/>
      <c r="AR29" s="514"/>
      <c r="AS29" s="515"/>
      <c r="AT29" s="508"/>
    </row>
    <row r="30" spans="1:46" ht="39.7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4"/>
      <c r="I30" s="515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/>
      <c r="X30" s="495"/>
      <c r="Y30" s="566"/>
      <c r="Z30" s="514"/>
      <c r="AA30" s="515"/>
      <c r="AB30" s="508"/>
      <c r="AC30" s="66"/>
      <c r="AD30" s="470"/>
      <c r="AE30" s="6"/>
      <c r="AF30" s="6"/>
      <c r="AG30" s="495"/>
      <c r="AH30" s="566"/>
      <c r="AI30" s="514"/>
      <c r="AJ30" s="515"/>
      <c r="AK30" s="508"/>
      <c r="AM30" s="470"/>
      <c r="AN30" s="6"/>
      <c r="AO30" s="6"/>
      <c r="AP30" s="495"/>
      <c r="AQ30" s="566"/>
      <c r="AR30" s="514"/>
      <c r="AS30" s="515"/>
      <c r="AT30" s="508"/>
    </row>
    <row r="31" spans="1:46" ht="48.65" customHeight="1" x14ac:dyDescent="0.35">
      <c r="A31" s="1478">
        <v>44849</v>
      </c>
      <c r="B31" s="472">
        <v>1</v>
      </c>
      <c r="C31" s="493"/>
      <c r="D31" s="494"/>
      <c r="E31" s="494">
        <v>53</v>
      </c>
      <c r="F31" s="495"/>
      <c r="G31" s="566"/>
      <c r="H31" s="514"/>
      <c r="I31" s="515" t="s">
        <v>152</v>
      </c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509"/>
      <c r="Z31" s="6"/>
      <c r="AA31" s="6"/>
      <c r="AB31" s="527"/>
      <c r="AC31" s="66"/>
      <c r="AD31" s="470"/>
      <c r="AE31" s="6"/>
      <c r="AF31" s="6">
        <v>40</v>
      </c>
      <c r="AG31" s="495"/>
      <c r="AH31" s="509"/>
      <c r="AI31" s="6"/>
      <c r="AJ31" s="6" t="s">
        <v>152</v>
      </c>
      <c r="AK31" s="527"/>
      <c r="AM31" s="470"/>
      <c r="AN31" s="6"/>
      <c r="AO31" s="6"/>
      <c r="AP31" s="495"/>
      <c r="AQ31" s="509"/>
      <c r="AR31" s="6"/>
      <c r="AS31" s="6"/>
      <c r="AT31" s="527"/>
    </row>
    <row r="32" spans="1:46" ht="42.75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14"/>
      <c r="I32" s="573"/>
      <c r="J32" s="568"/>
      <c r="K32" s="66"/>
      <c r="L32" s="470"/>
      <c r="M32" s="6"/>
      <c r="N32" s="6"/>
      <c r="O32" s="508"/>
      <c r="P32" s="509"/>
      <c r="Q32" s="6"/>
      <c r="R32" s="6"/>
      <c r="S32" s="627"/>
      <c r="T32" s="66"/>
      <c r="U32" s="470"/>
      <c r="V32" s="6"/>
      <c r="W32" s="6"/>
      <c r="X32" s="508"/>
      <c r="Y32" s="509"/>
      <c r="Z32" s="502"/>
      <c r="AA32" s="573"/>
      <c r="AB32" s="527"/>
      <c r="AC32" s="66"/>
      <c r="AD32" s="470"/>
      <c r="AE32" s="6"/>
      <c r="AF32" s="6"/>
      <c r="AG32" s="508"/>
      <c r="AH32" s="509"/>
      <c r="AI32" s="502"/>
      <c r="AJ32" s="6"/>
      <c r="AK32" s="508"/>
      <c r="AM32" s="470"/>
      <c r="AN32" s="6"/>
      <c r="AO32" s="6"/>
      <c r="AP32" s="508"/>
      <c r="AQ32" s="509"/>
      <c r="AR32" s="502"/>
      <c r="AS32" s="6"/>
      <c r="AT32" s="508"/>
    </row>
    <row r="33" spans="1:46" ht="43.2" customHeight="1" x14ac:dyDescent="0.35">
      <c r="A33" s="1478">
        <v>44850</v>
      </c>
      <c r="B33" s="472">
        <v>1</v>
      </c>
      <c r="C33" s="493"/>
      <c r="D33" s="494"/>
      <c r="E33" s="494"/>
      <c r="F33" s="495"/>
      <c r="G33" s="566"/>
      <c r="H33" s="514"/>
      <c r="I33" s="573"/>
      <c r="J33" s="568"/>
      <c r="K33" s="66"/>
      <c r="L33" s="470"/>
      <c r="M33" s="6"/>
      <c r="N33" s="6"/>
      <c r="O33" s="508"/>
      <c r="P33" s="509"/>
      <c r="Q33" s="6"/>
      <c r="R33" s="6"/>
      <c r="S33" s="508"/>
      <c r="T33" s="66"/>
      <c r="U33" s="470"/>
      <c r="V33" s="6"/>
      <c r="W33" s="6"/>
      <c r="X33" s="508"/>
      <c r="Y33" s="509"/>
      <c r="Z33" s="6"/>
      <c r="AA33" s="502"/>
      <c r="AB33" s="508"/>
      <c r="AC33" s="66"/>
      <c r="AD33" s="470"/>
      <c r="AE33" s="6"/>
      <c r="AF33" s="6"/>
      <c r="AG33" s="508"/>
      <c r="AH33" s="509"/>
      <c r="AI33" s="502"/>
      <c r="AJ33" s="6"/>
      <c r="AK33" s="508"/>
      <c r="AM33" s="470"/>
      <c r="AN33" s="6"/>
      <c r="AO33" s="6"/>
      <c r="AP33" s="508"/>
      <c r="AQ33" s="509"/>
      <c r="AR33" s="502"/>
      <c r="AS33" s="6"/>
      <c r="AT33" s="508"/>
    </row>
    <row r="34" spans="1:46" ht="37.200000000000003" customHeight="1" x14ac:dyDescent="0.35">
      <c r="A34" s="1477"/>
      <c r="B34" s="534">
        <v>2</v>
      </c>
      <c r="C34" s="494"/>
      <c r="D34" s="494"/>
      <c r="E34" s="494"/>
      <c r="F34" s="637"/>
      <c r="G34" s="566"/>
      <c r="H34" s="515"/>
      <c r="I34" s="515"/>
      <c r="J34" s="568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/>
      <c r="X34" s="508"/>
      <c r="Y34" s="6"/>
      <c r="Z34" s="502"/>
      <c r="AA34" s="515"/>
      <c r="AB34" s="527"/>
      <c r="AC34" s="66"/>
      <c r="AD34" s="470"/>
      <c r="AE34" s="6"/>
      <c r="AF34" s="6"/>
      <c r="AG34" s="508"/>
      <c r="AH34" s="509"/>
      <c r="AI34" s="6"/>
      <c r="AJ34" s="6"/>
      <c r="AK34" s="508"/>
      <c r="AM34" s="470"/>
      <c r="AN34" s="6"/>
      <c r="AO34" s="6"/>
      <c r="AP34" s="508"/>
      <c r="AQ34" s="509"/>
      <c r="AR34" s="6"/>
      <c r="AS34" s="6"/>
      <c r="AT34" s="508"/>
    </row>
    <row r="35" spans="1:46" ht="54" customHeight="1" x14ac:dyDescent="0.35">
      <c r="A35" s="1478">
        <v>44851</v>
      </c>
      <c r="B35" s="472">
        <v>1</v>
      </c>
      <c r="C35" s="494"/>
      <c r="D35" s="494"/>
      <c r="E35" s="47"/>
      <c r="F35" s="636"/>
      <c r="G35" s="465"/>
      <c r="H35" s="509"/>
      <c r="I35" s="502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/>
      <c r="X35" s="526"/>
      <c r="Y35" s="465"/>
      <c r="Z35" s="6"/>
      <c r="AA35" s="502"/>
      <c r="AB35" s="508"/>
      <c r="AC35" s="66"/>
      <c r="AD35" s="470"/>
      <c r="AE35" s="6"/>
      <c r="AF35" s="6"/>
      <c r="AG35" s="469"/>
      <c r="AH35" s="465"/>
      <c r="AI35" s="6"/>
      <c r="AJ35" s="502"/>
      <c r="AK35" s="508"/>
      <c r="AM35" s="470"/>
      <c r="AN35" s="6"/>
      <c r="AO35" s="47"/>
      <c r="AP35" s="526"/>
      <c r="AQ35" s="465"/>
      <c r="AR35" s="6"/>
      <c r="AS35" s="502"/>
      <c r="AT35" s="508"/>
    </row>
    <row r="36" spans="1:46" ht="75" customHeight="1" x14ac:dyDescent="0.35">
      <c r="A36" s="1477"/>
      <c r="B36" s="472">
        <v>2</v>
      </c>
      <c r="C36" s="6"/>
      <c r="D36" s="6"/>
      <c r="E36" s="47"/>
      <c r="F36" s="636"/>
      <c r="G36" s="465"/>
      <c r="H36" s="469"/>
      <c r="I36" s="502"/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/>
      <c r="W36" s="6"/>
      <c r="X36" s="469"/>
      <c r="Y36" s="465"/>
      <c r="Z36" s="502"/>
      <c r="AA36" s="502"/>
      <c r="AB36" s="508"/>
      <c r="AC36" s="66"/>
      <c r="AD36" s="470"/>
      <c r="AE36" s="6">
        <v>70</v>
      </c>
      <c r="AF36" s="47"/>
      <c r="AG36" s="526"/>
      <c r="AH36" s="465"/>
      <c r="AI36" s="502" t="s">
        <v>497</v>
      </c>
      <c r="AJ36" s="502"/>
      <c r="AK36" s="508"/>
      <c r="AM36" s="470"/>
      <c r="AN36" s="6"/>
      <c r="AO36" s="6"/>
      <c r="AP36" s="469"/>
      <c r="AQ36" s="465"/>
      <c r="AR36" s="502"/>
      <c r="AS36" s="502"/>
      <c r="AT36" s="508"/>
    </row>
    <row r="37" spans="1:46" ht="89.5" customHeight="1" x14ac:dyDescent="0.35">
      <c r="A37" s="1478">
        <v>44852</v>
      </c>
      <c r="B37" s="534">
        <v>1</v>
      </c>
      <c r="C37" s="494"/>
      <c r="D37" s="494"/>
      <c r="E37" s="6"/>
      <c r="F37" s="47"/>
      <c r="G37" s="635"/>
      <c r="H37" s="469"/>
      <c r="I37" s="502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/>
      <c r="X37" s="508"/>
      <c r="Y37" s="509"/>
      <c r="Z37" s="502"/>
      <c r="AA37" s="502"/>
      <c r="AB37" s="527"/>
      <c r="AC37" s="66"/>
      <c r="AD37" s="470"/>
      <c r="AE37" s="6"/>
      <c r="AF37" s="6"/>
      <c r="AG37" s="508"/>
      <c r="AH37" s="509"/>
      <c r="AI37" s="6"/>
      <c r="AJ37" s="6"/>
      <c r="AK37" s="508"/>
      <c r="AM37" s="470"/>
      <c r="AN37" s="6"/>
      <c r="AO37" s="6"/>
      <c r="AP37" s="508"/>
      <c r="AQ37" s="509"/>
      <c r="AR37" s="6"/>
      <c r="AS37" s="6"/>
      <c r="AT37" s="508"/>
    </row>
    <row r="38" spans="1:46" ht="63" customHeight="1" x14ac:dyDescent="0.35">
      <c r="A38" s="1477"/>
      <c r="B38" s="472">
        <v>2</v>
      </c>
      <c r="C38" s="493"/>
      <c r="D38" s="494"/>
      <c r="E38" s="494"/>
      <c r="F38" s="637"/>
      <c r="G38" s="566"/>
      <c r="H38" s="514"/>
      <c r="I38" s="6"/>
      <c r="J38" s="527"/>
      <c r="K38" s="66"/>
      <c r="L38" s="470"/>
      <c r="M38" s="6"/>
      <c r="N38" s="6"/>
      <c r="O38" s="508"/>
      <c r="P38" s="469"/>
      <c r="Q38" s="6"/>
      <c r="R38" s="6"/>
      <c r="S38" s="527"/>
      <c r="T38" s="66"/>
      <c r="U38" s="470"/>
      <c r="V38" s="6"/>
      <c r="W38" s="6"/>
      <c r="X38" s="508"/>
      <c r="Y38" s="509"/>
      <c r="Z38" s="502"/>
      <c r="AA38" s="6"/>
      <c r="AB38" s="527"/>
      <c r="AC38" s="66"/>
      <c r="AD38" s="470">
        <v>500</v>
      </c>
      <c r="AE38" s="6"/>
      <c r="AF38" s="6"/>
      <c r="AG38" s="508"/>
      <c r="AH38" s="469" t="s">
        <v>498</v>
      </c>
      <c r="AI38" s="6"/>
      <c r="AJ38" s="502"/>
      <c r="AK38" s="527"/>
      <c r="AM38" s="470"/>
      <c r="AN38" s="6"/>
      <c r="AO38" s="6"/>
      <c r="AP38" s="508"/>
      <c r="AQ38" s="509"/>
      <c r="AR38" s="6"/>
      <c r="AS38" s="502"/>
      <c r="AT38" s="527"/>
    </row>
    <row r="39" spans="1:46" ht="39" customHeight="1" x14ac:dyDescent="0.35">
      <c r="A39" s="1478">
        <v>44853</v>
      </c>
      <c r="B39" s="472">
        <v>1</v>
      </c>
      <c r="C39" s="493"/>
      <c r="D39" s="494"/>
      <c r="E39" s="494">
        <v>12</v>
      </c>
      <c r="F39" s="495"/>
      <c r="G39" s="566"/>
      <c r="H39" s="514"/>
      <c r="I39" s="573" t="s">
        <v>152</v>
      </c>
      <c r="J39" s="568"/>
      <c r="K39" s="66"/>
      <c r="L39" s="470"/>
      <c r="M39" s="6"/>
      <c r="N39" s="6"/>
      <c r="O39" s="508"/>
      <c r="P39" s="509"/>
      <c r="Q39" s="6"/>
      <c r="R39" s="6"/>
      <c r="S39" s="508"/>
      <c r="T39" s="66"/>
      <c r="U39" s="470"/>
      <c r="V39" s="6"/>
      <c r="W39" s="6">
        <v>10</v>
      </c>
      <c r="X39" s="508"/>
      <c r="Y39" s="509"/>
      <c r="Z39" s="502"/>
      <c r="AA39" s="502" t="s">
        <v>152</v>
      </c>
      <c r="AB39" s="527"/>
      <c r="AC39" s="66"/>
      <c r="AD39" s="470"/>
      <c r="AE39" s="6"/>
      <c r="AF39" s="6"/>
      <c r="AG39" s="508"/>
      <c r="AH39" s="509"/>
      <c r="AI39" s="6"/>
      <c r="AJ39" s="6"/>
      <c r="AK39" s="508"/>
      <c r="AM39" s="470"/>
      <c r="AN39" s="6"/>
      <c r="AO39" s="6"/>
      <c r="AP39" s="508"/>
      <c r="AQ39" s="509"/>
      <c r="AR39" s="6"/>
      <c r="AS39" s="6"/>
      <c r="AT39" s="508"/>
    </row>
    <row r="40" spans="1:46" ht="59.5" customHeight="1" x14ac:dyDescent="0.35">
      <c r="A40" s="1477"/>
      <c r="B40" s="472">
        <v>2</v>
      </c>
      <c r="C40" s="493"/>
      <c r="D40" s="494"/>
      <c r="E40" s="494">
        <v>20</v>
      </c>
      <c r="F40" s="508"/>
      <c r="G40" s="566"/>
      <c r="H40" s="514"/>
      <c r="I40" s="573" t="s">
        <v>152</v>
      </c>
      <c r="J40" s="527"/>
      <c r="K40" s="66"/>
      <c r="L40" s="470"/>
      <c r="M40" s="6"/>
      <c r="N40" s="6"/>
      <c r="O40" s="508"/>
      <c r="P40" s="509"/>
      <c r="Q40" s="6"/>
      <c r="R40" s="6"/>
      <c r="S40" s="527"/>
      <c r="T40" s="66"/>
      <c r="U40" s="470"/>
      <c r="V40" s="6"/>
      <c r="W40" s="6"/>
      <c r="X40" s="508"/>
      <c r="Y40" s="509"/>
      <c r="Z40" s="502"/>
      <c r="AA40" s="502"/>
      <c r="AB40" s="527"/>
      <c r="AC40" s="66"/>
      <c r="AD40" s="470"/>
      <c r="AE40" s="6"/>
      <c r="AF40" s="6"/>
      <c r="AG40" s="508"/>
      <c r="AH40" s="509"/>
      <c r="AI40" s="6"/>
      <c r="AJ40" s="6"/>
      <c r="AK40" s="527"/>
      <c r="AM40" s="470"/>
      <c r="AN40" s="6"/>
      <c r="AO40" s="6"/>
      <c r="AP40" s="508"/>
      <c r="AQ40" s="509"/>
      <c r="AR40" s="6"/>
      <c r="AS40" s="6"/>
      <c r="AT40" s="527"/>
    </row>
    <row r="41" spans="1:46" ht="57" customHeight="1" x14ac:dyDescent="0.35">
      <c r="A41" s="1478">
        <v>44854</v>
      </c>
      <c r="B41" s="472">
        <v>1</v>
      </c>
      <c r="C41" s="493"/>
      <c r="D41" s="494"/>
      <c r="E41" s="494">
        <v>41</v>
      </c>
      <c r="F41" s="508"/>
      <c r="G41" s="566"/>
      <c r="H41" s="515"/>
      <c r="I41" s="573" t="s">
        <v>152</v>
      </c>
      <c r="J41" s="568"/>
      <c r="K41" s="66"/>
      <c r="L41" s="470"/>
      <c r="M41" s="6"/>
      <c r="N41" s="6"/>
      <c r="O41" s="508"/>
      <c r="P41" s="509"/>
      <c r="Q41" s="6"/>
      <c r="R41" s="6"/>
      <c r="S41" s="527"/>
      <c r="T41" s="66"/>
      <c r="U41" s="470"/>
      <c r="V41" s="6"/>
      <c r="W41" s="6">
        <v>32</v>
      </c>
      <c r="X41" s="508"/>
      <c r="Y41" s="509"/>
      <c r="Z41" s="502"/>
      <c r="AA41" s="502" t="s">
        <v>152</v>
      </c>
      <c r="AB41" s="508"/>
      <c r="AC41" s="66"/>
      <c r="AD41" s="470"/>
      <c r="AE41" s="6">
        <v>20</v>
      </c>
      <c r="AF41" s="6"/>
      <c r="AG41" s="508"/>
      <c r="AH41" s="509"/>
      <c r="AI41" s="502" t="s">
        <v>499</v>
      </c>
      <c r="AJ41" s="6"/>
      <c r="AK41" s="508"/>
      <c r="AM41" s="470"/>
      <c r="AN41" s="6"/>
      <c r="AO41" s="6"/>
      <c r="AP41" s="508"/>
      <c r="AQ41" s="509"/>
      <c r="AR41" s="502"/>
      <c r="AS41" s="6"/>
      <c r="AT41" s="508"/>
    </row>
    <row r="42" spans="1:46" ht="52.95" customHeight="1" x14ac:dyDescent="0.35">
      <c r="A42" s="1477"/>
      <c r="B42" s="472">
        <v>2</v>
      </c>
      <c r="C42" s="494"/>
      <c r="D42" s="494"/>
      <c r="E42" s="494">
        <v>28</v>
      </c>
      <c r="F42" s="508"/>
      <c r="G42" s="566"/>
      <c r="H42" s="514"/>
      <c r="I42" s="573" t="s">
        <v>152</v>
      </c>
      <c r="J42" s="568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/>
      <c r="X42" s="508"/>
      <c r="Y42" s="469"/>
      <c r="Z42" s="6"/>
      <c r="AA42" s="502"/>
      <c r="AB42" s="527"/>
      <c r="AC42" s="66"/>
      <c r="AD42" s="470">
        <v>13</v>
      </c>
      <c r="AE42" s="6"/>
      <c r="AF42" s="6"/>
      <c r="AG42" s="508"/>
      <c r="AH42" s="509" t="s">
        <v>500</v>
      </c>
      <c r="AI42" s="6"/>
      <c r="AJ42" s="6"/>
      <c r="AK42" s="508"/>
      <c r="AM42" s="470"/>
      <c r="AN42" s="6"/>
      <c r="AO42" s="6"/>
      <c r="AP42" s="508"/>
      <c r="AQ42" s="509"/>
      <c r="AR42" s="6"/>
      <c r="AS42" s="6"/>
      <c r="AT42" s="508"/>
    </row>
    <row r="43" spans="1:46" ht="19.95" customHeight="1" x14ac:dyDescent="0.35">
      <c r="A43" s="1478">
        <v>44855</v>
      </c>
      <c r="B43" s="472">
        <v>1</v>
      </c>
      <c r="C43" s="494"/>
      <c r="D43" s="494"/>
      <c r="E43" s="494"/>
      <c r="F43" s="495"/>
      <c r="G43" s="514"/>
      <c r="H43" s="514"/>
      <c r="I43" s="515"/>
      <c r="J43" s="527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/>
      <c r="W43" s="6"/>
      <c r="X43" s="508"/>
      <c r="Y43" s="509"/>
      <c r="Z43" s="6"/>
      <c r="AA43" s="515"/>
      <c r="AB43" s="508"/>
      <c r="AC43" s="66"/>
      <c r="AD43" s="470"/>
      <c r="AE43" s="6"/>
      <c r="AF43" s="6"/>
      <c r="AG43" s="508"/>
      <c r="AH43" s="502"/>
      <c r="AI43" s="515"/>
      <c r="AJ43" s="6"/>
      <c r="AK43" s="508"/>
      <c r="AM43" s="470"/>
      <c r="AN43" s="6"/>
      <c r="AO43" s="6"/>
      <c r="AP43" s="508"/>
      <c r="AQ43" s="502"/>
      <c r="AR43" s="515"/>
      <c r="AS43" s="6"/>
      <c r="AT43" s="508"/>
    </row>
    <row r="44" spans="1:46" ht="36" customHeight="1" x14ac:dyDescent="0.35">
      <c r="A44" s="1477"/>
      <c r="B44" s="472">
        <v>2</v>
      </c>
      <c r="C44" s="494"/>
      <c r="D44" s="494">
        <v>10</v>
      </c>
      <c r="E44" s="494"/>
      <c r="F44" s="495"/>
      <c r="G44" s="514"/>
      <c r="H44" s="514" t="s">
        <v>501</v>
      </c>
      <c r="I44" s="573"/>
      <c r="J44" s="527"/>
      <c r="K44" s="66"/>
      <c r="L44" s="470"/>
      <c r="M44" s="6"/>
      <c r="N44" s="6"/>
      <c r="O44" s="508"/>
      <c r="P44" s="509"/>
      <c r="Q44" s="6"/>
      <c r="R44" s="502"/>
      <c r="S44" s="627"/>
      <c r="T44" s="66"/>
      <c r="U44" s="470"/>
      <c r="V44" s="6"/>
      <c r="W44" s="494">
        <v>25</v>
      </c>
      <c r="X44" s="495"/>
      <c r="Y44" s="514"/>
      <c r="Z44" s="514"/>
      <c r="AA44" s="502" t="s">
        <v>152</v>
      </c>
      <c r="AB44" s="527"/>
      <c r="AC44" s="66"/>
      <c r="AD44" s="470"/>
      <c r="AE44" s="6"/>
      <c r="AF44" s="6"/>
      <c r="AG44" s="508"/>
      <c r="AH44" s="509"/>
      <c r="AI44" s="502"/>
      <c r="AJ44" s="502"/>
      <c r="AK44" s="508"/>
      <c r="AM44" s="470"/>
      <c r="AN44" s="6"/>
      <c r="AO44" s="6"/>
      <c r="AP44" s="508"/>
      <c r="AQ44" s="509"/>
      <c r="AR44" s="502"/>
      <c r="AS44" s="502"/>
      <c r="AT44" s="508"/>
    </row>
    <row r="45" spans="1:46" ht="36" customHeight="1" x14ac:dyDescent="0.35">
      <c r="A45" s="1478">
        <v>44856</v>
      </c>
      <c r="B45" s="472">
        <v>1</v>
      </c>
      <c r="C45" s="494"/>
      <c r="D45" s="494">
        <v>11</v>
      </c>
      <c r="E45" s="494"/>
      <c r="F45" s="495"/>
      <c r="G45" s="514"/>
      <c r="H45" s="514" t="s">
        <v>501</v>
      </c>
      <c r="I45" s="515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>
        <v>10</v>
      </c>
      <c r="X45" s="508"/>
      <c r="Y45" s="509"/>
      <c r="Z45" s="6"/>
      <c r="AA45" s="502" t="s">
        <v>152</v>
      </c>
      <c r="AB45" s="508"/>
      <c r="AC45" s="66"/>
      <c r="AD45" s="470"/>
      <c r="AE45" s="6"/>
      <c r="AF45" s="6"/>
      <c r="AG45" s="508"/>
      <c r="AH45" s="509"/>
      <c r="AI45" s="502"/>
      <c r="AJ45" s="6"/>
      <c r="AK45" s="508"/>
      <c r="AM45" s="470"/>
      <c r="AN45" s="6"/>
      <c r="AO45" s="6"/>
      <c r="AP45" s="508"/>
      <c r="AQ45" s="509"/>
      <c r="AR45" s="502"/>
      <c r="AS45" s="6"/>
      <c r="AT45" s="508"/>
    </row>
    <row r="46" spans="1:46" ht="46.2" customHeight="1" x14ac:dyDescent="0.35">
      <c r="A46" s="1477"/>
      <c r="B46" s="472">
        <v>2</v>
      </c>
      <c r="C46" s="494"/>
      <c r="D46" s="494">
        <v>9</v>
      </c>
      <c r="E46" s="494">
        <v>20</v>
      </c>
      <c r="F46" s="495"/>
      <c r="G46" s="514"/>
      <c r="H46" s="514" t="s">
        <v>501</v>
      </c>
      <c r="I46" s="573" t="s">
        <v>152</v>
      </c>
      <c r="J46" s="527"/>
      <c r="K46" s="66"/>
      <c r="L46" s="470"/>
      <c r="M46" s="6"/>
      <c r="N46" s="6"/>
      <c r="O46" s="633"/>
      <c r="P46" s="509"/>
      <c r="Q46" s="515"/>
      <c r="R46" s="6"/>
      <c r="S46" s="527"/>
      <c r="T46" s="66"/>
      <c r="U46" s="470"/>
      <c r="V46" s="6"/>
      <c r="W46" s="6">
        <v>28</v>
      </c>
      <c r="X46" s="508"/>
      <c r="Y46" s="509"/>
      <c r="Z46" s="6"/>
      <c r="AA46" s="502" t="s">
        <v>152</v>
      </c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/>
      <c r="AO46" s="6"/>
      <c r="AP46" s="508"/>
      <c r="AQ46" s="469"/>
      <c r="AR46" s="6"/>
      <c r="AS46" s="6"/>
      <c r="AT46" s="527"/>
    </row>
    <row r="47" spans="1:46" ht="41.5" customHeight="1" x14ac:dyDescent="0.35">
      <c r="A47" s="1478">
        <v>44857</v>
      </c>
      <c r="B47" s="472">
        <v>1</v>
      </c>
      <c r="C47" s="494"/>
      <c r="D47" s="494"/>
      <c r="E47" s="494">
        <v>38</v>
      </c>
      <c r="F47" s="495"/>
      <c r="G47" s="515"/>
      <c r="H47" s="514"/>
      <c r="I47" s="573" t="s">
        <v>152</v>
      </c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>
        <v>18</v>
      </c>
      <c r="X47" s="508"/>
      <c r="Y47" s="509"/>
      <c r="Z47" s="502"/>
      <c r="AA47" s="502" t="s">
        <v>152</v>
      </c>
      <c r="AB47" s="527"/>
      <c r="AC47" s="66"/>
      <c r="AD47" s="470"/>
      <c r="AE47" s="6"/>
      <c r="AF47" s="6">
        <v>10</v>
      </c>
      <c r="AG47" s="508"/>
      <c r="AH47" s="469"/>
      <c r="AI47" s="515"/>
      <c r="AJ47" s="6" t="s">
        <v>152</v>
      </c>
      <c r="AK47" s="508"/>
      <c r="AM47" s="470"/>
      <c r="AN47" s="6"/>
      <c r="AO47" s="6"/>
      <c r="AP47" s="508"/>
      <c r="AQ47" s="469"/>
      <c r="AR47" s="515"/>
      <c r="AS47" s="6"/>
      <c r="AT47" s="508"/>
    </row>
    <row r="48" spans="1:46" ht="42.75" customHeight="1" x14ac:dyDescent="0.35">
      <c r="A48" s="1477"/>
      <c r="B48" s="472">
        <v>2</v>
      </c>
      <c r="C48" s="494"/>
      <c r="D48" s="494"/>
      <c r="E48" s="494">
        <v>10</v>
      </c>
      <c r="F48" s="495"/>
      <c r="G48" s="515"/>
      <c r="H48" s="515"/>
      <c r="I48" s="573" t="s">
        <v>152</v>
      </c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>
        <v>10</v>
      </c>
      <c r="X48" s="508"/>
      <c r="Y48" s="469"/>
      <c r="Z48" s="6"/>
      <c r="AA48" s="502" t="s">
        <v>152</v>
      </c>
      <c r="AB48" s="508"/>
      <c r="AC48" s="66"/>
      <c r="AD48" s="470"/>
      <c r="AE48" s="6"/>
      <c r="AF48" s="6">
        <v>10</v>
      </c>
      <c r="AG48" s="508"/>
      <c r="AH48" s="509"/>
      <c r="AI48" s="502"/>
      <c r="AJ48" s="6" t="s">
        <v>152</v>
      </c>
      <c r="AK48" s="508"/>
      <c r="AM48" s="470"/>
      <c r="AN48" s="6"/>
      <c r="AO48" s="6"/>
      <c r="AP48" s="508"/>
      <c r="AQ48" s="509"/>
      <c r="AR48" s="502"/>
      <c r="AS48" s="6"/>
      <c r="AT48" s="508"/>
    </row>
    <row r="49" spans="1:46" ht="29.5" customHeight="1" x14ac:dyDescent="0.35">
      <c r="A49" s="1478">
        <v>44858</v>
      </c>
      <c r="B49" s="472">
        <v>1</v>
      </c>
      <c r="C49" s="494"/>
      <c r="D49" s="494"/>
      <c r="E49" s="494">
        <v>20</v>
      </c>
      <c r="F49" s="495"/>
      <c r="G49" s="515"/>
      <c r="H49" s="514"/>
      <c r="I49" s="573" t="s">
        <v>152</v>
      </c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>
        <v>10</v>
      </c>
      <c r="X49" s="508"/>
      <c r="Y49" s="509"/>
      <c r="Z49" s="502"/>
      <c r="AA49" s="502" t="s">
        <v>152</v>
      </c>
      <c r="AB49" s="527"/>
      <c r="AC49" s="66"/>
      <c r="AD49" s="470"/>
      <c r="AE49" s="6"/>
      <c r="AF49" s="6"/>
      <c r="AG49" s="508"/>
      <c r="AH49" s="509"/>
      <c r="AI49" s="502"/>
      <c r="AJ49" s="6"/>
      <c r="AK49" s="508"/>
      <c r="AM49" s="470"/>
      <c r="AN49" s="6"/>
      <c r="AO49" s="6"/>
      <c r="AP49" s="508"/>
      <c r="AQ49" s="509"/>
      <c r="AR49" s="502"/>
      <c r="AS49" s="6"/>
      <c r="AT49" s="508"/>
    </row>
    <row r="50" spans="1:46" ht="28.9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15"/>
      <c r="J50" s="527"/>
      <c r="K50" s="66"/>
      <c r="L50" s="470"/>
      <c r="M50" s="6"/>
      <c r="N50" s="6"/>
      <c r="O50" s="508"/>
      <c r="P50" s="509"/>
      <c r="Q50" s="502"/>
      <c r="R50" s="502"/>
      <c r="S50" s="627"/>
      <c r="T50" s="66"/>
      <c r="U50" s="470"/>
      <c r="V50" s="6"/>
      <c r="W50" s="6"/>
      <c r="X50" s="508"/>
      <c r="Y50" s="469"/>
      <c r="Z50" s="502"/>
      <c r="AA50" s="502"/>
      <c r="AB50" s="508"/>
      <c r="AC50" s="66"/>
      <c r="AD50" s="470"/>
      <c r="AE50" s="6"/>
      <c r="AF50" s="6"/>
      <c r="AG50" s="508"/>
      <c r="AH50" s="509"/>
      <c r="AI50" s="6"/>
      <c r="AJ50" s="502"/>
      <c r="AK50" s="508"/>
      <c r="AM50" s="470"/>
      <c r="AN50" s="6"/>
      <c r="AO50" s="6"/>
      <c r="AP50" s="508"/>
      <c r="AQ50" s="509"/>
      <c r="AR50" s="6"/>
      <c r="AS50" s="502"/>
      <c r="AT50" s="508"/>
    </row>
    <row r="51" spans="1:46" ht="34.950000000000003" customHeight="1" x14ac:dyDescent="0.35">
      <c r="A51" s="1478">
        <v>44859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  <c r="AM51" s="470"/>
      <c r="AN51" s="6"/>
      <c r="AO51" s="6"/>
      <c r="AP51" s="508"/>
      <c r="AQ51" s="509"/>
      <c r="AR51" s="6"/>
      <c r="AS51" s="6"/>
      <c r="AT51" s="508"/>
    </row>
    <row r="52" spans="1:46" ht="31.95" customHeight="1" x14ac:dyDescent="0.35">
      <c r="A52" s="1477"/>
      <c r="B52" s="472">
        <v>2</v>
      </c>
      <c r="C52" s="494">
        <v>20</v>
      </c>
      <c r="D52" s="494"/>
      <c r="E52" s="494">
        <v>20</v>
      </c>
      <c r="F52" s="495"/>
      <c r="G52" s="515" t="s">
        <v>502</v>
      </c>
      <c r="H52" s="515"/>
      <c r="I52" s="573" t="s">
        <v>152</v>
      </c>
      <c r="J52" s="527"/>
      <c r="K52" s="66"/>
      <c r="L52" s="470"/>
      <c r="M52" s="6"/>
      <c r="N52" s="6"/>
      <c r="O52" s="508"/>
      <c r="P52" s="509"/>
      <c r="Q52" s="6"/>
      <c r="R52" s="6"/>
      <c r="S52" s="527"/>
      <c r="T52" s="66"/>
      <c r="U52" s="470"/>
      <c r="V52" s="6"/>
      <c r="W52" s="6">
        <v>10</v>
      </c>
      <c r="X52" s="508"/>
      <c r="Y52" s="469"/>
      <c r="Z52" s="502"/>
      <c r="AA52" s="502" t="s">
        <v>152</v>
      </c>
      <c r="AB52" s="527"/>
      <c r="AC52" s="66"/>
      <c r="AD52" s="470"/>
      <c r="AE52" s="6">
        <v>10</v>
      </c>
      <c r="AF52" s="6">
        <v>10</v>
      </c>
      <c r="AG52" s="508"/>
      <c r="AH52" s="509"/>
      <c r="AI52" s="6" t="s">
        <v>503</v>
      </c>
      <c r="AJ52" s="6" t="s">
        <v>152</v>
      </c>
      <c r="AK52" s="508"/>
      <c r="AM52" s="470">
        <v>21</v>
      </c>
      <c r="AN52" s="508">
        <v>428</v>
      </c>
      <c r="AO52" s="508"/>
      <c r="AP52" s="508"/>
      <c r="AQ52" s="509" t="s">
        <v>97</v>
      </c>
      <c r="AR52" s="508" t="s">
        <v>504</v>
      </c>
      <c r="AS52" s="6"/>
      <c r="AT52" s="508"/>
    </row>
    <row r="53" spans="1:46" ht="73.2" customHeight="1" x14ac:dyDescent="0.35">
      <c r="A53" s="1478">
        <v>44860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>
        <v>152</v>
      </c>
      <c r="AP53" s="508"/>
      <c r="AQ53" s="509"/>
      <c r="AR53" s="502"/>
      <c r="AS53" s="502" t="s">
        <v>401</v>
      </c>
      <c r="AT53" s="508"/>
    </row>
    <row r="54" spans="1:46" ht="76.95" customHeight="1" x14ac:dyDescent="0.35">
      <c r="A54" s="1477"/>
      <c r="B54" s="500">
        <v>2</v>
      </c>
      <c r="C54" s="494"/>
      <c r="D54" s="494"/>
      <c r="E54" s="494">
        <v>65</v>
      </c>
      <c r="F54" s="495"/>
      <c r="G54" s="514"/>
      <c r="H54" s="514"/>
      <c r="I54" s="514" t="s">
        <v>152</v>
      </c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>
        <v>20</v>
      </c>
      <c r="X54" s="495"/>
      <c r="Y54" s="514"/>
      <c r="Z54" s="515"/>
      <c r="AA54" s="515" t="s">
        <v>152</v>
      </c>
      <c r="AB54" s="527"/>
      <c r="AC54" s="66"/>
      <c r="AD54" s="470"/>
      <c r="AE54" s="6"/>
      <c r="AF54" s="6"/>
      <c r="AG54" s="495"/>
      <c r="AH54" s="514"/>
      <c r="AI54" s="514"/>
      <c r="AJ54" s="514"/>
      <c r="AK54" s="527"/>
      <c r="AM54" s="470"/>
      <c r="AN54" s="6"/>
      <c r="AO54" s="6">
        <v>16</v>
      </c>
      <c r="AP54" s="495"/>
      <c r="AQ54" s="514"/>
      <c r="AR54" s="514"/>
      <c r="AS54" s="514" t="s">
        <v>401</v>
      </c>
      <c r="AT54" s="527"/>
    </row>
    <row r="55" spans="1:46" ht="31.95" customHeight="1" x14ac:dyDescent="0.35">
      <c r="A55" s="1478">
        <v>44861</v>
      </c>
      <c r="B55" s="472">
        <v>1</v>
      </c>
      <c r="C55" s="493"/>
      <c r="D55" s="494"/>
      <c r="E55" s="494">
        <v>22</v>
      </c>
      <c r="F55" s="495"/>
      <c r="G55" s="514"/>
      <c r="H55" s="514"/>
      <c r="I55" s="515" t="s">
        <v>152</v>
      </c>
      <c r="J55" s="56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>
        <v>18</v>
      </c>
      <c r="X55" s="508"/>
      <c r="Y55" s="509"/>
      <c r="Z55" s="514"/>
      <c r="AA55" s="515" t="s">
        <v>152</v>
      </c>
      <c r="AB55" s="527"/>
      <c r="AC55" s="66"/>
      <c r="AD55" s="470"/>
      <c r="AE55" s="6"/>
      <c r="AF55" s="6">
        <v>10</v>
      </c>
      <c r="AG55" s="508"/>
      <c r="AH55" s="509"/>
      <c r="AI55" s="6"/>
      <c r="AJ55" s="502" t="s">
        <v>152</v>
      </c>
      <c r="AK55" s="508"/>
      <c r="AM55" s="470"/>
      <c r="AN55" s="6"/>
      <c r="AO55" s="6"/>
      <c r="AP55" s="508"/>
      <c r="AQ55" s="509"/>
      <c r="AR55" s="6"/>
      <c r="AS55" s="502"/>
      <c r="AT55" s="508"/>
    </row>
    <row r="56" spans="1:46" ht="97.95" customHeight="1" x14ac:dyDescent="0.35">
      <c r="A56" s="1477"/>
      <c r="B56" s="500">
        <v>2</v>
      </c>
      <c r="C56" s="493"/>
      <c r="D56" s="494"/>
      <c r="E56" s="494">
        <v>35</v>
      </c>
      <c r="F56" s="495"/>
      <c r="G56" s="515"/>
      <c r="H56" s="514"/>
      <c r="I56" s="515" t="s">
        <v>152</v>
      </c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>
        <v>15</v>
      </c>
      <c r="X56" s="495"/>
      <c r="Y56" s="515"/>
      <c r="Z56" s="514"/>
      <c r="AA56" s="515" t="s">
        <v>152</v>
      </c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95"/>
      <c r="AQ56" s="515"/>
      <c r="AR56" s="514"/>
      <c r="AS56" s="515"/>
      <c r="AT56" s="527"/>
    </row>
    <row r="57" spans="1:46" ht="45.65" customHeight="1" x14ac:dyDescent="0.35">
      <c r="A57" s="1478">
        <v>44862</v>
      </c>
      <c r="B57" s="472">
        <v>1</v>
      </c>
      <c r="C57" s="493"/>
      <c r="D57" s="494"/>
      <c r="E57" s="494"/>
      <c r="F57" s="495"/>
      <c r="G57" s="515"/>
      <c r="H57" s="514"/>
      <c r="I57" s="515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15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95"/>
      <c r="AQ57" s="515"/>
      <c r="AR57" s="514"/>
      <c r="AS57" s="515"/>
      <c r="AT57" s="527"/>
    </row>
    <row r="58" spans="1:46" ht="39.65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515"/>
      <c r="J58" s="527"/>
      <c r="K58" s="66"/>
      <c r="L58" s="470"/>
      <c r="M58" s="6"/>
      <c r="N58" s="6"/>
      <c r="O58" s="508"/>
      <c r="P58" s="509"/>
      <c r="Q58" s="6"/>
      <c r="R58" s="6"/>
      <c r="S58" s="527"/>
      <c r="T58" s="66"/>
      <c r="U58" s="470"/>
      <c r="V58" s="6"/>
      <c r="W58" s="6"/>
      <c r="X58" s="508"/>
      <c r="Y58" s="509"/>
      <c r="Z58" s="502"/>
      <c r="AA58" s="515"/>
      <c r="AB58" s="508"/>
      <c r="AC58" s="66"/>
      <c r="AD58" s="470"/>
      <c r="AE58" s="6"/>
      <c r="AF58" s="6"/>
      <c r="AG58" s="508"/>
      <c r="AH58" s="509"/>
      <c r="AI58" s="6"/>
      <c r="AJ58" s="6"/>
      <c r="AK58" s="508"/>
      <c r="AM58" s="470"/>
      <c r="AN58" s="6"/>
      <c r="AO58" s="6"/>
      <c r="AP58" s="508"/>
      <c r="AQ58" s="509"/>
      <c r="AR58" s="6"/>
      <c r="AS58" s="6"/>
      <c r="AT58" s="508"/>
    </row>
    <row r="59" spans="1:46" ht="34.200000000000003" customHeight="1" x14ac:dyDescent="0.35">
      <c r="A59" s="1478">
        <v>44863</v>
      </c>
      <c r="B59" s="472">
        <v>1</v>
      </c>
      <c r="C59" s="493"/>
      <c r="D59" s="494"/>
      <c r="E59" s="494"/>
      <c r="F59" s="495"/>
      <c r="G59" s="514"/>
      <c r="H59" s="514"/>
      <c r="I59" s="573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02"/>
      <c r="AB59" s="508"/>
      <c r="AC59" s="66"/>
      <c r="AD59" s="470"/>
      <c r="AE59" s="6"/>
      <c r="AF59" s="6"/>
      <c r="AG59" s="508"/>
      <c r="AH59" s="469"/>
      <c r="AI59" s="6"/>
      <c r="AJ59" s="515"/>
      <c r="AK59" s="508"/>
      <c r="AM59" s="470"/>
      <c r="AN59" s="6"/>
      <c r="AO59" s="6"/>
      <c r="AP59" s="508"/>
      <c r="AQ59" s="469"/>
      <c r="AR59" s="6"/>
      <c r="AS59" s="515"/>
      <c r="AT59" s="508"/>
    </row>
    <row r="60" spans="1:46" ht="53.5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573"/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502"/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508"/>
      <c r="AQ60" s="509"/>
      <c r="AR60" s="6"/>
      <c r="AS60" s="502"/>
      <c r="AT60" s="527"/>
    </row>
    <row r="61" spans="1:46" ht="19.95" customHeight="1" x14ac:dyDescent="0.35">
      <c r="A61" s="1478">
        <v>44864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508"/>
      <c r="AQ61" s="509"/>
      <c r="AR61" s="6"/>
      <c r="AS61" s="502"/>
      <c r="AT61" s="624"/>
    </row>
    <row r="62" spans="1:46" ht="19.9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508"/>
      <c r="AQ62" s="509"/>
      <c r="AR62" s="6"/>
      <c r="AS62" s="502"/>
      <c r="AT62" s="624"/>
    </row>
    <row r="63" spans="1:46" ht="19.95" customHeight="1" x14ac:dyDescent="0.35">
      <c r="A63" s="1478">
        <v>44865</v>
      </c>
      <c r="B63" s="472">
        <v>1</v>
      </c>
      <c r="C63" s="587"/>
      <c r="D63" s="588"/>
      <c r="E63" s="588"/>
      <c r="F63" s="589"/>
      <c r="G63" s="598"/>
      <c r="H63" s="590"/>
      <c r="I63" s="515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6"/>
      <c r="AB63" s="563"/>
      <c r="AC63" s="66"/>
      <c r="AD63" s="470"/>
      <c r="AE63" s="6"/>
      <c r="AF63" s="6"/>
      <c r="AG63" s="495"/>
      <c r="AH63" s="566"/>
      <c r="AI63" s="514"/>
      <c r="AJ63" s="514"/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19.9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528"/>
      <c r="AQ64" s="529"/>
      <c r="AR64" s="530"/>
      <c r="AS64" s="530"/>
      <c r="AT64" s="594"/>
    </row>
    <row r="65" spans="1:42" x14ac:dyDescent="0.35">
      <c r="A65" s="423" t="s">
        <v>225</v>
      </c>
      <c r="C65" s="631">
        <f>SUM(C3:C64)</f>
        <v>205</v>
      </c>
      <c r="D65" s="65">
        <f>SUM(D3:D64)</f>
        <v>40</v>
      </c>
      <c r="E65" s="631">
        <f>SUM(E3:E64)</f>
        <v>1111</v>
      </c>
      <c r="F65" s="65">
        <f>SUM(F3:F64)</f>
        <v>0</v>
      </c>
      <c r="L65" s="65">
        <f>SUM(L3:L64)</f>
        <v>0</v>
      </c>
      <c r="M65" s="65">
        <f>SUM(M3:M64)</f>
        <v>0</v>
      </c>
      <c r="N65" s="65">
        <f>SUM(N3:N64)</f>
        <v>16</v>
      </c>
      <c r="O65" s="65">
        <f>SUM(O3:O64)</f>
        <v>0</v>
      </c>
      <c r="U65" s="65">
        <f>SUM(U3:U64)</f>
        <v>1161</v>
      </c>
      <c r="V65" s="65">
        <f>SUM(V3:V64)</f>
        <v>0</v>
      </c>
      <c r="W65" s="65">
        <f>SUM(W3:W64)</f>
        <v>844</v>
      </c>
      <c r="X65" s="65">
        <f>SUM(X3:X64)</f>
        <v>0</v>
      </c>
      <c r="AD65" s="65">
        <f>SUM(AD3:AD64)</f>
        <v>1050</v>
      </c>
      <c r="AE65" s="65">
        <f>SUM(AE3:AE64)</f>
        <v>212</v>
      </c>
      <c r="AF65" s="65">
        <f>SUM(AF3:AF64)</f>
        <v>746</v>
      </c>
      <c r="AG65" s="65">
        <f>SUM(AG3:AG64)</f>
        <v>0</v>
      </c>
      <c r="AM65" s="65">
        <f>SUM(AM3:AM64)</f>
        <v>67</v>
      </c>
      <c r="AN65" s="65">
        <f>SUM(AN3:AN64)</f>
        <v>568</v>
      </c>
      <c r="AO65" s="65">
        <f>SUM(AO3:AO64)</f>
        <v>484</v>
      </c>
      <c r="AP65" s="65">
        <f>SUM(AP3:AP64)</f>
        <v>0</v>
      </c>
    </row>
    <row r="73" spans="1:42" ht="14.6" thickBot="1" x14ac:dyDescent="0.4"/>
    <row r="74" spans="1:42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21.75" customHeight="1" x14ac:dyDescent="0.4">
      <c r="B76" s="541" t="s">
        <v>218</v>
      </c>
      <c r="C76" s="542">
        <f>C65</f>
        <v>205</v>
      </c>
      <c r="D76" s="543">
        <f>C76/60</f>
        <v>3.4166666666666665</v>
      </c>
      <c r="E76" s="542">
        <f>D65</f>
        <v>40</v>
      </c>
      <c r="F76" s="544">
        <f>E76/60</f>
        <v>0.66666666666666663</v>
      </c>
      <c r="G76" s="542">
        <f>E65</f>
        <v>1111</v>
      </c>
      <c r="H76" s="543">
        <f>G76/60</f>
        <v>18.516666666666666</v>
      </c>
      <c r="I76" s="542">
        <f>F65</f>
        <v>0</v>
      </c>
      <c r="J76" s="543">
        <f>I76/60</f>
        <v>0</v>
      </c>
    </row>
    <row r="77" spans="1:42" ht="19.5" customHeight="1" x14ac:dyDescent="0.4">
      <c r="B77" s="541" t="s">
        <v>219</v>
      </c>
      <c r="C77" s="545">
        <f>L65</f>
        <v>0</v>
      </c>
      <c r="D77" s="546">
        <f t="shared" ref="D77:F79" si="0">C77/60</f>
        <v>0</v>
      </c>
      <c r="E77" s="545">
        <f>M65</f>
        <v>0</v>
      </c>
      <c r="F77" s="547">
        <f t="shared" si="0"/>
        <v>0</v>
      </c>
      <c r="G77" s="545">
        <f>N65</f>
        <v>16</v>
      </c>
      <c r="H77" s="546">
        <f t="shared" ref="H77:J79" si="1">G77/60</f>
        <v>0.26666666666666666</v>
      </c>
      <c r="I77" s="545">
        <f>O65</f>
        <v>0</v>
      </c>
      <c r="J77" s="546">
        <f t="shared" si="1"/>
        <v>0</v>
      </c>
    </row>
    <row r="78" spans="1:42" ht="20.25" customHeight="1" x14ac:dyDescent="0.4">
      <c r="B78" s="541" t="s">
        <v>220</v>
      </c>
      <c r="C78" s="545">
        <f>U65</f>
        <v>1161</v>
      </c>
      <c r="D78" s="546">
        <f t="shared" si="0"/>
        <v>19.350000000000001</v>
      </c>
      <c r="E78" s="545">
        <f>V65</f>
        <v>0</v>
      </c>
      <c r="F78" s="547">
        <f t="shared" si="0"/>
        <v>0</v>
      </c>
      <c r="G78" s="545">
        <f>W65</f>
        <v>844</v>
      </c>
      <c r="H78" s="546">
        <f t="shared" si="1"/>
        <v>14.066666666666666</v>
      </c>
      <c r="I78" s="545">
        <f>X65</f>
        <v>0</v>
      </c>
      <c r="J78" s="546">
        <f t="shared" si="1"/>
        <v>0</v>
      </c>
    </row>
    <row r="79" spans="1:42" ht="22.5" customHeight="1" thickBot="1" x14ac:dyDescent="0.45">
      <c r="B79" s="541" t="s">
        <v>221</v>
      </c>
      <c r="C79" s="548">
        <f>AD65</f>
        <v>1050</v>
      </c>
      <c r="D79" s="549">
        <f t="shared" si="0"/>
        <v>17.5</v>
      </c>
      <c r="E79" s="548">
        <f>AE65</f>
        <v>212</v>
      </c>
      <c r="F79" s="550">
        <f t="shared" si="0"/>
        <v>3.5333333333333332</v>
      </c>
      <c r="G79" s="548">
        <f>AF65</f>
        <v>746</v>
      </c>
      <c r="H79" s="549">
        <f t="shared" si="1"/>
        <v>12.433333333333334</v>
      </c>
      <c r="I79" s="548">
        <f>AG65</f>
        <v>0</v>
      </c>
      <c r="J79" s="549">
        <f t="shared" si="1"/>
        <v>0</v>
      </c>
    </row>
    <row r="80" spans="1:42" ht="22.5" customHeight="1" thickBot="1" x14ac:dyDescent="0.45">
      <c r="B80" s="541" t="s">
        <v>488</v>
      </c>
      <c r="C80" s="279">
        <f>AM65</f>
        <v>67</v>
      </c>
      <c r="D80" s="549">
        <f>C80/60</f>
        <v>1.1166666666666667</v>
      </c>
      <c r="E80" s="279">
        <f>AN65</f>
        <v>568</v>
      </c>
      <c r="F80" s="550">
        <f>E80/60</f>
        <v>9.4666666666666668</v>
      </c>
      <c r="G80" s="279">
        <f>AO65</f>
        <v>484</v>
      </c>
      <c r="H80" s="549">
        <f>G80/60</f>
        <v>8.0666666666666664</v>
      </c>
      <c r="I80" s="279">
        <f>AP65</f>
        <v>0</v>
      </c>
      <c r="J80" s="549">
        <f>I80/60</f>
        <v>0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41.383333333333333</v>
      </c>
      <c r="E82" s="556"/>
      <c r="F82" s="557">
        <f>SUM(F76:F80)</f>
        <v>13.666666666666668</v>
      </c>
      <c r="G82" s="556"/>
      <c r="H82" s="557">
        <f>SUM(H76:H80)</f>
        <v>53.349999999999994</v>
      </c>
      <c r="I82" s="556"/>
      <c r="J82" s="558">
        <f>AVERAGE(J76:J80)</f>
        <v>0</v>
      </c>
    </row>
  </sheetData>
  <mergeCells count="45">
    <mergeCell ref="I74:J74"/>
    <mergeCell ref="AM1:AP1"/>
    <mergeCell ref="AQ1:AT1"/>
    <mergeCell ref="A59:A60"/>
    <mergeCell ref="A61:A62"/>
    <mergeCell ref="A63:A64"/>
    <mergeCell ref="C74:D74"/>
    <mergeCell ref="E74:F74"/>
    <mergeCell ref="G74:H74"/>
    <mergeCell ref="A47:A48"/>
    <mergeCell ref="A49:A50"/>
    <mergeCell ref="A51:A52"/>
    <mergeCell ref="A53:A54"/>
    <mergeCell ref="A55:A56"/>
    <mergeCell ref="A57:A58"/>
    <mergeCell ref="A35:A36"/>
    <mergeCell ref="A37:A38"/>
    <mergeCell ref="A39:A40"/>
    <mergeCell ref="A41:A42"/>
    <mergeCell ref="A43:A44"/>
    <mergeCell ref="A45:A46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D1:AG1"/>
    <mergeCell ref="AH1:AK1"/>
    <mergeCell ref="A3:A4"/>
    <mergeCell ref="A5:A6"/>
    <mergeCell ref="A7:A8"/>
    <mergeCell ref="U1:X1"/>
    <mergeCell ref="Y1:AB1"/>
    <mergeCell ref="A9:A10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T82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76" sqref="L76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2.84375" style="423" customWidth="1"/>
    <col min="5" max="5" width="15.69140625" style="423" customWidth="1"/>
    <col min="6" max="6" width="16.84375" style="423" customWidth="1"/>
    <col min="7" max="7" width="21.15234375" style="423" customWidth="1"/>
    <col min="8" max="8" width="28.3828125" style="423" customWidth="1"/>
    <col min="9" max="9" width="30.3828125" style="423" customWidth="1"/>
    <col min="10" max="10" width="24.53515625" style="423" customWidth="1"/>
    <col min="11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4.3046875" style="423" customWidth="1"/>
    <col min="20" max="24" width="10.69140625" style="423" customWidth="1"/>
    <col min="25" max="25" width="28" style="423" customWidth="1"/>
    <col min="26" max="26" width="23.84375" style="423" customWidth="1"/>
    <col min="27" max="27" width="32.3828125" style="423" customWidth="1"/>
    <col min="28" max="28" width="21.15234375" style="423" customWidth="1"/>
    <col min="29" max="33" width="10.69140625" style="423" customWidth="1"/>
    <col min="34" max="34" width="30.3828125" style="423" customWidth="1"/>
    <col min="35" max="35" width="25.3828125" style="423" customWidth="1"/>
    <col min="36" max="36" width="23.69140625" style="423" customWidth="1"/>
    <col min="37" max="37" width="23" style="423" customWidth="1"/>
    <col min="38" max="38" width="8.84375" style="423"/>
    <col min="39" max="42" width="10.69140625" style="423" customWidth="1"/>
    <col min="43" max="43" width="23.53515625" style="423" customWidth="1"/>
    <col min="44" max="44" width="24" style="423" customWidth="1"/>
    <col min="45" max="45" width="23.69140625" style="423" customWidth="1"/>
    <col min="46" max="46" width="23" style="423" customWidth="1"/>
    <col min="47" max="16384" width="8.84375" style="423"/>
  </cols>
  <sheetData>
    <row r="1" spans="1:46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4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5</v>
      </c>
      <c r="AE1" s="1471"/>
      <c r="AF1" s="1471"/>
      <c r="AG1" s="1471"/>
      <c r="AH1" s="1473" t="s">
        <v>206</v>
      </c>
      <c r="AI1" s="1473"/>
      <c r="AJ1" s="1473"/>
      <c r="AK1" s="1474"/>
      <c r="AM1" s="1471" t="s">
        <v>482</v>
      </c>
      <c r="AN1" s="1471"/>
      <c r="AO1" s="1471"/>
      <c r="AP1" s="1471"/>
      <c r="AQ1" s="1473" t="s">
        <v>206</v>
      </c>
      <c r="AR1" s="1473"/>
      <c r="AS1" s="1473"/>
      <c r="AT1" s="1474"/>
    </row>
    <row r="2" spans="1:46" ht="42.65" customHeight="1" x14ac:dyDescent="0.35">
      <c r="A2" s="634" t="s">
        <v>0</v>
      </c>
      <c r="B2" s="426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  <c r="AM2" s="424" t="s">
        <v>199</v>
      </c>
      <c r="AN2" s="424" t="s">
        <v>200</v>
      </c>
      <c r="AO2" s="424" t="s">
        <v>201</v>
      </c>
      <c r="AP2" s="424" t="s">
        <v>204</v>
      </c>
      <c r="AQ2" s="425" t="s">
        <v>199</v>
      </c>
      <c r="AR2" s="424" t="s">
        <v>200</v>
      </c>
      <c r="AS2" s="424" t="s">
        <v>201</v>
      </c>
      <c r="AT2" s="424" t="s">
        <v>204</v>
      </c>
    </row>
    <row r="3" spans="1:46" ht="30" customHeight="1" x14ac:dyDescent="0.35">
      <c r="A3" s="1478">
        <v>44866</v>
      </c>
      <c r="B3" s="501">
        <v>1</v>
      </c>
      <c r="C3" s="490"/>
      <c r="D3" s="491"/>
      <c r="E3" s="640">
        <v>10</v>
      </c>
      <c r="F3" s="492"/>
      <c r="G3" s="566"/>
      <c r="H3" s="514"/>
      <c r="I3" s="641" t="s">
        <v>505</v>
      </c>
      <c r="J3" s="567"/>
      <c r="K3" s="66"/>
      <c r="L3" s="507"/>
      <c r="M3" s="522"/>
      <c r="N3" s="522"/>
      <c r="O3" s="520"/>
      <c r="P3" s="521"/>
      <c r="Q3" s="580"/>
      <c r="R3" s="581"/>
      <c r="S3" s="520"/>
      <c r="T3" s="66"/>
      <c r="U3" s="507"/>
      <c r="V3" s="522"/>
      <c r="W3" s="522"/>
      <c r="X3" s="508"/>
      <c r="Y3" s="469"/>
      <c r="Z3" s="521"/>
      <c r="AA3" s="600"/>
      <c r="AB3" s="601"/>
      <c r="AC3" s="66"/>
      <c r="AD3" s="507"/>
      <c r="AE3" s="522"/>
      <c r="AF3" s="6"/>
      <c r="AG3" s="520"/>
      <c r="AH3" s="521"/>
      <c r="AI3" s="522"/>
      <c r="AJ3" s="6"/>
      <c r="AK3" s="520"/>
      <c r="AM3" s="507"/>
      <c r="AN3" s="522"/>
      <c r="AO3" s="6"/>
      <c r="AP3" s="520"/>
      <c r="AQ3" s="521"/>
      <c r="AR3" s="522"/>
      <c r="AS3" s="6"/>
      <c r="AT3" s="520"/>
    </row>
    <row r="4" spans="1:46" ht="40.950000000000003" customHeight="1" x14ac:dyDescent="0.35">
      <c r="A4" s="1477"/>
      <c r="B4" s="472">
        <v>2</v>
      </c>
      <c r="C4" s="493"/>
      <c r="D4" s="494"/>
      <c r="E4" s="494"/>
      <c r="F4" s="495"/>
      <c r="G4" s="566"/>
      <c r="H4" s="514"/>
      <c r="I4" s="515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/>
      <c r="X4" s="508"/>
      <c r="Y4" s="469"/>
      <c r="Z4" s="6"/>
      <c r="AA4" s="579"/>
      <c r="AB4" s="603"/>
      <c r="AC4" s="66"/>
      <c r="AD4" s="470"/>
      <c r="AE4" s="6"/>
      <c r="AF4" s="6">
        <v>35</v>
      </c>
      <c r="AG4" s="508"/>
      <c r="AH4" s="509"/>
      <c r="AI4" s="6"/>
      <c r="AJ4" s="6" t="s">
        <v>506</v>
      </c>
      <c r="AK4" s="508"/>
      <c r="AM4" s="470"/>
      <c r="AN4" s="6"/>
      <c r="AO4" s="6"/>
      <c r="AP4" s="508"/>
      <c r="AQ4" s="509"/>
      <c r="AR4" s="6"/>
      <c r="AS4" s="6"/>
      <c r="AT4" s="508"/>
    </row>
    <row r="5" spans="1:46" ht="39.65" customHeight="1" x14ac:dyDescent="0.35">
      <c r="A5" s="1478">
        <v>44867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579"/>
      <c r="AB5" s="604"/>
      <c r="AC5" s="66"/>
      <c r="AD5" s="470"/>
      <c r="AE5" s="6"/>
      <c r="AF5" s="6"/>
      <c r="AG5" s="508"/>
      <c r="AH5" s="509"/>
      <c r="AI5" s="6"/>
      <c r="AJ5" s="6"/>
      <c r="AK5" s="508"/>
      <c r="AM5" s="470"/>
      <c r="AN5" s="6"/>
      <c r="AO5" s="6">
        <v>17</v>
      </c>
      <c r="AP5" s="508"/>
      <c r="AQ5" s="509"/>
      <c r="AR5" s="6"/>
      <c r="AS5" s="6" t="s">
        <v>152</v>
      </c>
      <c r="AT5" s="508"/>
    </row>
    <row r="6" spans="1:46" ht="39" customHeight="1" x14ac:dyDescent="0.35">
      <c r="A6" s="1477"/>
      <c r="B6" s="472">
        <v>2</v>
      </c>
      <c r="C6" s="493"/>
      <c r="D6" s="494"/>
      <c r="E6" s="494"/>
      <c r="F6" s="495"/>
      <c r="G6" s="566"/>
      <c r="H6" s="514"/>
      <c r="I6" s="515"/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>
        <v>300</v>
      </c>
      <c r="V6" s="6"/>
      <c r="W6" s="6"/>
      <c r="X6" s="508"/>
      <c r="Y6" s="469" t="s">
        <v>507</v>
      </c>
      <c r="Z6" s="6"/>
      <c r="AA6" s="579"/>
      <c r="AB6" s="508"/>
      <c r="AC6" s="66"/>
      <c r="AD6" s="470"/>
      <c r="AE6" s="6"/>
      <c r="AF6" s="6">
        <v>11</v>
      </c>
      <c r="AG6" s="508"/>
      <c r="AH6" s="509"/>
      <c r="AI6" s="6"/>
      <c r="AJ6" s="6" t="s">
        <v>508</v>
      </c>
      <c r="AK6" s="508"/>
      <c r="AM6" s="470">
        <v>40</v>
      </c>
      <c r="AN6" s="6"/>
      <c r="AO6" s="6">
        <v>23</v>
      </c>
      <c r="AP6" s="508"/>
      <c r="AQ6" s="509"/>
      <c r="AR6" s="6"/>
      <c r="AS6" s="6" t="s">
        <v>152</v>
      </c>
      <c r="AT6" s="508"/>
    </row>
    <row r="7" spans="1:46" ht="33" customHeight="1" x14ac:dyDescent="0.35">
      <c r="A7" s="1478">
        <v>44868</v>
      </c>
      <c r="B7" s="472">
        <v>1</v>
      </c>
      <c r="C7" s="493"/>
      <c r="D7" s="494"/>
      <c r="E7" s="494">
        <v>10</v>
      </c>
      <c r="F7" s="495"/>
      <c r="G7" s="566"/>
      <c r="H7" s="515"/>
      <c r="I7" s="515" t="s">
        <v>509</v>
      </c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6"/>
      <c r="W7" s="6"/>
      <c r="X7" s="508"/>
      <c r="Y7" s="509"/>
      <c r="Z7" s="6"/>
      <c r="AA7" s="6"/>
      <c r="AB7" s="508"/>
      <c r="AC7" s="66"/>
      <c r="AD7" s="470"/>
      <c r="AE7" s="6"/>
      <c r="AF7" s="6"/>
      <c r="AG7" s="508"/>
      <c r="AH7" s="509"/>
      <c r="AI7" s="6"/>
      <c r="AJ7" s="6"/>
      <c r="AK7" s="508"/>
      <c r="AM7" s="470"/>
      <c r="AN7" s="6"/>
      <c r="AO7" s="6"/>
      <c r="AP7" s="508"/>
      <c r="AQ7" s="509"/>
      <c r="AR7" s="6"/>
      <c r="AS7" s="6"/>
      <c r="AT7" s="508"/>
    </row>
    <row r="8" spans="1:46" ht="33.65" customHeight="1" x14ac:dyDescent="0.35">
      <c r="A8" s="1477"/>
      <c r="B8" s="472">
        <v>2</v>
      </c>
      <c r="C8" s="493">
        <v>720</v>
      </c>
      <c r="D8" s="494"/>
      <c r="E8" s="494"/>
      <c r="F8" s="495"/>
      <c r="G8" s="565" t="s">
        <v>510</v>
      </c>
      <c r="H8" s="515"/>
      <c r="I8" s="515"/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/>
      <c r="X8" s="508"/>
      <c r="Y8" s="469"/>
      <c r="Z8" s="6"/>
      <c r="AA8" s="6"/>
      <c r="AB8" s="527"/>
      <c r="AC8" s="66"/>
      <c r="AD8" s="470"/>
      <c r="AE8" s="6"/>
      <c r="AF8" s="6"/>
      <c r="AG8" s="508"/>
      <c r="AH8" s="509"/>
      <c r="AI8" s="6"/>
      <c r="AJ8" s="6"/>
      <c r="AK8" s="527"/>
      <c r="AM8" s="470"/>
      <c r="AN8" s="6"/>
      <c r="AO8" s="6"/>
      <c r="AP8" s="508"/>
      <c r="AQ8" s="509"/>
      <c r="AR8" s="6"/>
      <c r="AS8" s="6"/>
      <c r="AT8" s="527"/>
    </row>
    <row r="9" spans="1:46" ht="40.200000000000003" customHeight="1" x14ac:dyDescent="0.35">
      <c r="A9" s="1478">
        <v>44869</v>
      </c>
      <c r="B9" s="472">
        <v>1</v>
      </c>
      <c r="C9" s="493">
        <v>13</v>
      </c>
      <c r="D9" s="494">
        <v>16</v>
      </c>
      <c r="E9" s="494"/>
      <c r="F9" s="495"/>
      <c r="G9" s="565" t="s">
        <v>510</v>
      </c>
      <c r="H9" s="514" t="s">
        <v>511</v>
      </c>
      <c r="I9" s="514"/>
      <c r="J9" s="527"/>
      <c r="K9" s="66"/>
      <c r="L9" s="470"/>
      <c r="M9" s="6">
        <v>18</v>
      </c>
      <c r="N9" s="6"/>
      <c r="O9" s="508"/>
      <c r="P9" s="469"/>
      <c r="Q9" s="514" t="s">
        <v>511</v>
      </c>
      <c r="R9" s="502"/>
      <c r="S9" s="527"/>
      <c r="T9" s="66"/>
      <c r="U9" s="470"/>
      <c r="V9" s="6"/>
      <c r="W9" s="6"/>
      <c r="X9" s="508"/>
      <c r="Y9" s="509"/>
      <c r="Z9" s="6"/>
      <c r="AA9" s="6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508"/>
      <c r="AQ9" s="509"/>
      <c r="AR9" s="6"/>
      <c r="AS9" s="6"/>
      <c r="AT9" s="527"/>
    </row>
    <row r="10" spans="1:46" ht="47.5" customHeight="1" x14ac:dyDescent="0.35">
      <c r="A10" s="1477"/>
      <c r="B10" s="472">
        <v>2</v>
      </c>
      <c r="C10" s="493"/>
      <c r="D10" s="494"/>
      <c r="E10" s="494">
        <v>16</v>
      </c>
      <c r="F10" s="495"/>
      <c r="G10" s="566"/>
      <c r="H10" s="514"/>
      <c r="I10" s="515" t="s">
        <v>506</v>
      </c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/>
      <c r="V10" s="6"/>
      <c r="W10" s="6"/>
      <c r="X10" s="508"/>
      <c r="Y10" s="470"/>
      <c r="Z10" s="469"/>
      <c r="AA10" s="6"/>
      <c r="AB10" s="527"/>
      <c r="AC10" s="66"/>
      <c r="AD10" s="470">
        <v>194</v>
      </c>
      <c r="AE10" s="6"/>
      <c r="AF10" s="6"/>
      <c r="AG10" s="508"/>
      <c r="AH10" s="469" t="s">
        <v>512</v>
      </c>
      <c r="AI10" s="6"/>
      <c r="AJ10" s="6"/>
      <c r="AK10" s="527"/>
      <c r="AM10" s="470"/>
      <c r="AN10" s="6"/>
      <c r="AO10" s="6"/>
      <c r="AP10" s="508"/>
      <c r="AQ10" s="509"/>
      <c r="AR10" s="6"/>
      <c r="AS10" s="6"/>
      <c r="AT10" s="527"/>
    </row>
    <row r="11" spans="1:46" ht="30.75" customHeight="1" x14ac:dyDescent="0.35">
      <c r="A11" s="1478">
        <v>44870</v>
      </c>
      <c r="B11" s="472">
        <v>1</v>
      </c>
      <c r="C11" s="493"/>
      <c r="D11" s="494"/>
      <c r="E11" s="494">
        <v>31</v>
      </c>
      <c r="F11" s="495"/>
      <c r="G11" s="565"/>
      <c r="H11" s="514"/>
      <c r="I11" s="515" t="s">
        <v>152</v>
      </c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  <c r="AM11" s="470"/>
      <c r="AN11" s="6"/>
      <c r="AO11" s="6"/>
      <c r="AP11" s="508"/>
      <c r="AQ11" s="509"/>
      <c r="AR11" s="6"/>
      <c r="AS11" s="6"/>
      <c r="AT11" s="508"/>
    </row>
    <row r="12" spans="1:46" ht="36.65" customHeight="1" x14ac:dyDescent="0.35">
      <c r="A12" s="1477"/>
      <c r="B12" s="472">
        <v>2</v>
      </c>
      <c r="C12" s="493"/>
      <c r="D12" s="494"/>
      <c r="E12" s="494">
        <v>84</v>
      </c>
      <c r="F12" s="495"/>
      <c r="G12" s="566"/>
      <c r="H12" s="514"/>
      <c r="I12" s="515" t="s">
        <v>514</v>
      </c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>
        <v>140</v>
      </c>
      <c r="V12" s="6"/>
      <c r="W12" s="6"/>
      <c r="X12" s="508"/>
      <c r="Y12" s="509" t="s">
        <v>513</v>
      </c>
      <c r="Z12" s="6"/>
      <c r="AA12" s="602"/>
      <c r="AB12" s="527"/>
      <c r="AC12" s="66"/>
      <c r="AD12" s="470"/>
      <c r="AE12" s="6"/>
      <c r="AF12" s="6"/>
      <c r="AG12" s="508"/>
      <c r="AH12" s="509"/>
      <c r="AI12" s="6"/>
      <c r="AJ12" s="6"/>
      <c r="AK12" s="527"/>
      <c r="AM12" s="470"/>
      <c r="AN12" s="6"/>
      <c r="AO12" s="6">
        <v>10</v>
      </c>
      <c r="AP12" s="508"/>
      <c r="AQ12" s="509"/>
      <c r="AR12" s="6"/>
      <c r="AS12" s="6" t="s">
        <v>152</v>
      </c>
      <c r="AT12" s="527"/>
    </row>
    <row r="13" spans="1:46" ht="40.5" customHeight="1" x14ac:dyDescent="0.35">
      <c r="A13" s="1478">
        <v>44871</v>
      </c>
      <c r="B13" s="472">
        <v>1</v>
      </c>
      <c r="C13" s="493"/>
      <c r="D13" s="494"/>
      <c r="E13" s="494">
        <v>28</v>
      </c>
      <c r="F13" s="495"/>
      <c r="G13" s="566"/>
      <c r="H13" s="514"/>
      <c r="I13" s="515" t="s">
        <v>152</v>
      </c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/>
      <c r="X13" s="495"/>
      <c r="Y13" s="469"/>
      <c r="Z13" s="502"/>
      <c r="AA13" s="6"/>
      <c r="AB13" s="527"/>
      <c r="AC13" s="66"/>
      <c r="AD13" s="470"/>
      <c r="AE13" s="6"/>
      <c r="AF13" s="6"/>
      <c r="AG13" s="495"/>
      <c r="AH13" s="509"/>
      <c r="AI13" s="6"/>
      <c r="AJ13" s="6"/>
      <c r="AK13" s="527"/>
      <c r="AM13" s="470">
        <v>34</v>
      </c>
      <c r="AN13" s="6"/>
      <c r="AO13" s="6">
        <v>46</v>
      </c>
      <c r="AP13" s="495"/>
      <c r="AQ13" s="509" t="s">
        <v>113</v>
      </c>
      <c r="AR13" s="6"/>
      <c r="AS13" s="6" t="s">
        <v>152</v>
      </c>
      <c r="AT13" s="527"/>
    </row>
    <row r="14" spans="1:46" ht="34.200000000000003" customHeight="1" x14ac:dyDescent="0.35">
      <c r="A14" s="1477"/>
      <c r="B14" s="472">
        <v>2</v>
      </c>
      <c r="C14" s="493"/>
      <c r="D14" s="494"/>
      <c r="E14" s="494">
        <v>52</v>
      </c>
      <c r="F14" s="495"/>
      <c r="G14" s="566"/>
      <c r="H14" s="515"/>
      <c r="I14" s="515" t="s">
        <v>152</v>
      </c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>
        <v>30</v>
      </c>
      <c r="X14" s="495"/>
      <c r="Y14" s="469"/>
      <c r="Z14" s="502"/>
      <c r="AA14" s="502" t="s">
        <v>152</v>
      </c>
      <c r="AB14" s="527"/>
      <c r="AC14" s="66"/>
      <c r="AD14" s="470"/>
      <c r="AE14" s="6"/>
      <c r="AF14" s="6">
        <v>25</v>
      </c>
      <c r="AG14" s="495"/>
      <c r="AH14" s="469"/>
      <c r="AI14" s="6"/>
      <c r="AJ14" s="6" t="s">
        <v>506</v>
      </c>
      <c r="AK14" s="527"/>
      <c r="AM14" s="470"/>
      <c r="AN14" s="6"/>
      <c r="AO14" s="6">
        <v>64</v>
      </c>
      <c r="AP14" s="495"/>
      <c r="AQ14" s="469"/>
      <c r="AR14" s="6"/>
      <c r="AS14" s="6" t="s">
        <v>152</v>
      </c>
      <c r="AT14" s="527"/>
    </row>
    <row r="15" spans="1:46" ht="43.95" customHeight="1" x14ac:dyDescent="0.35">
      <c r="A15" s="1478">
        <v>44872</v>
      </c>
      <c r="B15" s="472">
        <v>1</v>
      </c>
      <c r="C15" s="493"/>
      <c r="D15" s="494">
        <v>72</v>
      </c>
      <c r="E15" s="6">
        <v>12</v>
      </c>
      <c r="F15" s="495"/>
      <c r="G15" s="566"/>
      <c r="H15" s="515" t="s">
        <v>276</v>
      </c>
      <c r="I15" s="515" t="s">
        <v>152</v>
      </c>
      <c r="J15" s="527"/>
      <c r="K15" s="66"/>
      <c r="L15" s="470"/>
      <c r="M15" s="6">
        <v>76</v>
      </c>
      <c r="N15" s="6"/>
      <c r="O15" s="495"/>
      <c r="P15" s="470"/>
      <c r="Q15" s="515" t="s">
        <v>276</v>
      </c>
      <c r="R15" s="6"/>
      <c r="S15" s="527"/>
      <c r="T15" s="66"/>
      <c r="U15" s="470"/>
      <c r="V15" s="6">
        <v>23</v>
      </c>
      <c r="W15" s="6">
        <v>17</v>
      </c>
      <c r="X15" s="495"/>
      <c r="Y15" s="470"/>
      <c r="Z15" s="515" t="s">
        <v>515</v>
      </c>
      <c r="AA15" s="609" t="s">
        <v>152</v>
      </c>
      <c r="AB15" s="527"/>
      <c r="AC15" s="66"/>
      <c r="AD15" s="470"/>
      <c r="AE15" s="6">
        <v>25</v>
      </c>
      <c r="AF15" s="66"/>
      <c r="AG15" s="495"/>
      <c r="AI15" s="573" t="s">
        <v>515</v>
      </c>
      <c r="AJ15" s="6"/>
      <c r="AK15" s="527"/>
      <c r="AM15" s="470"/>
      <c r="AN15" s="6"/>
      <c r="AO15" s="66"/>
      <c r="AP15" s="495"/>
      <c r="AR15" s="573"/>
      <c r="AS15" s="6"/>
      <c r="AT15" s="527"/>
    </row>
    <row r="16" spans="1:46" ht="37.5" customHeight="1" x14ac:dyDescent="0.35">
      <c r="A16" s="1477"/>
      <c r="B16" s="472">
        <v>2</v>
      </c>
      <c r="C16" s="493"/>
      <c r="D16" s="494"/>
      <c r="E16" s="494">
        <v>33</v>
      </c>
      <c r="F16" s="495"/>
      <c r="G16" s="565"/>
      <c r="H16" s="638"/>
      <c r="I16" s="515" t="s">
        <v>152</v>
      </c>
      <c r="J16" s="527"/>
      <c r="K16" s="66"/>
      <c r="L16" s="470"/>
      <c r="M16" s="6"/>
      <c r="N16" s="6"/>
      <c r="O16" s="495"/>
      <c r="P16" s="470"/>
      <c r="Q16" s="6"/>
      <c r="R16" s="6"/>
      <c r="S16" s="527"/>
      <c r="T16" s="66"/>
      <c r="U16" s="470"/>
      <c r="V16" s="6"/>
      <c r="W16" s="6"/>
      <c r="X16" s="495"/>
      <c r="Y16" s="514"/>
      <c r="Z16" s="514"/>
      <c r="AA16" s="6"/>
      <c r="AB16" s="527"/>
      <c r="AC16" s="66"/>
      <c r="AD16" s="470"/>
      <c r="AE16" s="6"/>
      <c r="AF16" s="6"/>
      <c r="AG16" s="495"/>
      <c r="AH16" s="470"/>
      <c r="AI16" s="6"/>
      <c r="AJ16" s="6"/>
      <c r="AK16" s="527"/>
      <c r="AM16" s="470"/>
      <c r="AN16" s="6"/>
      <c r="AO16" s="6">
        <v>345</v>
      </c>
      <c r="AP16" s="495"/>
      <c r="AQ16" s="470"/>
      <c r="AR16" s="6"/>
      <c r="AS16" s="6" t="s">
        <v>516</v>
      </c>
      <c r="AT16" s="527"/>
    </row>
    <row r="17" spans="1:46" ht="39" customHeight="1" x14ac:dyDescent="0.35">
      <c r="A17" s="1478">
        <v>44873</v>
      </c>
      <c r="B17" s="534">
        <v>1</v>
      </c>
      <c r="C17" s="493"/>
      <c r="D17" s="494"/>
      <c r="E17" s="494">
        <v>17</v>
      </c>
      <c r="F17" s="495"/>
      <c r="G17" s="566"/>
      <c r="H17" s="514"/>
      <c r="I17" s="515" t="s">
        <v>152</v>
      </c>
      <c r="J17" s="527"/>
      <c r="K17" s="66"/>
      <c r="L17" s="470"/>
      <c r="M17" s="6"/>
      <c r="N17" s="6"/>
      <c r="O17" s="495"/>
      <c r="P17" s="470"/>
      <c r="Q17" s="6"/>
      <c r="R17" s="6"/>
      <c r="S17" s="527"/>
      <c r="T17" s="66"/>
      <c r="U17" s="470"/>
      <c r="V17" s="6"/>
      <c r="W17" s="6">
        <v>33</v>
      </c>
      <c r="X17" s="495"/>
      <c r="Y17" s="514"/>
      <c r="Z17" s="514"/>
      <c r="AA17" s="6" t="s">
        <v>517</v>
      </c>
      <c r="AB17" s="527"/>
      <c r="AC17" s="66"/>
      <c r="AD17" s="470"/>
      <c r="AE17" s="6"/>
      <c r="AF17" s="6"/>
      <c r="AG17" s="495"/>
      <c r="AH17" s="470"/>
      <c r="AI17" s="6"/>
      <c r="AJ17" s="502"/>
      <c r="AK17" s="527"/>
      <c r="AM17" s="470"/>
      <c r="AN17" s="6"/>
      <c r="AO17" s="6">
        <v>25</v>
      </c>
      <c r="AP17" s="495"/>
      <c r="AQ17" s="470"/>
      <c r="AR17" s="6"/>
      <c r="AS17" s="502" t="s">
        <v>152</v>
      </c>
      <c r="AT17" s="527"/>
    </row>
    <row r="18" spans="1:46" ht="63.65" customHeight="1" x14ac:dyDescent="0.35">
      <c r="A18" s="1477"/>
      <c r="B18" s="472">
        <v>2</v>
      </c>
      <c r="C18" s="493"/>
      <c r="D18" s="494"/>
      <c r="E18" s="494">
        <v>30</v>
      </c>
      <c r="F18" s="495"/>
      <c r="G18" s="565"/>
      <c r="H18" s="515"/>
      <c r="I18" s="514" t="s">
        <v>152</v>
      </c>
      <c r="J18" s="527"/>
      <c r="K18" s="66"/>
      <c r="L18" s="470"/>
      <c r="M18" s="6"/>
      <c r="N18" s="6"/>
      <c r="O18" s="495"/>
      <c r="P18" s="470"/>
      <c r="Q18" s="6"/>
      <c r="R18" s="6"/>
      <c r="S18" s="527"/>
      <c r="T18" s="66"/>
      <c r="U18" s="470"/>
      <c r="V18" s="6"/>
      <c r="W18" s="6"/>
      <c r="X18" s="495"/>
      <c r="Y18" s="465"/>
      <c r="Z18" s="6"/>
      <c r="AA18" s="502"/>
      <c r="AB18" s="527"/>
      <c r="AC18" s="66"/>
      <c r="AD18" s="470"/>
      <c r="AE18" s="6"/>
      <c r="AF18" s="6"/>
      <c r="AG18" s="495"/>
      <c r="AH18" s="470"/>
      <c r="AI18" s="6"/>
      <c r="AJ18" s="502"/>
      <c r="AK18" s="527"/>
      <c r="AM18" s="470"/>
      <c r="AN18" s="6"/>
      <c r="AO18" s="6">
        <v>35</v>
      </c>
      <c r="AP18" s="495"/>
      <c r="AQ18" s="470"/>
      <c r="AR18" s="6"/>
      <c r="AS18" s="502" t="s">
        <v>152</v>
      </c>
      <c r="AT18" s="527"/>
    </row>
    <row r="19" spans="1:46" ht="33.65" customHeight="1" x14ac:dyDescent="0.35">
      <c r="A19" s="1478">
        <v>44874</v>
      </c>
      <c r="B19" s="472">
        <v>1</v>
      </c>
      <c r="C19" s="66"/>
      <c r="D19" s="494"/>
      <c r="E19" s="494">
        <v>33</v>
      </c>
      <c r="F19" s="495"/>
      <c r="G19" s="566"/>
      <c r="H19" s="514"/>
      <c r="I19" s="515" t="s">
        <v>152</v>
      </c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>
        <v>10</v>
      </c>
      <c r="X19" s="495"/>
      <c r="Y19" s="470"/>
      <c r="Z19" s="502"/>
      <c r="AA19" s="502" t="s">
        <v>152</v>
      </c>
      <c r="AB19" s="527"/>
      <c r="AC19" s="66"/>
      <c r="AD19" s="470"/>
      <c r="AE19" s="6"/>
      <c r="AF19" s="6"/>
      <c r="AG19" s="495"/>
      <c r="AH19" s="470"/>
      <c r="AI19" s="6"/>
      <c r="AJ19" s="502"/>
      <c r="AK19" s="527"/>
      <c r="AM19" s="470"/>
      <c r="AN19" s="6"/>
      <c r="AO19" s="6"/>
      <c r="AP19" s="495"/>
      <c r="AQ19" s="470"/>
      <c r="AR19" s="6"/>
      <c r="AS19" s="502"/>
      <c r="AT19" s="527"/>
    </row>
    <row r="20" spans="1:46" ht="56.5" customHeight="1" x14ac:dyDescent="0.35">
      <c r="A20" s="1477"/>
      <c r="B20" s="472">
        <v>2</v>
      </c>
      <c r="C20" s="493"/>
      <c r="D20" s="494"/>
      <c r="E20" s="494">
        <v>21</v>
      </c>
      <c r="F20" s="495"/>
      <c r="G20" s="566"/>
      <c r="H20" s="515"/>
      <c r="I20" s="515" t="s">
        <v>152</v>
      </c>
      <c r="J20" s="527"/>
      <c r="K20" s="66"/>
      <c r="L20" s="470">
        <v>273</v>
      </c>
      <c r="M20" s="6"/>
      <c r="N20" s="6"/>
      <c r="O20" s="495"/>
      <c r="P20" s="470" t="s">
        <v>45</v>
      </c>
      <c r="Q20" s="6"/>
      <c r="R20" s="6"/>
      <c r="S20" s="527"/>
      <c r="T20" s="66"/>
      <c r="U20" s="470"/>
      <c r="V20" s="214"/>
      <c r="W20" s="6"/>
      <c r="X20" s="495"/>
      <c r="Y20" s="470"/>
      <c r="Z20" s="502"/>
      <c r="AA20" s="605"/>
      <c r="AB20" s="527"/>
      <c r="AC20" s="66"/>
      <c r="AD20" s="470"/>
      <c r="AE20" s="6"/>
      <c r="AF20" s="6"/>
      <c r="AG20" s="495"/>
      <c r="AH20" s="465"/>
      <c r="AI20" s="6"/>
      <c r="AJ20" s="6"/>
      <c r="AK20" s="607"/>
      <c r="AM20" s="470"/>
      <c r="AN20" s="6"/>
      <c r="AO20" s="6">
        <v>30</v>
      </c>
      <c r="AP20" s="495"/>
      <c r="AQ20" s="465"/>
      <c r="AR20" s="6"/>
      <c r="AS20" s="6" t="s">
        <v>152</v>
      </c>
      <c r="AT20" s="607"/>
    </row>
    <row r="21" spans="1:46" ht="97.2" customHeight="1" x14ac:dyDescent="0.35">
      <c r="A21" s="1478">
        <v>44875</v>
      </c>
      <c r="B21" s="472">
        <v>1</v>
      </c>
      <c r="C21" s="493"/>
      <c r="D21" s="494"/>
      <c r="E21" s="494"/>
      <c r="F21" s="495"/>
      <c r="G21" s="569"/>
      <c r="H21" s="514"/>
      <c r="I21" s="515"/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70"/>
      <c r="Z21" s="6"/>
      <c r="AA21" s="502"/>
      <c r="AB21" s="527"/>
      <c r="AC21" s="66"/>
      <c r="AD21" s="470"/>
      <c r="AE21" s="6"/>
      <c r="AF21" s="6"/>
      <c r="AG21" s="495"/>
      <c r="AH21" s="470"/>
      <c r="AI21" s="6"/>
      <c r="AJ21" s="6"/>
      <c r="AK21" s="607"/>
      <c r="AM21" s="470"/>
      <c r="AN21" s="6"/>
      <c r="AO21" s="6"/>
      <c r="AP21" s="495"/>
      <c r="AQ21" s="470"/>
      <c r="AR21" s="502"/>
      <c r="AS21" s="47"/>
      <c r="AT21" s="527"/>
    </row>
    <row r="22" spans="1:46" ht="55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515"/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/>
      <c r="X22" s="495"/>
      <c r="Y22" s="470"/>
      <c r="Z22" s="6"/>
      <c r="AA22" s="502"/>
      <c r="AB22" s="527"/>
      <c r="AC22" s="66"/>
      <c r="AD22" s="470"/>
      <c r="AE22" s="6"/>
      <c r="AF22" s="6"/>
      <c r="AG22" s="495"/>
      <c r="AH22" s="465"/>
      <c r="AI22" s="6"/>
      <c r="AJ22" s="6"/>
      <c r="AK22" s="607"/>
      <c r="AM22" s="470"/>
      <c r="AN22" s="6">
        <v>41</v>
      </c>
      <c r="AO22" s="6"/>
      <c r="AP22" s="495"/>
      <c r="AQ22" s="470"/>
      <c r="AR22" s="502" t="s">
        <v>518</v>
      </c>
      <c r="AS22" s="47"/>
      <c r="AT22" s="527"/>
    </row>
    <row r="23" spans="1:46" ht="37.950000000000003" customHeight="1" x14ac:dyDescent="0.35">
      <c r="A23" s="1478">
        <v>44876</v>
      </c>
      <c r="B23" s="534">
        <v>1</v>
      </c>
      <c r="C23" s="493"/>
      <c r="D23" s="494"/>
      <c r="E23" s="494">
        <v>17</v>
      </c>
      <c r="F23" s="495"/>
      <c r="G23" s="566"/>
      <c r="H23" s="514"/>
      <c r="I23" s="515" t="s">
        <v>152</v>
      </c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565"/>
      <c r="Z23" s="514"/>
      <c r="AA23" s="515"/>
      <c r="AB23" s="527"/>
      <c r="AC23" s="66"/>
      <c r="AD23" s="470"/>
      <c r="AE23" s="6"/>
      <c r="AF23" s="6"/>
      <c r="AG23" s="495"/>
      <c r="AH23" s="6"/>
      <c r="AI23" s="514"/>
      <c r="AJ23" s="515"/>
      <c r="AK23" s="607"/>
      <c r="AM23" s="470"/>
      <c r="AN23" s="6"/>
      <c r="AO23" s="6"/>
      <c r="AP23" s="495"/>
      <c r="AQ23" s="6"/>
      <c r="AR23" s="514"/>
      <c r="AS23" s="573"/>
      <c r="AT23" s="527"/>
    </row>
    <row r="24" spans="1:46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4"/>
      <c r="I24" s="515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>
        <v>28</v>
      </c>
      <c r="X24" s="495"/>
      <c r="Y24" s="566"/>
      <c r="Z24" s="514"/>
      <c r="AA24" s="515" t="s">
        <v>331</v>
      </c>
      <c r="AB24" s="527"/>
      <c r="AC24" s="66"/>
      <c r="AD24" s="470"/>
      <c r="AE24" s="6"/>
      <c r="AF24" s="6"/>
      <c r="AG24" s="495"/>
      <c r="AH24" s="6"/>
      <c r="AI24" s="514"/>
      <c r="AJ24" s="6"/>
      <c r="AK24" s="607"/>
      <c r="AM24" s="470"/>
      <c r="AN24" s="6"/>
      <c r="AO24" s="6">
        <v>25</v>
      </c>
      <c r="AP24" s="495"/>
      <c r="AQ24" s="6"/>
      <c r="AR24" s="514"/>
      <c r="AS24" s="47" t="s">
        <v>152</v>
      </c>
      <c r="AT24" s="527"/>
    </row>
    <row r="25" spans="1:46" ht="46.2" customHeight="1" x14ac:dyDescent="0.35">
      <c r="A25" s="1478">
        <v>44877</v>
      </c>
      <c r="B25" s="472">
        <v>1</v>
      </c>
      <c r="C25" s="493"/>
      <c r="D25" s="494"/>
      <c r="E25" s="494"/>
      <c r="F25" s="495"/>
      <c r="G25" s="566"/>
      <c r="H25" s="514"/>
      <c r="I25" s="515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>
        <v>8</v>
      </c>
      <c r="W25" s="6"/>
      <c r="X25" s="495"/>
      <c r="Y25" s="470"/>
      <c r="Z25" s="502" t="s">
        <v>519</v>
      </c>
      <c r="AA25" s="502"/>
      <c r="AB25" s="527"/>
      <c r="AC25" s="66"/>
      <c r="AD25" s="470"/>
      <c r="AE25" s="6"/>
      <c r="AF25" s="6"/>
      <c r="AG25" s="495"/>
      <c r="AH25" s="6"/>
      <c r="AI25" s="6"/>
      <c r="AJ25" s="6"/>
      <c r="AK25" s="607"/>
      <c r="AM25" s="470"/>
      <c r="AN25" s="6"/>
      <c r="AO25" s="6">
        <v>20</v>
      </c>
      <c r="AP25" s="495"/>
      <c r="AQ25" s="6"/>
      <c r="AR25" s="6"/>
      <c r="AS25" s="47" t="s">
        <v>152</v>
      </c>
      <c r="AT25" s="527"/>
    </row>
    <row r="26" spans="1:46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573"/>
      <c r="J26" s="527"/>
      <c r="K26" s="66"/>
      <c r="L26" s="470"/>
      <c r="M26" s="6"/>
      <c r="N26" s="6"/>
      <c r="O26" s="495"/>
      <c r="P26" s="566"/>
      <c r="Q26" s="515"/>
      <c r="R26" s="515"/>
      <c r="S26" s="527"/>
      <c r="T26" s="66"/>
      <c r="U26" s="470"/>
      <c r="V26" s="494"/>
      <c r="W26" s="6"/>
      <c r="X26" s="495"/>
      <c r="Y26" s="566"/>
      <c r="Z26" s="515"/>
      <c r="AA26" s="515"/>
      <c r="AB26" s="527"/>
      <c r="AC26" s="66"/>
      <c r="AD26" s="470"/>
      <c r="AE26" s="494"/>
      <c r="AF26" s="6"/>
      <c r="AG26" s="495"/>
      <c r="AH26" s="6"/>
      <c r="AI26" s="6"/>
      <c r="AJ26" s="6"/>
      <c r="AK26" s="607"/>
      <c r="AM26" s="470"/>
      <c r="AN26" s="494"/>
      <c r="AO26" s="6">
        <v>24</v>
      </c>
      <c r="AP26" s="495"/>
      <c r="AQ26" s="6"/>
      <c r="AR26" s="6"/>
      <c r="AS26" s="47" t="s">
        <v>152</v>
      </c>
      <c r="AT26" s="527"/>
    </row>
    <row r="27" spans="1:46" ht="49.95" customHeight="1" x14ac:dyDescent="0.35">
      <c r="A27" s="1478">
        <v>44878</v>
      </c>
      <c r="B27" s="534">
        <v>1</v>
      </c>
      <c r="C27" s="493"/>
      <c r="D27" s="494">
        <v>6</v>
      </c>
      <c r="E27" s="494">
        <v>22</v>
      </c>
      <c r="F27" s="495"/>
      <c r="G27" s="566"/>
      <c r="H27" s="514" t="s">
        <v>276</v>
      </c>
      <c r="I27" s="573" t="s">
        <v>152</v>
      </c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>
        <v>45</v>
      </c>
      <c r="X27" s="508"/>
      <c r="Y27" s="566"/>
      <c r="Z27" s="514"/>
      <c r="AA27" s="515" t="s">
        <v>152</v>
      </c>
      <c r="AB27" s="527"/>
      <c r="AC27" s="66"/>
      <c r="AD27" s="470"/>
      <c r="AE27" s="6"/>
      <c r="AF27" s="6">
        <v>11</v>
      </c>
      <c r="AG27" s="508"/>
      <c r="AH27" s="6"/>
      <c r="AI27" s="6"/>
      <c r="AJ27" s="515" t="s">
        <v>152</v>
      </c>
      <c r="AK27" s="607"/>
      <c r="AM27" s="470"/>
      <c r="AN27" s="6"/>
      <c r="AO27" s="6"/>
      <c r="AP27" s="508"/>
      <c r="AQ27" s="6"/>
      <c r="AR27" s="6"/>
      <c r="AS27" s="573"/>
      <c r="AT27" s="527"/>
    </row>
    <row r="28" spans="1:46" ht="49.2" customHeight="1" x14ac:dyDescent="0.35">
      <c r="A28" s="1477"/>
      <c r="B28" s="472">
        <v>2</v>
      </c>
      <c r="C28" s="493"/>
      <c r="D28" s="494">
        <v>10</v>
      </c>
      <c r="E28" s="494">
        <v>29</v>
      </c>
      <c r="F28" s="495"/>
      <c r="G28" s="515"/>
      <c r="H28" s="515" t="s">
        <v>520</v>
      </c>
      <c r="I28" s="573" t="s">
        <v>152</v>
      </c>
      <c r="J28" s="527"/>
      <c r="K28" s="66"/>
      <c r="L28" s="470"/>
      <c r="M28" s="6"/>
      <c r="N28" s="6"/>
      <c r="O28" s="495"/>
      <c r="P28" s="515"/>
      <c r="Q28" s="515"/>
      <c r="R28" s="515"/>
      <c r="S28" s="526"/>
      <c r="T28" s="66"/>
      <c r="U28" s="470"/>
      <c r="V28" s="6">
        <v>10</v>
      </c>
      <c r="W28" s="66">
        <v>23</v>
      </c>
      <c r="X28" s="495"/>
      <c r="Y28" s="515"/>
      <c r="Z28" s="6" t="s">
        <v>520</v>
      </c>
      <c r="AA28" s="573" t="s">
        <v>152</v>
      </c>
      <c r="AB28" s="527"/>
      <c r="AC28" s="66"/>
      <c r="AD28" s="470"/>
      <c r="AE28" s="6">
        <v>47</v>
      </c>
      <c r="AF28" s="6"/>
      <c r="AG28" s="495"/>
      <c r="AH28" s="502"/>
      <c r="AI28" s="6" t="s">
        <v>520</v>
      </c>
      <c r="AJ28" s="573"/>
      <c r="AK28" s="526"/>
      <c r="AM28" s="470"/>
      <c r="AN28" s="6"/>
      <c r="AO28" s="6"/>
      <c r="AP28" s="495"/>
      <c r="AQ28" s="502"/>
      <c r="AR28" s="6"/>
      <c r="AS28" s="573"/>
      <c r="AT28" s="526"/>
    </row>
    <row r="29" spans="1:46" ht="57" customHeight="1" x14ac:dyDescent="0.35">
      <c r="A29" s="1478">
        <v>44879</v>
      </c>
      <c r="B29" s="472">
        <v>1</v>
      </c>
      <c r="C29" s="493"/>
      <c r="D29" s="494"/>
      <c r="E29" s="494"/>
      <c r="F29" s="495"/>
      <c r="G29" s="565"/>
      <c r="H29" s="514"/>
      <c r="I29" s="573"/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/>
      <c r="X29" s="495"/>
      <c r="Y29" s="566"/>
      <c r="Z29" s="514"/>
      <c r="AA29" s="573"/>
      <c r="AB29" s="527"/>
      <c r="AC29" s="66"/>
      <c r="AD29" s="470"/>
      <c r="AE29" s="6"/>
      <c r="AF29" s="6"/>
      <c r="AG29" s="495"/>
      <c r="AH29" s="566"/>
      <c r="AI29" s="515"/>
      <c r="AJ29" s="515"/>
      <c r="AK29" s="508"/>
      <c r="AM29" s="470"/>
      <c r="AN29" s="6"/>
      <c r="AO29" s="6"/>
      <c r="AP29" s="495"/>
      <c r="AQ29" s="566"/>
      <c r="AR29" s="514"/>
      <c r="AS29" s="515"/>
      <c r="AT29" s="508"/>
    </row>
    <row r="30" spans="1:46" ht="39.7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4"/>
      <c r="I30" s="515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/>
      <c r="X30" s="495"/>
      <c r="Y30" s="566"/>
      <c r="Z30" s="514"/>
      <c r="AA30" s="515"/>
      <c r="AB30" s="508"/>
      <c r="AC30" s="66"/>
      <c r="AD30" s="470"/>
      <c r="AE30" s="6"/>
      <c r="AF30" s="6"/>
      <c r="AG30" s="495"/>
      <c r="AH30" s="566"/>
      <c r="AI30" s="514"/>
      <c r="AJ30" s="515"/>
      <c r="AK30" s="508"/>
      <c r="AM30" s="470"/>
      <c r="AN30" s="6"/>
      <c r="AO30" s="6">
        <v>29</v>
      </c>
      <c r="AP30" s="495"/>
      <c r="AQ30" s="566"/>
      <c r="AR30" s="514"/>
      <c r="AS30" s="515" t="s">
        <v>152</v>
      </c>
      <c r="AT30" s="508"/>
    </row>
    <row r="31" spans="1:46" ht="48.65" customHeight="1" x14ac:dyDescent="0.35">
      <c r="A31" s="1478">
        <v>44880</v>
      </c>
      <c r="B31" s="472">
        <v>1</v>
      </c>
      <c r="C31" s="493"/>
      <c r="D31" s="494"/>
      <c r="E31" s="494">
        <v>28</v>
      </c>
      <c r="F31" s="495"/>
      <c r="G31" s="566"/>
      <c r="H31" s="514"/>
      <c r="I31" s="515" t="s">
        <v>152</v>
      </c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509"/>
      <c r="Z31" s="6"/>
      <c r="AA31" s="6"/>
      <c r="AB31" s="527"/>
      <c r="AC31" s="66"/>
      <c r="AD31" s="470"/>
      <c r="AE31" s="6"/>
      <c r="AF31" s="6">
        <v>17</v>
      </c>
      <c r="AG31" s="495"/>
      <c r="AH31" s="509"/>
      <c r="AI31" s="6"/>
      <c r="AJ31" s="6" t="s">
        <v>508</v>
      </c>
      <c r="AK31" s="527"/>
      <c r="AM31" s="470"/>
      <c r="AN31" s="6"/>
      <c r="AO31" s="6"/>
      <c r="AP31" s="495"/>
      <c r="AQ31" s="509"/>
      <c r="AR31" s="6"/>
      <c r="AS31" s="6"/>
      <c r="AT31" s="527"/>
    </row>
    <row r="32" spans="1:46" ht="42.75" customHeight="1" x14ac:dyDescent="0.35">
      <c r="A32" s="1477"/>
      <c r="B32" s="472">
        <v>2</v>
      </c>
      <c r="C32" s="493"/>
      <c r="D32" s="494"/>
      <c r="E32" s="494">
        <v>38</v>
      </c>
      <c r="F32" s="495"/>
      <c r="G32" s="566"/>
      <c r="H32" s="514"/>
      <c r="I32" s="573" t="s">
        <v>152</v>
      </c>
      <c r="J32" s="568"/>
      <c r="K32" s="66"/>
      <c r="L32" s="470"/>
      <c r="M32" s="6"/>
      <c r="N32" s="6"/>
      <c r="O32" s="508"/>
      <c r="P32" s="509"/>
      <c r="Q32" s="6"/>
      <c r="R32" s="6"/>
      <c r="S32" s="627"/>
      <c r="T32" s="66"/>
      <c r="U32" s="470"/>
      <c r="V32" s="6"/>
      <c r="W32" s="6">
        <v>30</v>
      </c>
      <c r="X32" s="508"/>
      <c r="Y32" s="509"/>
      <c r="Z32" s="502"/>
      <c r="AA32" s="573" t="s">
        <v>521</v>
      </c>
      <c r="AB32" s="527"/>
      <c r="AC32" s="66"/>
      <c r="AD32" s="470"/>
      <c r="AE32" s="6"/>
      <c r="AF32" s="6">
        <v>14</v>
      </c>
      <c r="AG32" s="508"/>
      <c r="AH32" s="509"/>
      <c r="AI32" s="502"/>
      <c r="AJ32" s="6" t="s">
        <v>152</v>
      </c>
      <c r="AK32" s="508"/>
      <c r="AM32" s="470"/>
      <c r="AN32" s="6"/>
      <c r="AO32" s="6">
        <v>18</v>
      </c>
      <c r="AP32" s="508"/>
      <c r="AQ32" s="509"/>
      <c r="AR32" s="502"/>
      <c r="AS32" s="6" t="s">
        <v>152</v>
      </c>
      <c r="AT32" s="508"/>
    </row>
    <row r="33" spans="1:46" ht="43.2" customHeight="1" x14ac:dyDescent="0.35">
      <c r="A33" s="1478">
        <v>44881</v>
      </c>
      <c r="B33" s="472">
        <v>1</v>
      </c>
      <c r="C33" s="493"/>
      <c r="D33" s="494"/>
      <c r="E33" s="494"/>
      <c r="F33" s="495"/>
      <c r="G33" s="566"/>
      <c r="H33" s="514"/>
      <c r="I33" s="573"/>
      <c r="J33" s="568"/>
      <c r="K33" s="66"/>
      <c r="L33" s="470"/>
      <c r="M33" s="6"/>
      <c r="N33" s="6"/>
      <c r="O33" s="508"/>
      <c r="P33" s="509"/>
      <c r="Q33" s="6"/>
      <c r="R33" s="6"/>
      <c r="S33" s="508"/>
      <c r="T33" s="66"/>
      <c r="U33" s="470"/>
      <c r="V33" s="6"/>
      <c r="W33" s="6"/>
      <c r="X33" s="508"/>
      <c r="Y33" s="509"/>
      <c r="Z33" s="6"/>
      <c r="AA33" s="502"/>
      <c r="AB33" s="508"/>
      <c r="AC33" s="66"/>
      <c r="AD33" s="470"/>
      <c r="AE33" s="6"/>
      <c r="AF33" s="6"/>
      <c r="AG33" s="508"/>
      <c r="AH33" s="509"/>
      <c r="AI33" s="502"/>
      <c r="AJ33" s="6"/>
      <c r="AK33" s="508"/>
      <c r="AM33" s="470"/>
      <c r="AN33" s="6"/>
      <c r="AO33" s="6"/>
      <c r="AP33" s="508"/>
      <c r="AQ33" s="509"/>
      <c r="AR33" s="502"/>
      <c r="AS33" s="6"/>
      <c r="AT33" s="508"/>
    </row>
    <row r="34" spans="1:46" ht="37.200000000000003" customHeight="1" x14ac:dyDescent="0.35">
      <c r="A34" s="1477"/>
      <c r="B34" s="534">
        <v>2</v>
      </c>
      <c r="C34" s="494"/>
      <c r="D34" s="494"/>
      <c r="E34" s="494">
        <v>40</v>
      </c>
      <c r="F34" s="637"/>
      <c r="G34" s="566"/>
      <c r="H34" s="515"/>
      <c r="I34" s="515" t="s">
        <v>152</v>
      </c>
      <c r="J34" s="568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/>
      <c r="X34" s="508"/>
      <c r="Y34" s="6"/>
      <c r="Z34" s="502"/>
      <c r="AA34" s="515"/>
      <c r="AB34" s="527"/>
      <c r="AC34" s="66"/>
      <c r="AD34" s="470"/>
      <c r="AE34" s="6"/>
      <c r="AF34" s="6"/>
      <c r="AG34" s="508"/>
      <c r="AH34" s="509"/>
      <c r="AI34" s="6"/>
      <c r="AJ34" s="6"/>
      <c r="AK34" s="508"/>
      <c r="AM34" s="470"/>
      <c r="AN34" s="6"/>
      <c r="AO34" s="6"/>
      <c r="AP34" s="508"/>
      <c r="AQ34" s="509"/>
      <c r="AR34" s="6"/>
      <c r="AS34" s="6"/>
      <c r="AT34" s="508"/>
    </row>
    <row r="35" spans="1:46" ht="37.950000000000003" customHeight="1" x14ac:dyDescent="0.35">
      <c r="A35" s="1478">
        <v>44882</v>
      </c>
      <c r="B35" s="472">
        <v>1</v>
      </c>
      <c r="C35" s="494"/>
      <c r="D35" s="494"/>
      <c r="E35" s="47">
        <v>32</v>
      </c>
      <c r="F35" s="636"/>
      <c r="G35" s="465"/>
      <c r="H35" s="509"/>
      <c r="I35" s="502" t="s">
        <v>152</v>
      </c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/>
      <c r="X35" s="526"/>
      <c r="Y35" s="465"/>
      <c r="Z35" s="6"/>
      <c r="AA35" s="502"/>
      <c r="AB35" s="508"/>
      <c r="AC35" s="66"/>
      <c r="AD35" s="470"/>
      <c r="AE35" s="6"/>
      <c r="AF35" s="6">
        <v>46</v>
      </c>
      <c r="AG35" s="469"/>
      <c r="AH35" s="465"/>
      <c r="AI35" s="6"/>
      <c r="AJ35" s="502" t="s">
        <v>522</v>
      </c>
      <c r="AK35" s="508"/>
      <c r="AM35" s="470"/>
      <c r="AN35" s="6"/>
      <c r="AO35" s="47"/>
      <c r="AP35" s="526"/>
      <c r="AQ35" s="465"/>
      <c r="AR35" s="6"/>
      <c r="AS35" s="502"/>
      <c r="AT35" s="508"/>
    </row>
    <row r="36" spans="1:46" ht="41.5" customHeight="1" x14ac:dyDescent="0.35">
      <c r="A36" s="1477"/>
      <c r="B36" s="472">
        <v>2</v>
      </c>
      <c r="C36" s="6"/>
      <c r="D36" s="6"/>
      <c r="E36" s="47">
        <v>50</v>
      </c>
      <c r="F36" s="636"/>
      <c r="G36" s="465"/>
      <c r="H36" s="469"/>
      <c r="I36" s="502" t="s">
        <v>523</v>
      </c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/>
      <c r="W36" s="6">
        <v>29</v>
      </c>
      <c r="X36" s="469"/>
      <c r="Y36" s="465"/>
      <c r="Z36" s="502"/>
      <c r="AA36" s="502" t="s">
        <v>152</v>
      </c>
      <c r="AB36" s="508"/>
      <c r="AC36" s="66"/>
      <c r="AD36" s="470"/>
      <c r="AE36" s="6"/>
      <c r="AF36" s="47">
        <v>22</v>
      </c>
      <c r="AG36" s="526"/>
      <c r="AH36" s="465"/>
      <c r="AI36" s="502"/>
      <c r="AJ36" s="502" t="s">
        <v>152</v>
      </c>
      <c r="AK36" s="508"/>
      <c r="AM36" s="470"/>
      <c r="AN36" s="6"/>
      <c r="AO36" s="6"/>
      <c r="AP36" s="469"/>
      <c r="AQ36" s="465"/>
      <c r="AR36" s="502"/>
      <c r="AS36" s="502"/>
      <c r="AT36" s="508"/>
    </row>
    <row r="37" spans="1:46" ht="38.5" customHeight="1" x14ac:dyDescent="0.35">
      <c r="A37" s="1478">
        <v>44883</v>
      </c>
      <c r="B37" s="534">
        <v>1</v>
      </c>
      <c r="C37" s="494"/>
      <c r="D37" s="494"/>
      <c r="E37" s="6"/>
      <c r="F37" s="47"/>
      <c r="G37" s="635"/>
      <c r="H37" s="469"/>
      <c r="I37" s="502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>
        <v>10</v>
      </c>
      <c r="X37" s="508"/>
      <c r="Y37" s="509"/>
      <c r="Z37" s="502"/>
      <c r="AA37" s="502" t="s">
        <v>152</v>
      </c>
      <c r="AB37" s="527"/>
      <c r="AC37" s="66"/>
      <c r="AD37" s="470"/>
      <c r="AE37" s="6"/>
      <c r="AF37" s="6"/>
      <c r="AG37" s="508"/>
      <c r="AH37" s="509"/>
      <c r="AI37" s="6"/>
      <c r="AJ37" s="6"/>
      <c r="AK37" s="508"/>
      <c r="AM37" s="470"/>
      <c r="AN37" s="6"/>
      <c r="AO37" s="6"/>
      <c r="AP37" s="508"/>
      <c r="AQ37" s="509"/>
      <c r="AR37" s="6"/>
      <c r="AS37" s="6"/>
      <c r="AT37" s="508"/>
    </row>
    <row r="38" spans="1:46" ht="36" customHeight="1" x14ac:dyDescent="0.35">
      <c r="A38" s="1477"/>
      <c r="B38" s="472">
        <v>2</v>
      </c>
      <c r="C38" s="493"/>
      <c r="D38" s="494">
        <v>57</v>
      </c>
      <c r="E38" s="494">
        <v>20</v>
      </c>
      <c r="F38" s="637"/>
      <c r="G38" s="566"/>
      <c r="H38" s="469" t="s">
        <v>524</v>
      </c>
      <c r="I38" s="6" t="s">
        <v>152</v>
      </c>
      <c r="J38" s="527"/>
      <c r="K38" s="66"/>
      <c r="L38" s="470"/>
      <c r="M38" s="6">
        <v>66</v>
      </c>
      <c r="N38" s="6"/>
      <c r="O38" s="508"/>
      <c r="P38" s="469"/>
      <c r="Q38" s="469" t="s">
        <v>524</v>
      </c>
      <c r="R38" s="6"/>
      <c r="S38" s="527"/>
      <c r="T38" s="66"/>
      <c r="U38" s="470"/>
      <c r="V38" s="6"/>
      <c r="W38" s="6">
        <v>47</v>
      </c>
      <c r="X38" s="508"/>
      <c r="Y38" s="509"/>
      <c r="Z38" s="502"/>
      <c r="AA38" s="6" t="s">
        <v>152</v>
      </c>
      <c r="AB38" s="527"/>
      <c r="AC38" s="66"/>
      <c r="AD38" s="470"/>
      <c r="AE38" s="6"/>
      <c r="AF38" s="6"/>
      <c r="AG38" s="508"/>
      <c r="AH38" s="469"/>
      <c r="AI38" s="6"/>
      <c r="AJ38" s="502"/>
      <c r="AK38" s="527"/>
      <c r="AM38" s="470"/>
      <c r="AN38" s="6"/>
      <c r="AO38" s="6"/>
      <c r="AP38" s="508"/>
      <c r="AQ38" s="509"/>
      <c r="AR38" s="6"/>
      <c r="AS38" s="502"/>
      <c r="AT38" s="527"/>
    </row>
    <row r="39" spans="1:46" ht="39" customHeight="1" x14ac:dyDescent="0.35">
      <c r="A39" s="1478">
        <v>44884</v>
      </c>
      <c r="B39" s="472">
        <v>1</v>
      </c>
      <c r="C39" s="493"/>
      <c r="D39" s="494">
        <v>11</v>
      </c>
      <c r="E39" s="494">
        <v>20</v>
      </c>
      <c r="F39" s="495"/>
      <c r="G39" s="566"/>
      <c r="H39" s="514" t="s">
        <v>525</v>
      </c>
      <c r="I39" s="573" t="s">
        <v>152</v>
      </c>
      <c r="J39" s="568"/>
      <c r="K39" s="66"/>
      <c r="L39" s="470"/>
      <c r="M39" s="6">
        <v>13</v>
      </c>
      <c r="N39" s="6"/>
      <c r="O39" s="508"/>
      <c r="P39" s="509"/>
      <c r="Q39" s="514" t="s">
        <v>525</v>
      </c>
      <c r="R39" s="6"/>
      <c r="S39" s="508"/>
      <c r="T39" s="66"/>
      <c r="U39" s="470"/>
      <c r="V39" s="6"/>
      <c r="W39" s="6">
        <v>26</v>
      </c>
      <c r="X39" s="508"/>
      <c r="Y39" s="509"/>
      <c r="Z39" s="502"/>
      <c r="AA39" s="502" t="s">
        <v>152</v>
      </c>
      <c r="AB39" s="527"/>
      <c r="AC39" s="66"/>
      <c r="AD39" s="470"/>
      <c r="AE39" s="6"/>
      <c r="AF39" s="6"/>
      <c r="AG39" s="508"/>
      <c r="AH39" s="509"/>
      <c r="AI39" s="6"/>
      <c r="AJ39" s="6"/>
      <c r="AK39" s="508"/>
      <c r="AM39" s="470"/>
      <c r="AN39" s="6"/>
      <c r="AO39" s="6"/>
      <c r="AP39" s="508"/>
      <c r="AQ39" s="509"/>
      <c r="AR39" s="6"/>
      <c r="AS39" s="6"/>
      <c r="AT39" s="508"/>
    </row>
    <row r="40" spans="1:46" ht="35.5" customHeight="1" x14ac:dyDescent="0.35">
      <c r="A40" s="1477"/>
      <c r="B40" s="472">
        <v>2</v>
      </c>
      <c r="C40" s="493"/>
      <c r="D40" s="494"/>
      <c r="E40" s="494"/>
      <c r="F40" s="508"/>
      <c r="G40" s="566"/>
      <c r="H40" s="514"/>
      <c r="I40" s="573"/>
      <c r="J40" s="527"/>
      <c r="K40" s="66"/>
      <c r="L40" s="470"/>
      <c r="M40" s="6"/>
      <c r="N40" s="6"/>
      <c r="O40" s="508"/>
      <c r="P40" s="509"/>
      <c r="Q40" s="6"/>
      <c r="R40" s="6"/>
      <c r="S40" s="527"/>
      <c r="T40" s="66"/>
      <c r="U40" s="470"/>
      <c r="V40" s="6"/>
      <c r="W40" s="6">
        <v>55</v>
      </c>
      <c r="X40" s="508"/>
      <c r="Y40" s="509"/>
      <c r="Z40" s="502"/>
      <c r="AA40" s="502" t="s">
        <v>152</v>
      </c>
      <c r="AB40" s="527"/>
      <c r="AC40" s="66"/>
      <c r="AD40" s="470">
        <v>80</v>
      </c>
      <c r="AE40" s="6"/>
      <c r="AF40" s="6"/>
      <c r="AG40" s="508"/>
      <c r="AH40" s="509" t="s">
        <v>526</v>
      </c>
      <c r="AI40" s="6"/>
      <c r="AJ40" s="6"/>
      <c r="AK40" s="527"/>
      <c r="AM40" s="470"/>
      <c r="AN40" s="6"/>
      <c r="AO40" s="6"/>
      <c r="AP40" s="508"/>
      <c r="AQ40" s="509"/>
      <c r="AR40" s="6"/>
      <c r="AS40" s="6"/>
      <c r="AT40" s="527"/>
    </row>
    <row r="41" spans="1:46" ht="39.65" customHeight="1" x14ac:dyDescent="0.35">
      <c r="A41" s="1478">
        <v>44885</v>
      </c>
      <c r="B41" s="472">
        <v>1</v>
      </c>
      <c r="C41" s="493"/>
      <c r="D41" s="494"/>
      <c r="E41" s="494">
        <v>10</v>
      </c>
      <c r="F41" s="508"/>
      <c r="G41" s="566"/>
      <c r="H41" s="515"/>
      <c r="I41" s="573" t="s">
        <v>152</v>
      </c>
      <c r="J41" s="568"/>
      <c r="K41" s="66"/>
      <c r="L41" s="470"/>
      <c r="M41" s="6"/>
      <c r="N41" s="6"/>
      <c r="O41" s="508"/>
      <c r="P41" s="509"/>
      <c r="Q41" s="6"/>
      <c r="R41" s="6"/>
      <c r="S41" s="527"/>
      <c r="T41" s="66"/>
      <c r="U41" s="470"/>
      <c r="V41" s="6">
        <v>19</v>
      </c>
      <c r="W41" s="6"/>
      <c r="X41" s="508"/>
      <c r="Y41" s="509"/>
      <c r="Z41" s="502" t="s">
        <v>525</v>
      </c>
      <c r="AA41" s="502"/>
      <c r="AB41" s="508"/>
      <c r="AC41" s="66"/>
      <c r="AD41" s="470"/>
      <c r="AE41" s="6">
        <v>24</v>
      </c>
      <c r="AF41" s="6"/>
      <c r="AG41" s="508"/>
      <c r="AH41" s="509" t="s">
        <v>525</v>
      </c>
      <c r="AI41" s="502"/>
      <c r="AJ41" s="6"/>
      <c r="AK41" s="508"/>
      <c r="AM41" s="470"/>
      <c r="AN41" s="6"/>
      <c r="AO41" s="6"/>
      <c r="AP41" s="508"/>
      <c r="AQ41" s="509"/>
      <c r="AR41" s="502"/>
      <c r="AS41" s="6"/>
      <c r="AT41" s="508"/>
    </row>
    <row r="42" spans="1:46" ht="33" customHeight="1" x14ac:dyDescent="0.35">
      <c r="A42" s="1477"/>
      <c r="B42" s="472">
        <v>2</v>
      </c>
      <c r="C42" s="494"/>
      <c r="D42" s="494"/>
      <c r="E42" s="494">
        <v>55</v>
      </c>
      <c r="F42" s="508"/>
      <c r="G42" s="566"/>
      <c r="H42" s="514"/>
      <c r="I42" s="573" t="s">
        <v>152</v>
      </c>
      <c r="J42" s="568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>
        <v>20</v>
      </c>
      <c r="X42" s="508"/>
      <c r="Y42" s="469"/>
      <c r="Z42" s="6"/>
      <c r="AA42" s="502" t="s">
        <v>152</v>
      </c>
      <c r="AB42" s="527"/>
      <c r="AC42" s="66"/>
      <c r="AD42" s="470"/>
      <c r="AE42" s="6"/>
      <c r="AF42" s="6"/>
      <c r="AG42" s="508"/>
      <c r="AH42" s="509"/>
      <c r="AI42" s="6"/>
      <c r="AJ42" s="6"/>
      <c r="AK42" s="508"/>
      <c r="AM42" s="470"/>
      <c r="AN42" s="6"/>
      <c r="AO42" s="6"/>
      <c r="AP42" s="508"/>
      <c r="AQ42" s="509"/>
      <c r="AR42" s="6"/>
      <c r="AS42" s="6"/>
      <c r="AT42" s="508"/>
    </row>
    <row r="43" spans="1:46" ht="33.65" customHeight="1" x14ac:dyDescent="0.35">
      <c r="A43" s="1478">
        <v>44886</v>
      </c>
      <c r="B43" s="472">
        <v>1</v>
      </c>
      <c r="C43" s="494"/>
      <c r="D43" s="494"/>
      <c r="E43" s="494">
        <v>36</v>
      </c>
      <c r="F43" s="495"/>
      <c r="G43" s="514"/>
      <c r="H43" s="514"/>
      <c r="I43" s="515" t="s">
        <v>527</v>
      </c>
      <c r="J43" s="527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/>
      <c r="W43" s="6">
        <v>13</v>
      </c>
      <c r="X43" s="508"/>
      <c r="Y43" s="509"/>
      <c r="Z43" s="6"/>
      <c r="AA43" s="515" t="s">
        <v>152</v>
      </c>
      <c r="AB43" s="508"/>
      <c r="AC43" s="66"/>
      <c r="AD43" s="470"/>
      <c r="AE43" s="6"/>
      <c r="AF43" s="6">
        <v>8</v>
      </c>
      <c r="AG43" s="508"/>
      <c r="AH43" s="502"/>
      <c r="AI43" s="515"/>
      <c r="AJ43" s="6" t="s">
        <v>152</v>
      </c>
      <c r="AK43" s="508"/>
      <c r="AM43" s="470"/>
      <c r="AN43" s="6"/>
      <c r="AO43" s="6"/>
      <c r="AP43" s="508"/>
      <c r="AQ43" s="502"/>
      <c r="AR43" s="515"/>
      <c r="AS43" s="6"/>
      <c r="AT43" s="508"/>
    </row>
    <row r="44" spans="1:46" ht="36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514"/>
      <c r="I44" s="573"/>
      <c r="J44" s="527"/>
      <c r="K44" s="66"/>
      <c r="L44" s="470"/>
      <c r="M44" s="6"/>
      <c r="N44" s="6"/>
      <c r="O44" s="508"/>
      <c r="P44" s="509"/>
      <c r="Q44" s="6"/>
      <c r="R44" s="502"/>
      <c r="S44" s="627"/>
      <c r="T44" s="66"/>
      <c r="U44" s="470">
        <v>329</v>
      </c>
      <c r="V44" s="6"/>
      <c r="W44" s="494">
        <v>15</v>
      </c>
      <c r="X44" s="495"/>
      <c r="Y44" s="514" t="s">
        <v>528</v>
      </c>
      <c r="Z44" s="514"/>
      <c r="AA44" s="502" t="s">
        <v>152</v>
      </c>
      <c r="AB44" s="527"/>
      <c r="AC44" s="66"/>
      <c r="AD44" s="470"/>
      <c r="AE44" s="6"/>
      <c r="AF44" s="6"/>
      <c r="AG44" s="508"/>
      <c r="AH44" s="509"/>
      <c r="AI44" s="502"/>
      <c r="AJ44" s="502"/>
      <c r="AK44" s="508"/>
      <c r="AM44" s="470"/>
      <c r="AN44" s="6"/>
      <c r="AO44" s="6"/>
      <c r="AP44" s="508"/>
      <c r="AQ44" s="509"/>
      <c r="AR44" s="502"/>
      <c r="AS44" s="502"/>
      <c r="AT44" s="508"/>
    </row>
    <row r="45" spans="1:46" ht="36" customHeight="1" x14ac:dyDescent="0.35">
      <c r="A45" s="1478">
        <v>44887</v>
      </c>
      <c r="B45" s="472">
        <v>1</v>
      </c>
      <c r="C45" s="494"/>
      <c r="D45" s="494"/>
      <c r="E45" s="494">
        <v>15</v>
      </c>
      <c r="F45" s="495"/>
      <c r="G45" s="514"/>
      <c r="H45" s="514"/>
      <c r="I45" s="515" t="s">
        <v>152</v>
      </c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>
        <v>470</v>
      </c>
      <c r="V45" s="6"/>
      <c r="W45" s="6"/>
      <c r="X45" s="508"/>
      <c r="Y45" s="514" t="s">
        <v>528</v>
      </c>
      <c r="Z45" s="6"/>
      <c r="AA45" s="502"/>
      <c r="AB45" s="508"/>
      <c r="AC45" s="66"/>
      <c r="AD45" s="470"/>
      <c r="AE45" s="6"/>
      <c r="AF45" s="6"/>
      <c r="AG45" s="508"/>
      <c r="AH45" s="509"/>
      <c r="AI45" s="502"/>
      <c r="AJ45" s="6"/>
      <c r="AK45" s="508"/>
      <c r="AM45" s="470"/>
      <c r="AN45" s="6"/>
      <c r="AO45" s="6"/>
      <c r="AP45" s="508"/>
      <c r="AQ45" s="509"/>
      <c r="AR45" s="502"/>
      <c r="AS45" s="6"/>
      <c r="AT45" s="508"/>
    </row>
    <row r="46" spans="1:46" ht="34.200000000000003" customHeight="1" x14ac:dyDescent="0.35">
      <c r="A46" s="1477"/>
      <c r="B46" s="472">
        <v>2</v>
      </c>
      <c r="C46" s="494"/>
      <c r="D46" s="494"/>
      <c r="E46" s="494">
        <v>10</v>
      </c>
      <c r="F46" s="495"/>
      <c r="G46" s="514"/>
      <c r="H46" s="514"/>
      <c r="I46" s="515" t="s">
        <v>152</v>
      </c>
      <c r="J46" s="527"/>
      <c r="K46" s="66"/>
      <c r="L46" s="470"/>
      <c r="M46" s="6"/>
      <c r="N46" s="6"/>
      <c r="O46" s="633"/>
      <c r="P46" s="509"/>
      <c r="Q46" s="515"/>
      <c r="R46" s="6"/>
      <c r="S46" s="527"/>
      <c r="T46" s="66"/>
      <c r="U46" s="470"/>
      <c r="V46" s="6"/>
      <c r="W46" s="6">
        <v>10</v>
      </c>
      <c r="X46" s="508"/>
      <c r="Y46" s="509"/>
      <c r="Z46" s="6"/>
      <c r="AA46" s="502" t="s">
        <v>152</v>
      </c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/>
      <c r="AO46" s="6"/>
      <c r="AP46" s="508"/>
      <c r="AQ46" s="469"/>
      <c r="AR46" s="6"/>
      <c r="AS46" s="6"/>
      <c r="AT46" s="527"/>
    </row>
    <row r="47" spans="1:46" ht="36" customHeight="1" x14ac:dyDescent="0.35">
      <c r="A47" s="1478">
        <v>44888</v>
      </c>
      <c r="B47" s="472">
        <v>1</v>
      </c>
      <c r="C47" s="494"/>
      <c r="D47" s="494"/>
      <c r="E47" s="494"/>
      <c r="F47" s="495"/>
      <c r="G47" s="515"/>
      <c r="H47" s="514"/>
      <c r="I47" s="573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09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6"/>
      <c r="AK47" s="508"/>
      <c r="AM47" s="470"/>
      <c r="AN47" s="6"/>
      <c r="AO47" s="6"/>
      <c r="AP47" s="508"/>
      <c r="AQ47" s="469"/>
      <c r="AR47" s="515"/>
      <c r="AS47" s="6"/>
      <c r="AT47" s="508"/>
    </row>
    <row r="48" spans="1:46" ht="34.950000000000003" customHeight="1" x14ac:dyDescent="0.35">
      <c r="A48" s="1477"/>
      <c r="B48" s="472">
        <v>2</v>
      </c>
      <c r="C48" s="494"/>
      <c r="D48" s="494">
        <v>125</v>
      </c>
      <c r="E48" s="494">
        <v>16</v>
      </c>
      <c r="F48" s="495"/>
      <c r="G48" s="515"/>
      <c r="H48" s="515" t="s">
        <v>530</v>
      </c>
      <c r="I48" s="573" t="s">
        <v>529</v>
      </c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>
        <v>12</v>
      </c>
      <c r="X48" s="508"/>
      <c r="Y48" s="469"/>
      <c r="Z48" s="6"/>
      <c r="AA48" s="502" t="s">
        <v>152</v>
      </c>
      <c r="AB48" s="508"/>
      <c r="AC48" s="66"/>
      <c r="AD48" s="470"/>
      <c r="AE48" s="6"/>
      <c r="AF48" s="6">
        <v>10</v>
      </c>
      <c r="AG48" s="508"/>
      <c r="AH48" s="509"/>
      <c r="AI48" s="502"/>
      <c r="AJ48" s="6" t="s">
        <v>152</v>
      </c>
      <c r="AK48" s="508"/>
      <c r="AM48" s="470"/>
      <c r="AN48" s="6"/>
      <c r="AO48" s="6"/>
      <c r="AP48" s="508"/>
      <c r="AQ48" s="509"/>
      <c r="AR48" s="502"/>
      <c r="AS48" s="6"/>
      <c r="AT48" s="508"/>
    </row>
    <row r="49" spans="1:46" ht="36" customHeight="1" x14ac:dyDescent="0.35">
      <c r="A49" s="1478">
        <v>44889</v>
      </c>
      <c r="B49" s="472">
        <v>1</v>
      </c>
      <c r="C49" s="494"/>
      <c r="D49" s="494"/>
      <c r="E49" s="494">
        <v>87</v>
      </c>
      <c r="F49" s="495"/>
      <c r="G49" s="515"/>
      <c r="H49" s="514"/>
      <c r="I49" s="573" t="s">
        <v>152</v>
      </c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>
        <v>30</v>
      </c>
      <c r="X49" s="508"/>
      <c r="Y49" s="509"/>
      <c r="Z49" s="502"/>
      <c r="AA49" s="502" t="s">
        <v>152</v>
      </c>
      <c r="AB49" s="527"/>
      <c r="AC49" s="66"/>
      <c r="AD49" s="470"/>
      <c r="AE49" s="6"/>
      <c r="AF49" s="6"/>
      <c r="AG49" s="508"/>
      <c r="AH49" s="509"/>
      <c r="AI49" s="502"/>
      <c r="AJ49" s="6"/>
      <c r="AK49" s="508"/>
      <c r="AM49" s="470"/>
      <c r="AN49" s="6"/>
      <c r="AO49" s="6"/>
      <c r="AP49" s="508"/>
      <c r="AQ49" s="509"/>
      <c r="AR49" s="502"/>
      <c r="AS49" s="6"/>
      <c r="AT49" s="508"/>
    </row>
    <row r="50" spans="1:46" ht="33" customHeight="1" x14ac:dyDescent="0.35">
      <c r="A50" s="1477"/>
      <c r="B50" s="472">
        <v>2</v>
      </c>
      <c r="C50" s="494"/>
      <c r="D50" s="494"/>
      <c r="E50" s="494">
        <v>7</v>
      </c>
      <c r="F50" s="495"/>
      <c r="G50" s="514"/>
      <c r="H50" s="514"/>
      <c r="I50" s="573" t="s">
        <v>152</v>
      </c>
      <c r="J50" s="527"/>
      <c r="K50" s="66"/>
      <c r="L50" s="470"/>
      <c r="M50" s="6"/>
      <c r="N50" s="6"/>
      <c r="O50" s="508"/>
      <c r="P50" s="509"/>
      <c r="Q50" s="502"/>
      <c r="R50" s="502"/>
      <c r="S50" s="627"/>
      <c r="T50" s="66"/>
      <c r="U50" s="470"/>
      <c r="V50" s="6"/>
      <c r="W50" s="6"/>
      <c r="X50" s="508"/>
      <c r="Y50" s="469"/>
      <c r="Z50" s="502"/>
      <c r="AA50" s="502"/>
      <c r="AB50" s="508"/>
      <c r="AC50" s="66"/>
      <c r="AD50" s="470"/>
      <c r="AE50" s="6"/>
      <c r="AF50" s="6"/>
      <c r="AG50" s="508"/>
      <c r="AH50" s="509"/>
      <c r="AI50" s="6"/>
      <c r="AJ50" s="502"/>
      <c r="AK50" s="508"/>
      <c r="AM50" s="470"/>
      <c r="AN50" s="6"/>
      <c r="AO50" s="6"/>
      <c r="AP50" s="508"/>
      <c r="AQ50" s="509"/>
      <c r="AR50" s="6"/>
      <c r="AS50" s="502"/>
      <c r="AT50" s="508"/>
    </row>
    <row r="51" spans="1:46" ht="34.950000000000003" customHeight="1" x14ac:dyDescent="0.35">
      <c r="A51" s="1478">
        <v>44890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  <c r="AM51" s="470"/>
      <c r="AN51" s="6"/>
      <c r="AO51" s="6"/>
      <c r="AP51" s="508"/>
      <c r="AQ51" s="509"/>
      <c r="AR51" s="6"/>
      <c r="AS51" s="6"/>
      <c r="AT51" s="508"/>
    </row>
    <row r="52" spans="1:46" ht="31.95" customHeight="1" x14ac:dyDescent="0.35">
      <c r="A52" s="1477"/>
      <c r="B52" s="472">
        <v>2</v>
      </c>
      <c r="C52" s="494"/>
      <c r="D52" s="494"/>
      <c r="E52" s="494">
        <v>7</v>
      </c>
      <c r="F52" s="495"/>
      <c r="G52" s="515"/>
      <c r="H52" s="515"/>
      <c r="I52" s="573" t="s">
        <v>152</v>
      </c>
      <c r="J52" s="527"/>
      <c r="K52" s="66"/>
      <c r="L52" s="470"/>
      <c r="M52" s="6"/>
      <c r="N52" s="6"/>
      <c r="O52" s="508"/>
      <c r="P52" s="509"/>
      <c r="Q52" s="6"/>
      <c r="R52" s="6"/>
      <c r="S52" s="527"/>
      <c r="T52" s="66"/>
      <c r="U52" s="470"/>
      <c r="V52" s="6"/>
      <c r="W52" s="6">
        <v>25</v>
      </c>
      <c r="X52" s="508"/>
      <c r="Y52" s="469"/>
      <c r="Z52" s="502"/>
      <c r="AA52" s="502" t="s">
        <v>152</v>
      </c>
      <c r="AB52" s="527"/>
      <c r="AC52" s="66"/>
      <c r="AD52" s="470"/>
      <c r="AE52" s="6"/>
      <c r="AF52" s="6">
        <v>20</v>
      </c>
      <c r="AG52" s="508"/>
      <c r="AH52" s="509"/>
      <c r="AI52" s="6"/>
      <c r="AJ52" s="6" t="s">
        <v>152</v>
      </c>
      <c r="AK52" s="508"/>
      <c r="AM52" s="470"/>
      <c r="AN52" s="508"/>
      <c r="AO52" s="508"/>
      <c r="AP52" s="508"/>
      <c r="AQ52" s="509"/>
      <c r="AR52" s="508"/>
      <c r="AS52" s="6"/>
      <c r="AT52" s="508"/>
    </row>
    <row r="53" spans="1:46" ht="40.200000000000003" customHeight="1" x14ac:dyDescent="0.35">
      <c r="A53" s="1478">
        <v>44891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/>
      <c r="AP53" s="508"/>
      <c r="AQ53" s="509"/>
      <c r="AR53" s="502"/>
      <c r="AS53" s="502"/>
      <c r="AT53" s="508"/>
    </row>
    <row r="54" spans="1:46" ht="39.65" customHeight="1" x14ac:dyDescent="0.35">
      <c r="A54" s="1477"/>
      <c r="B54" s="500">
        <v>2</v>
      </c>
      <c r="C54" s="494"/>
      <c r="D54" s="494"/>
      <c r="E54" s="494">
        <v>15</v>
      </c>
      <c r="F54" s="495"/>
      <c r="G54" s="514"/>
      <c r="H54" s="514"/>
      <c r="I54" s="573" t="s">
        <v>152</v>
      </c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>
        <v>15</v>
      </c>
      <c r="X54" s="495"/>
      <c r="Y54" s="514"/>
      <c r="Z54" s="515"/>
      <c r="AA54" s="502" t="s">
        <v>152</v>
      </c>
      <c r="AB54" s="527"/>
      <c r="AC54" s="66"/>
      <c r="AD54" s="470"/>
      <c r="AE54" s="6"/>
      <c r="AF54" s="6">
        <v>15</v>
      </c>
      <c r="AG54" s="495"/>
      <c r="AH54" s="514"/>
      <c r="AI54" s="514"/>
      <c r="AJ54" s="6" t="s">
        <v>152</v>
      </c>
      <c r="AK54" s="527"/>
      <c r="AM54" s="470"/>
      <c r="AN54" s="6"/>
      <c r="AO54" s="6"/>
      <c r="AP54" s="495"/>
      <c r="AQ54" s="514"/>
      <c r="AR54" s="514"/>
      <c r="AS54" s="514"/>
      <c r="AT54" s="527"/>
    </row>
    <row r="55" spans="1:46" ht="39.65" customHeight="1" x14ac:dyDescent="0.35">
      <c r="A55" s="1478">
        <v>44892</v>
      </c>
      <c r="B55" s="472">
        <v>1</v>
      </c>
      <c r="C55" s="493"/>
      <c r="D55" s="494"/>
      <c r="E55" s="494">
        <v>16</v>
      </c>
      <c r="F55" s="495"/>
      <c r="G55" s="514"/>
      <c r="H55" s="514"/>
      <c r="I55" s="515" t="s">
        <v>232</v>
      </c>
      <c r="J55" s="56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>
        <v>20</v>
      </c>
      <c r="X55" s="508"/>
      <c r="Y55" s="509"/>
      <c r="Z55" s="514"/>
      <c r="AA55" s="515" t="s">
        <v>523</v>
      </c>
      <c r="AB55" s="527"/>
      <c r="AC55" s="66"/>
      <c r="AD55" s="470"/>
      <c r="AE55" s="6"/>
      <c r="AF55" s="6"/>
      <c r="AG55" s="508"/>
      <c r="AH55" s="509"/>
      <c r="AI55" s="6"/>
      <c r="AJ55" s="502"/>
      <c r="AK55" s="508"/>
      <c r="AM55" s="470"/>
      <c r="AN55" s="6"/>
      <c r="AO55" s="6"/>
      <c r="AP55" s="508"/>
      <c r="AQ55" s="509"/>
      <c r="AR55" s="6"/>
      <c r="AS55" s="502"/>
      <c r="AT55" s="508"/>
    </row>
    <row r="56" spans="1:46" ht="40.950000000000003" customHeight="1" x14ac:dyDescent="0.35">
      <c r="A56" s="1477"/>
      <c r="B56" s="500">
        <v>2</v>
      </c>
      <c r="C56" s="493"/>
      <c r="D56" s="494"/>
      <c r="E56" s="494">
        <v>30</v>
      </c>
      <c r="F56" s="495"/>
      <c r="G56" s="515"/>
      <c r="H56" s="514"/>
      <c r="I56" s="515" t="s">
        <v>191</v>
      </c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>
        <v>76</v>
      </c>
      <c r="X56" s="495"/>
      <c r="Y56" s="515"/>
      <c r="Z56" s="514"/>
      <c r="AA56" s="515" t="s">
        <v>531</v>
      </c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95"/>
      <c r="AQ56" s="515"/>
      <c r="AR56" s="514"/>
      <c r="AS56" s="515"/>
      <c r="AT56" s="527"/>
    </row>
    <row r="57" spans="1:46" ht="37.950000000000003" customHeight="1" x14ac:dyDescent="0.35">
      <c r="A57" s="1478">
        <v>44893</v>
      </c>
      <c r="B57" s="472">
        <v>1</v>
      </c>
      <c r="C57" s="493"/>
      <c r="D57" s="494"/>
      <c r="E57" s="494">
        <v>10</v>
      </c>
      <c r="F57" s="495"/>
      <c r="G57" s="515"/>
      <c r="H57" s="514"/>
      <c r="I57" s="573" t="s">
        <v>152</v>
      </c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15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95"/>
      <c r="AQ57" s="515"/>
      <c r="AR57" s="514"/>
      <c r="AS57" s="515"/>
      <c r="AT57" s="527"/>
    </row>
    <row r="58" spans="1:46" ht="35.5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515"/>
      <c r="J58" s="527"/>
      <c r="K58" s="66"/>
      <c r="L58" s="470"/>
      <c r="M58" s="6"/>
      <c r="N58" s="6"/>
      <c r="O58" s="508"/>
      <c r="P58" s="509"/>
      <c r="Q58" s="6"/>
      <c r="R58" s="6"/>
      <c r="S58" s="527"/>
      <c r="T58" s="66"/>
      <c r="U58" s="470"/>
      <c r="V58" s="6"/>
      <c r="W58" s="6"/>
      <c r="X58" s="508"/>
      <c r="Y58" s="509"/>
      <c r="Z58" s="502"/>
      <c r="AA58" s="515"/>
      <c r="AB58" s="508"/>
      <c r="AC58" s="66"/>
      <c r="AD58" s="470"/>
      <c r="AE58" s="6"/>
      <c r="AF58" s="6"/>
      <c r="AG58" s="508"/>
      <c r="AH58" s="509"/>
      <c r="AI58" s="6"/>
      <c r="AJ58" s="6"/>
      <c r="AK58" s="508"/>
      <c r="AM58" s="470"/>
      <c r="AN58" s="6"/>
      <c r="AO58" s="6"/>
      <c r="AP58" s="508"/>
      <c r="AQ58" s="509"/>
      <c r="AR58" s="6"/>
      <c r="AS58" s="6"/>
      <c r="AT58" s="508"/>
    </row>
    <row r="59" spans="1:46" ht="34.200000000000003" customHeight="1" x14ac:dyDescent="0.35">
      <c r="A59" s="1478">
        <v>44894</v>
      </c>
      <c r="B59" s="472">
        <v>1</v>
      </c>
      <c r="C59" s="493"/>
      <c r="D59" s="494"/>
      <c r="E59" s="494"/>
      <c r="F59" s="495"/>
      <c r="G59" s="514"/>
      <c r="H59" s="514"/>
      <c r="I59" s="573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02"/>
      <c r="AB59" s="508"/>
      <c r="AC59" s="66"/>
      <c r="AD59" s="470"/>
      <c r="AE59" s="6"/>
      <c r="AF59" s="6"/>
      <c r="AG59" s="508"/>
      <c r="AH59" s="469"/>
      <c r="AI59" s="6"/>
      <c r="AJ59" s="515"/>
      <c r="AK59" s="508"/>
      <c r="AM59" s="470"/>
      <c r="AN59" s="6"/>
      <c r="AO59" s="6"/>
      <c r="AP59" s="508"/>
      <c r="AQ59" s="469"/>
      <c r="AR59" s="6"/>
      <c r="AS59" s="515"/>
      <c r="AT59" s="508"/>
    </row>
    <row r="60" spans="1:46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573"/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502"/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508"/>
      <c r="AQ60" s="509"/>
      <c r="AR60" s="6"/>
      <c r="AS60" s="502"/>
      <c r="AT60" s="527"/>
    </row>
    <row r="61" spans="1:46" ht="32.5" customHeight="1" x14ac:dyDescent="0.35">
      <c r="A61" s="1478">
        <v>44895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508"/>
      <c r="AQ61" s="509"/>
      <c r="AR61" s="6"/>
      <c r="AS61" s="502"/>
      <c r="AT61" s="624"/>
    </row>
    <row r="62" spans="1:46" ht="33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508"/>
      <c r="AQ62" s="509"/>
      <c r="AR62" s="6"/>
      <c r="AS62" s="502"/>
      <c r="AT62" s="624"/>
    </row>
    <row r="63" spans="1:46" ht="33.65" customHeight="1" x14ac:dyDescent="0.35">
      <c r="A63" s="1478"/>
      <c r="B63" s="472">
        <v>1</v>
      </c>
      <c r="C63" s="587"/>
      <c r="D63" s="588"/>
      <c r="E63" s="588"/>
      <c r="F63" s="589"/>
      <c r="G63" s="598"/>
      <c r="H63" s="590"/>
      <c r="I63" s="515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6"/>
      <c r="AB63" s="563"/>
      <c r="AC63" s="66"/>
      <c r="AD63" s="470"/>
      <c r="AE63" s="6"/>
      <c r="AF63" s="6"/>
      <c r="AG63" s="495"/>
      <c r="AH63" s="566"/>
      <c r="AI63" s="514"/>
      <c r="AJ63" s="514"/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30.6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528"/>
      <c r="AQ64" s="529"/>
      <c r="AR64" s="530"/>
      <c r="AS64" s="530"/>
      <c r="AT64" s="594"/>
    </row>
    <row r="65" spans="1:42" x14ac:dyDescent="0.35">
      <c r="A65" s="423" t="s">
        <v>225</v>
      </c>
      <c r="C65" s="631">
        <f>SUM(C3:C64)</f>
        <v>733</v>
      </c>
      <c r="D65" s="65">
        <f>SUM(D3:D64)</f>
        <v>297</v>
      </c>
      <c r="E65" s="631">
        <f>SUM(E3:E64)</f>
        <v>987</v>
      </c>
      <c r="F65" s="65">
        <f>SUM(F3:F64)</f>
        <v>0</v>
      </c>
      <c r="L65" s="65">
        <f>SUM(L3:L64)</f>
        <v>273</v>
      </c>
      <c r="M65" s="65">
        <f>SUM(M3:M64)</f>
        <v>173</v>
      </c>
      <c r="N65" s="65">
        <f>SUM(N3:N64)</f>
        <v>0</v>
      </c>
      <c r="O65" s="65">
        <f>SUM(O3:O64)</f>
        <v>0</v>
      </c>
      <c r="U65" s="65">
        <f>SUM(U3:U64)</f>
        <v>1239</v>
      </c>
      <c r="V65" s="65">
        <f>SUM(V3:V64)</f>
        <v>60</v>
      </c>
      <c r="W65" s="65">
        <f>SUM(W3:W64)</f>
        <v>619</v>
      </c>
      <c r="X65" s="65">
        <f>SUM(X3:X64)</f>
        <v>0</v>
      </c>
      <c r="AD65" s="65">
        <f>SUM(AD3:AD64)</f>
        <v>274</v>
      </c>
      <c r="AE65" s="65">
        <f>SUM(AE3:AE64)</f>
        <v>96</v>
      </c>
      <c r="AF65" s="65">
        <f>SUM(AF3:AF64)</f>
        <v>234</v>
      </c>
      <c r="AG65" s="65">
        <f>SUM(AG3:AG64)</f>
        <v>0</v>
      </c>
      <c r="AM65" s="65">
        <f>SUM(AM3:AM64)</f>
        <v>74</v>
      </c>
      <c r="AN65" s="65">
        <f>SUM(AN3:AN64)</f>
        <v>41</v>
      </c>
      <c r="AO65" s="65">
        <f>SUM(AO3:AO64)</f>
        <v>711</v>
      </c>
      <c r="AP65" s="65">
        <f>SUM(AP3:AP64)</f>
        <v>0</v>
      </c>
    </row>
    <row r="73" spans="1:42" ht="14.6" thickBot="1" x14ac:dyDescent="0.4"/>
    <row r="74" spans="1:42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21.75" customHeight="1" x14ac:dyDescent="0.4">
      <c r="B76" s="541" t="s">
        <v>218</v>
      </c>
      <c r="C76" s="542">
        <f>C65</f>
        <v>733</v>
      </c>
      <c r="D76" s="543">
        <f>C76/60</f>
        <v>12.216666666666667</v>
      </c>
      <c r="E76" s="542">
        <f>D65</f>
        <v>297</v>
      </c>
      <c r="F76" s="544">
        <f>E76/60</f>
        <v>4.95</v>
      </c>
      <c r="G76" s="542">
        <f>E65</f>
        <v>987</v>
      </c>
      <c r="H76" s="543">
        <f>G76/60</f>
        <v>16.45</v>
      </c>
      <c r="I76" s="542">
        <f>F65</f>
        <v>0</v>
      </c>
      <c r="J76" s="543">
        <f>I76/60</f>
        <v>0</v>
      </c>
    </row>
    <row r="77" spans="1:42" ht="19.5" customHeight="1" x14ac:dyDescent="0.4">
      <c r="B77" s="541" t="s">
        <v>219</v>
      </c>
      <c r="C77" s="545">
        <f>L65</f>
        <v>273</v>
      </c>
      <c r="D77" s="546">
        <f t="shared" ref="D77:F79" si="0">C77/60</f>
        <v>4.55</v>
      </c>
      <c r="E77" s="545">
        <f>M65</f>
        <v>173</v>
      </c>
      <c r="F77" s="547">
        <f t="shared" si="0"/>
        <v>2.8833333333333333</v>
      </c>
      <c r="G77" s="545">
        <f>N65</f>
        <v>0</v>
      </c>
      <c r="H77" s="546">
        <f t="shared" ref="H77:J79" si="1">G77/60</f>
        <v>0</v>
      </c>
      <c r="I77" s="545">
        <f>O65</f>
        <v>0</v>
      </c>
      <c r="J77" s="546">
        <f t="shared" si="1"/>
        <v>0</v>
      </c>
    </row>
    <row r="78" spans="1:42" ht="20.25" customHeight="1" x14ac:dyDescent="0.4">
      <c r="B78" s="541" t="s">
        <v>220</v>
      </c>
      <c r="C78" s="545">
        <f>U65</f>
        <v>1239</v>
      </c>
      <c r="D78" s="546">
        <f t="shared" si="0"/>
        <v>20.65</v>
      </c>
      <c r="E78" s="545">
        <f>V65</f>
        <v>60</v>
      </c>
      <c r="F78" s="547">
        <f t="shared" si="0"/>
        <v>1</v>
      </c>
      <c r="G78" s="545">
        <f>W65</f>
        <v>619</v>
      </c>
      <c r="H78" s="546">
        <f t="shared" si="1"/>
        <v>10.316666666666666</v>
      </c>
      <c r="I78" s="545">
        <f>X65</f>
        <v>0</v>
      </c>
      <c r="J78" s="546">
        <f t="shared" si="1"/>
        <v>0</v>
      </c>
    </row>
    <row r="79" spans="1:42" ht="22.5" customHeight="1" thickBot="1" x14ac:dyDescent="0.45">
      <c r="B79" s="541" t="s">
        <v>221</v>
      </c>
      <c r="C79" s="548">
        <f>AD65</f>
        <v>274</v>
      </c>
      <c r="D79" s="549">
        <f t="shared" si="0"/>
        <v>4.5666666666666664</v>
      </c>
      <c r="E79" s="548">
        <f>AE65</f>
        <v>96</v>
      </c>
      <c r="F79" s="550">
        <f t="shared" si="0"/>
        <v>1.6</v>
      </c>
      <c r="G79" s="548">
        <f>AF65</f>
        <v>234</v>
      </c>
      <c r="H79" s="549">
        <f t="shared" si="1"/>
        <v>3.9</v>
      </c>
      <c r="I79" s="548">
        <f>AG65</f>
        <v>0</v>
      </c>
      <c r="J79" s="549">
        <f t="shared" si="1"/>
        <v>0</v>
      </c>
    </row>
    <row r="80" spans="1:42" ht="22.5" customHeight="1" thickBot="1" x14ac:dyDescent="0.45">
      <c r="B80" s="541" t="s">
        <v>488</v>
      </c>
      <c r="C80" s="643">
        <f>AM65</f>
        <v>74</v>
      </c>
      <c r="D80" s="642">
        <f>C80/60</f>
        <v>1.2333333333333334</v>
      </c>
      <c r="E80" s="643">
        <f>AN65</f>
        <v>41</v>
      </c>
      <c r="F80" s="644">
        <f>E80/60</f>
        <v>0.68333333333333335</v>
      </c>
      <c r="G80" s="643">
        <f>AO65</f>
        <v>711</v>
      </c>
      <c r="H80" s="642">
        <f>G80/60</f>
        <v>11.85</v>
      </c>
      <c r="I80" s="643">
        <f>AP65</f>
        <v>0</v>
      </c>
      <c r="J80" s="642">
        <f>I80/60</f>
        <v>0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43.216666666666669</v>
      </c>
      <c r="E82" s="556"/>
      <c r="F82" s="557">
        <f>SUM(F76:F80)</f>
        <v>11.116666666666667</v>
      </c>
      <c r="G82" s="556"/>
      <c r="H82" s="557">
        <f>SUM(H76:H80)</f>
        <v>42.516666666666666</v>
      </c>
      <c r="I82" s="556"/>
      <c r="J82" s="558">
        <f>AVERAGE(J76:J80)</f>
        <v>0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P1"/>
    <mergeCell ref="AQ1:AT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T82"/>
  <sheetViews>
    <sheetView zoomScale="55" zoomScaleNormal="55" workbookViewId="0">
      <pane xSplit="2" ySplit="2" topLeftCell="C54" activePane="bottomRight" state="frozen"/>
      <selection pane="topRight" activeCell="C1" sqref="C1"/>
      <selection pane="bottomLeft" activeCell="A3" sqref="A3"/>
      <selection pane="bottomRight" activeCell="H78" sqref="H78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2.84375" style="423" customWidth="1"/>
    <col min="5" max="5" width="15.69140625" style="423" customWidth="1"/>
    <col min="6" max="6" width="16.84375" style="423" customWidth="1"/>
    <col min="7" max="7" width="21.15234375" style="423" customWidth="1"/>
    <col min="8" max="8" width="27.3046875" style="423" customWidth="1"/>
    <col min="9" max="9" width="22" style="423" customWidth="1"/>
    <col min="10" max="10" width="22.3046875" style="423" customWidth="1"/>
    <col min="11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4.3046875" style="423" customWidth="1"/>
    <col min="20" max="24" width="10.69140625" style="423" customWidth="1"/>
    <col min="25" max="25" width="28" style="423" customWidth="1"/>
    <col min="26" max="26" width="23.84375" style="423" customWidth="1"/>
    <col min="27" max="27" width="32.3828125" style="423" customWidth="1"/>
    <col min="28" max="28" width="21.15234375" style="423" customWidth="1"/>
    <col min="29" max="33" width="10.69140625" style="423" customWidth="1"/>
    <col min="34" max="34" width="30.3828125" style="423" customWidth="1"/>
    <col min="35" max="35" width="25.3828125" style="423" customWidth="1"/>
    <col min="36" max="36" width="24.15234375" style="423" customWidth="1"/>
    <col min="37" max="37" width="23" style="423" customWidth="1"/>
    <col min="38" max="38" width="8.84375" style="423"/>
    <col min="39" max="42" width="10.69140625" style="423" customWidth="1"/>
    <col min="43" max="43" width="16.84375" style="423" customWidth="1"/>
    <col min="44" max="44" width="15.15234375" style="423" customWidth="1"/>
    <col min="45" max="45" width="17.53515625" style="423" customWidth="1"/>
    <col min="46" max="46" width="21.15234375" style="423" bestFit="1" customWidth="1"/>
    <col min="47" max="16384" width="8.84375" style="423"/>
  </cols>
  <sheetData>
    <row r="1" spans="1:46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4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5</v>
      </c>
      <c r="AE1" s="1471"/>
      <c r="AF1" s="1471"/>
      <c r="AG1" s="1471"/>
      <c r="AH1" s="1473" t="s">
        <v>206</v>
      </c>
      <c r="AI1" s="1473"/>
      <c r="AJ1" s="1473"/>
      <c r="AK1" s="1474"/>
      <c r="AM1" s="1471" t="s">
        <v>482</v>
      </c>
      <c r="AN1" s="1471"/>
      <c r="AO1" s="1471"/>
      <c r="AP1" s="1471"/>
      <c r="AQ1" s="1473" t="s">
        <v>206</v>
      </c>
      <c r="AR1" s="1473"/>
      <c r="AS1" s="1473"/>
      <c r="AT1" s="1474"/>
    </row>
    <row r="2" spans="1:46" ht="42.65" customHeight="1" x14ac:dyDescent="0.35">
      <c r="A2" s="634" t="s">
        <v>0</v>
      </c>
      <c r="B2" s="426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  <c r="AM2" s="424" t="s">
        <v>199</v>
      </c>
      <c r="AN2" s="424" t="s">
        <v>200</v>
      </c>
      <c r="AO2" s="424" t="s">
        <v>201</v>
      </c>
      <c r="AP2" s="424" t="s">
        <v>204</v>
      </c>
      <c r="AQ2" s="425" t="s">
        <v>199</v>
      </c>
      <c r="AR2" s="424" t="s">
        <v>200</v>
      </c>
      <c r="AS2" s="424" t="s">
        <v>201</v>
      </c>
      <c r="AT2" s="424" t="s">
        <v>204</v>
      </c>
    </row>
    <row r="3" spans="1:46" ht="30" customHeight="1" x14ac:dyDescent="0.35">
      <c r="A3" s="1478">
        <v>44896</v>
      </c>
      <c r="B3" s="501">
        <v>1</v>
      </c>
      <c r="C3" s="490"/>
      <c r="D3" s="491"/>
      <c r="E3" s="640">
        <v>43</v>
      </c>
      <c r="F3" s="492"/>
      <c r="G3" s="566"/>
      <c r="H3" s="514"/>
      <c r="I3" s="641" t="s">
        <v>325</v>
      </c>
      <c r="J3" s="567"/>
      <c r="K3" s="66"/>
      <c r="L3" s="507"/>
      <c r="M3" s="522"/>
      <c r="N3" s="522"/>
      <c r="O3" s="520"/>
      <c r="P3" s="521"/>
      <c r="Q3" s="580"/>
      <c r="R3" s="581"/>
      <c r="S3" s="520"/>
      <c r="T3" s="66"/>
      <c r="U3" s="507"/>
      <c r="V3" s="522"/>
      <c r="W3" s="522">
        <v>22</v>
      </c>
      <c r="X3" s="508"/>
      <c r="Y3" s="469"/>
      <c r="Z3" s="521"/>
      <c r="AA3" s="600" t="s">
        <v>325</v>
      </c>
      <c r="AB3" s="601"/>
      <c r="AC3" s="66"/>
      <c r="AD3" s="507"/>
      <c r="AE3" s="522"/>
      <c r="AF3" s="6"/>
      <c r="AG3" s="520"/>
      <c r="AH3" s="521"/>
      <c r="AI3" s="522"/>
      <c r="AJ3" s="6"/>
      <c r="AK3" s="520"/>
      <c r="AM3" s="507"/>
      <c r="AN3" s="522"/>
      <c r="AO3" s="6"/>
      <c r="AP3" s="520"/>
      <c r="AQ3" s="521"/>
      <c r="AR3" s="522"/>
      <c r="AS3" s="6"/>
      <c r="AT3" s="520"/>
    </row>
    <row r="4" spans="1:46" ht="36.65" customHeight="1" x14ac:dyDescent="0.35">
      <c r="A4" s="1477"/>
      <c r="B4" s="472">
        <v>2</v>
      </c>
      <c r="C4" s="493"/>
      <c r="D4" s="494"/>
      <c r="E4" s="494">
        <v>48</v>
      </c>
      <c r="F4" s="495"/>
      <c r="G4" s="566"/>
      <c r="H4" s="514"/>
      <c r="I4" s="515" t="s">
        <v>532</v>
      </c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>
        <v>48</v>
      </c>
      <c r="X4" s="508"/>
      <c r="Y4" s="469"/>
      <c r="Z4" s="6"/>
      <c r="AA4" s="579" t="s">
        <v>533</v>
      </c>
      <c r="AB4" s="603"/>
      <c r="AC4" s="66"/>
      <c r="AD4" s="470"/>
      <c r="AE4" s="6"/>
      <c r="AF4" s="6">
        <v>10</v>
      </c>
      <c r="AG4" s="508"/>
      <c r="AH4" s="509"/>
      <c r="AI4" s="6"/>
      <c r="AJ4" s="6" t="s">
        <v>325</v>
      </c>
      <c r="AK4" s="508"/>
      <c r="AM4" s="470"/>
      <c r="AN4" s="6"/>
      <c r="AO4" s="6">
        <v>6</v>
      </c>
      <c r="AP4" s="508"/>
      <c r="AQ4" s="509"/>
      <c r="AR4" s="6"/>
      <c r="AS4" s="6" t="s">
        <v>325</v>
      </c>
      <c r="AT4" s="508"/>
    </row>
    <row r="5" spans="1:46" ht="28.95" customHeight="1" x14ac:dyDescent="0.35">
      <c r="A5" s="1478">
        <v>44897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579"/>
      <c r="AB5" s="604"/>
      <c r="AC5" s="66"/>
      <c r="AD5" s="470"/>
      <c r="AE5" s="6"/>
      <c r="AF5" s="6"/>
      <c r="AG5" s="508"/>
      <c r="AH5" s="509"/>
      <c r="AI5" s="6"/>
      <c r="AJ5" s="6"/>
      <c r="AK5" s="508"/>
      <c r="AM5" s="470"/>
      <c r="AN5" s="6"/>
      <c r="AO5" s="6">
        <v>125</v>
      </c>
      <c r="AP5" s="508"/>
      <c r="AQ5" s="509"/>
      <c r="AR5" s="6"/>
      <c r="AS5" s="502" t="s">
        <v>535</v>
      </c>
      <c r="AT5" s="508"/>
    </row>
    <row r="6" spans="1:46" ht="52.2" customHeight="1" x14ac:dyDescent="0.35">
      <c r="A6" s="1477"/>
      <c r="B6" s="472">
        <v>2</v>
      </c>
      <c r="C6" s="493">
        <v>68</v>
      </c>
      <c r="D6" s="494"/>
      <c r="E6" s="494"/>
      <c r="F6" s="495"/>
      <c r="G6" s="565" t="s">
        <v>534</v>
      </c>
      <c r="H6" s="514"/>
      <c r="I6" s="515"/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>
        <v>190</v>
      </c>
      <c r="X6" s="508"/>
      <c r="Y6" s="469"/>
      <c r="Z6" s="6"/>
      <c r="AA6" s="579" t="s">
        <v>535</v>
      </c>
      <c r="AB6" s="508"/>
      <c r="AC6" s="66"/>
      <c r="AD6" s="470"/>
      <c r="AE6" s="6"/>
      <c r="AF6" s="6"/>
      <c r="AG6" s="508"/>
      <c r="AH6" s="509"/>
      <c r="AI6" s="6"/>
      <c r="AJ6" s="6"/>
      <c r="AK6" s="508"/>
      <c r="AM6" s="470"/>
      <c r="AN6" s="6"/>
      <c r="AO6" s="6">
        <v>188</v>
      </c>
      <c r="AP6" s="508"/>
      <c r="AQ6" s="509"/>
      <c r="AR6" s="6"/>
      <c r="AS6" s="502" t="s">
        <v>535</v>
      </c>
      <c r="AT6" s="508"/>
    </row>
    <row r="7" spans="1:46" ht="33" customHeight="1" x14ac:dyDescent="0.35">
      <c r="A7" s="1478">
        <v>44898</v>
      </c>
      <c r="B7" s="472">
        <v>1</v>
      </c>
      <c r="C7" s="493"/>
      <c r="D7" s="494"/>
      <c r="E7" s="494">
        <v>45</v>
      </c>
      <c r="F7" s="495"/>
      <c r="G7" s="566"/>
      <c r="H7" s="515"/>
      <c r="I7" s="515" t="s">
        <v>536</v>
      </c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6"/>
      <c r="W7" s="6">
        <v>173</v>
      </c>
      <c r="X7" s="508"/>
      <c r="Y7" s="509"/>
      <c r="Z7" s="6"/>
      <c r="AA7" s="515" t="s">
        <v>536</v>
      </c>
      <c r="AB7" s="508"/>
      <c r="AC7" s="66"/>
      <c r="AD7" s="470"/>
      <c r="AE7" s="6"/>
      <c r="AF7" s="6">
        <v>324</v>
      </c>
      <c r="AG7" s="508"/>
      <c r="AH7" s="509"/>
      <c r="AI7" s="6"/>
      <c r="AJ7" s="515" t="s">
        <v>536</v>
      </c>
      <c r="AK7" s="508"/>
      <c r="AM7" s="470"/>
      <c r="AN7" s="6"/>
      <c r="AO7" s="6">
        <v>15</v>
      </c>
      <c r="AP7" s="508"/>
      <c r="AQ7" s="509"/>
      <c r="AR7" s="6"/>
      <c r="AS7" s="515" t="s">
        <v>536</v>
      </c>
      <c r="AT7" s="508"/>
    </row>
    <row r="8" spans="1:46" ht="33.65" customHeight="1" x14ac:dyDescent="0.35">
      <c r="A8" s="1477"/>
      <c r="B8" s="472">
        <v>2</v>
      </c>
      <c r="C8" s="493"/>
      <c r="D8" s="494"/>
      <c r="E8" s="494">
        <v>57</v>
      </c>
      <c r="F8" s="495"/>
      <c r="G8" s="565"/>
      <c r="H8" s="515"/>
      <c r="I8" s="515" t="s">
        <v>97</v>
      </c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/>
      <c r="X8" s="508"/>
      <c r="Y8" s="469"/>
      <c r="Z8" s="6"/>
      <c r="AA8" s="6"/>
      <c r="AB8" s="527"/>
      <c r="AC8" s="66"/>
      <c r="AD8" s="470"/>
      <c r="AE8" s="6"/>
      <c r="AF8" s="6">
        <v>298</v>
      </c>
      <c r="AG8" s="508"/>
      <c r="AH8" s="509"/>
      <c r="AI8" s="6"/>
      <c r="AJ8" s="502" t="s">
        <v>537</v>
      </c>
      <c r="AK8" s="527"/>
      <c r="AM8" s="470"/>
      <c r="AN8" s="6"/>
      <c r="AO8" s="6"/>
      <c r="AP8" s="508"/>
      <c r="AQ8" s="509"/>
      <c r="AR8" s="6"/>
      <c r="AS8" s="6"/>
      <c r="AT8" s="527"/>
    </row>
    <row r="9" spans="1:46" ht="36" customHeight="1" x14ac:dyDescent="0.35">
      <c r="A9" s="1478">
        <v>44899</v>
      </c>
      <c r="B9" s="472">
        <v>1</v>
      </c>
      <c r="C9" s="493"/>
      <c r="D9" s="494"/>
      <c r="E9" s="494"/>
      <c r="F9" s="495"/>
      <c r="G9" s="565"/>
      <c r="H9" s="514"/>
      <c r="I9" s="514"/>
      <c r="J9" s="527"/>
      <c r="K9" s="66"/>
      <c r="L9" s="470"/>
      <c r="M9" s="6"/>
      <c r="N9" s="6"/>
      <c r="O9" s="508"/>
      <c r="P9" s="469"/>
      <c r="Q9" s="514"/>
      <c r="R9" s="502"/>
      <c r="S9" s="527"/>
      <c r="T9" s="66"/>
      <c r="U9" s="470"/>
      <c r="V9" s="6"/>
      <c r="W9" s="6">
        <v>194</v>
      </c>
      <c r="X9" s="508"/>
      <c r="Y9" s="509"/>
      <c r="Z9" s="6"/>
      <c r="AA9" s="515" t="s">
        <v>538</v>
      </c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508"/>
      <c r="AQ9" s="509"/>
      <c r="AR9" s="6"/>
      <c r="AS9" s="6"/>
      <c r="AT9" s="527"/>
    </row>
    <row r="10" spans="1:46" ht="33" customHeight="1" x14ac:dyDescent="0.35">
      <c r="A10" s="1477"/>
      <c r="B10" s="472">
        <v>2</v>
      </c>
      <c r="C10" s="493"/>
      <c r="D10" s="494"/>
      <c r="E10" s="494"/>
      <c r="F10" s="495">
        <v>447</v>
      </c>
      <c r="G10" s="566"/>
      <c r="H10" s="514"/>
      <c r="I10" s="515"/>
      <c r="J10" s="527" t="s">
        <v>539</v>
      </c>
      <c r="K10" s="66"/>
      <c r="L10" s="470"/>
      <c r="M10" s="6"/>
      <c r="N10" s="6"/>
      <c r="O10" s="508">
        <v>479</v>
      </c>
      <c r="P10" s="469"/>
      <c r="Q10" s="6"/>
      <c r="R10" s="502"/>
      <c r="S10" s="527" t="s">
        <v>539</v>
      </c>
      <c r="T10" s="66"/>
      <c r="U10" s="470">
        <v>720</v>
      </c>
      <c r="V10" s="6"/>
      <c r="W10" s="6"/>
      <c r="X10" s="508"/>
      <c r="Y10" s="470" t="s">
        <v>45</v>
      </c>
      <c r="Z10" s="469"/>
      <c r="AA10" s="6"/>
      <c r="AB10" s="527"/>
      <c r="AC10" s="66"/>
      <c r="AD10" s="470"/>
      <c r="AE10" s="6"/>
      <c r="AF10" s="6"/>
      <c r="AG10" s="508">
        <v>484</v>
      </c>
      <c r="AH10" s="469"/>
      <c r="AI10" s="6"/>
      <c r="AJ10" s="6"/>
      <c r="AK10" s="527" t="s">
        <v>539</v>
      </c>
      <c r="AM10" s="470">
        <v>508</v>
      </c>
      <c r="AN10" s="6"/>
      <c r="AO10" s="6"/>
      <c r="AP10" s="508"/>
      <c r="AQ10" s="509"/>
      <c r="AR10" s="6"/>
      <c r="AS10" s="6"/>
      <c r="AT10" s="527" t="s">
        <v>539</v>
      </c>
    </row>
    <row r="11" spans="1:46" ht="30.75" customHeight="1" x14ac:dyDescent="0.35">
      <c r="A11" s="1478">
        <v>44900</v>
      </c>
      <c r="B11" s="472">
        <v>1</v>
      </c>
      <c r="C11" s="493"/>
      <c r="D11" s="494"/>
      <c r="E11" s="494"/>
      <c r="F11" s="495"/>
      <c r="G11" s="565"/>
      <c r="H11" s="514"/>
      <c r="I11" s="515"/>
      <c r="J11" s="568"/>
      <c r="K11" s="66"/>
      <c r="L11" s="470"/>
      <c r="M11" s="6">
        <v>30</v>
      </c>
      <c r="N11" s="6"/>
      <c r="O11" s="508"/>
      <c r="P11" s="469"/>
      <c r="Q11" s="6" t="s">
        <v>541</v>
      </c>
      <c r="R11" s="502"/>
      <c r="S11" s="508"/>
      <c r="T11" s="66"/>
      <c r="U11" s="470">
        <v>720</v>
      </c>
      <c r="V11" s="6"/>
      <c r="W11" s="6"/>
      <c r="X11" s="508"/>
      <c r="Y11" s="509" t="s">
        <v>45</v>
      </c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  <c r="AM11" s="470"/>
      <c r="AN11" s="6"/>
      <c r="AO11" s="6"/>
      <c r="AP11" s="508"/>
      <c r="AQ11" s="509"/>
      <c r="AR11" s="6"/>
      <c r="AS11" s="6"/>
      <c r="AT11" s="508"/>
    </row>
    <row r="12" spans="1:46" ht="36.65" customHeight="1" x14ac:dyDescent="0.35">
      <c r="A12" s="1477"/>
      <c r="B12" s="472">
        <v>2</v>
      </c>
      <c r="C12" s="493"/>
      <c r="D12" s="494"/>
      <c r="E12" s="494">
        <v>97</v>
      </c>
      <c r="F12" s="495"/>
      <c r="G12" s="566"/>
      <c r="H12" s="514"/>
      <c r="I12" s="515" t="s">
        <v>152</v>
      </c>
      <c r="J12" s="527"/>
      <c r="K12" s="66"/>
      <c r="L12" s="470"/>
      <c r="M12" s="6">
        <v>61</v>
      </c>
      <c r="N12" s="6"/>
      <c r="O12" s="508"/>
      <c r="P12" s="469"/>
      <c r="Q12" s="6" t="s">
        <v>540</v>
      </c>
      <c r="R12" s="502"/>
      <c r="S12" s="527"/>
      <c r="T12" s="66"/>
      <c r="U12" s="470">
        <v>720</v>
      </c>
      <c r="V12" s="6"/>
      <c r="W12" s="6"/>
      <c r="X12" s="508"/>
      <c r="Y12" s="509" t="s">
        <v>45</v>
      </c>
      <c r="Z12" s="6"/>
      <c r="AA12" s="602"/>
      <c r="AB12" s="527"/>
      <c r="AC12" s="66"/>
      <c r="AD12" s="470"/>
      <c r="AE12" s="6"/>
      <c r="AF12" s="6">
        <v>39</v>
      </c>
      <c r="AG12" s="508"/>
      <c r="AH12" s="509"/>
      <c r="AI12" s="6"/>
      <c r="AJ12" s="6" t="s">
        <v>152</v>
      </c>
      <c r="AK12" s="527"/>
      <c r="AM12" s="470"/>
      <c r="AN12" s="6"/>
      <c r="AO12" s="6">
        <v>108</v>
      </c>
      <c r="AP12" s="508"/>
      <c r="AQ12" s="509"/>
      <c r="AR12" s="6"/>
      <c r="AS12" s="6" t="s">
        <v>542</v>
      </c>
      <c r="AT12" s="527"/>
    </row>
    <row r="13" spans="1:46" ht="34.950000000000003" customHeight="1" x14ac:dyDescent="0.35">
      <c r="A13" s="1478">
        <v>44901</v>
      </c>
      <c r="B13" s="472">
        <v>1</v>
      </c>
      <c r="C13" s="493"/>
      <c r="D13" s="494"/>
      <c r="E13" s="494">
        <v>68</v>
      </c>
      <c r="F13" s="495"/>
      <c r="G13" s="566"/>
      <c r="H13" s="514"/>
      <c r="I13" s="515" t="s">
        <v>152</v>
      </c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>
        <v>720</v>
      </c>
      <c r="V13" s="6"/>
      <c r="W13" s="6"/>
      <c r="X13" s="495"/>
      <c r="Y13" s="469" t="s">
        <v>45</v>
      </c>
      <c r="Z13" s="502"/>
      <c r="AA13" s="6"/>
      <c r="AB13" s="527"/>
      <c r="AC13" s="66"/>
      <c r="AD13" s="470"/>
      <c r="AE13" s="6"/>
      <c r="AF13" s="6"/>
      <c r="AG13" s="495"/>
      <c r="AH13" s="509"/>
      <c r="AI13" s="6"/>
      <c r="AJ13" s="6"/>
      <c r="AK13" s="527"/>
      <c r="AM13" s="470"/>
      <c r="AN13" s="6"/>
      <c r="AO13" s="6"/>
      <c r="AP13" s="495"/>
      <c r="AQ13" s="509"/>
      <c r="AR13" s="6"/>
      <c r="AS13" s="6"/>
      <c r="AT13" s="527"/>
    </row>
    <row r="14" spans="1:46" ht="27.65" customHeight="1" x14ac:dyDescent="0.35">
      <c r="A14" s="1477"/>
      <c r="B14" s="472">
        <v>2</v>
      </c>
      <c r="C14" s="493"/>
      <c r="D14" s="494">
        <v>10</v>
      </c>
      <c r="E14" s="494">
        <v>122</v>
      </c>
      <c r="F14" s="495"/>
      <c r="G14" s="566"/>
      <c r="H14" s="515" t="s">
        <v>540</v>
      </c>
      <c r="I14" s="515" t="s">
        <v>152</v>
      </c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>
        <v>720</v>
      </c>
      <c r="V14" s="6"/>
      <c r="W14" s="6"/>
      <c r="X14" s="495"/>
      <c r="Y14" s="469" t="s">
        <v>45</v>
      </c>
      <c r="Z14" s="502"/>
      <c r="AA14" s="502"/>
      <c r="AB14" s="527"/>
      <c r="AC14" s="66"/>
      <c r="AD14" s="470"/>
      <c r="AE14" s="6"/>
      <c r="AF14" s="6">
        <v>13</v>
      </c>
      <c r="AG14" s="495"/>
      <c r="AH14" s="469"/>
      <c r="AI14" s="6"/>
      <c r="AJ14" s="6" t="s">
        <v>152</v>
      </c>
      <c r="AK14" s="527"/>
      <c r="AM14" s="470"/>
      <c r="AN14" s="6"/>
      <c r="AO14" s="6"/>
      <c r="AP14" s="495"/>
      <c r="AQ14" s="469"/>
      <c r="AR14" s="6"/>
      <c r="AS14" s="6"/>
      <c r="AT14" s="527"/>
    </row>
    <row r="15" spans="1:46" ht="34.950000000000003" customHeight="1" x14ac:dyDescent="0.35">
      <c r="A15" s="1478">
        <v>44902</v>
      </c>
      <c r="B15" s="472">
        <v>1</v>
      </c>
      <c r="C15" s="493"/>
      <c r="D15" s="494"/>
      <c r="E15" s="6">
        <v>93</v>
      </c>
      <c r="F15" s="495"/>
      <c r="G15" s="566"/>
      <c r="H15" s="515"/>
      <c r="I15" s="515" t="s">
        <v>152</v>
      </c>
      <c r="J15" s="527"/>
      <c r="K15" s="66"/>
      <c r="L15" s="470"/>
      <c r="M15" s="6"/>
      <c r="N15" s="6"/>
      <c r="O15" s="495"/>
      <c r="P15" s="470"/>
      <c r="Q15" s="515"/>
      <c r="R15" s="6"/>
      <c r="S15" s="527"/>
      <c r="T15" s="66"/>
      <c r="U15" s="470">
        <v>720</v>
      </c>
      <c r="V15" s="6"/>
      <c r="W15" s="6"/>
      <c r="X15" s="495"/>
      <c r="Y15" s="470" t="s">
        <v>45</v>
      </c>
      <c r="Z15" s="515"/>
      <c r="AA15" s="609"/>
      <c r="AB15" s="527"/>
      <c r="AC15" s="66"/>
      <c r="AD15" s="470"/>
      <c r="AE15" s="6"/>
      <c r="AF15" s="66"/>
      <c r="AG15" s="495"/>
      <c r="AI15" s="573"/>
      <c r="AJ15" s="6"/>
      <c r="AK15" s="527"/>
      <c r="AM15" s="470"/>
      <c r="AN15" s="6"/>
      <c r="AO15" s="66">
        <v>89</v>
      </c>
      <c r="AP15" s="495"/>
      <c r="AR15" s="573"/>
      <c r="AS15" s="6" t="s">
        <v>152</v>
      </c>
      <c r="AT15" s="527"/>
    </row>
    <row r="16" spans="1:46" ht="31.95" customHeight="1" x14ac:dyDescent="0.35">
      <c r="A16" s="1477"/>
      <c r="B16" s="472">
        <v>2</v>
      </c>
      <c r="C16" s="493"/>
      <c r="D16" s="494"/>
      <c r="E16" s="494">
        <v>150</v>
      </c>
      <c r="F16" s="495"/>
      <c r="G16" s="565"/>
      <c r="H16" s="638"/>
      <c r="I16" s="515" t="s">
        <v>152</v>
      </c>
      <c r="J16" s="527"/>
      <c r="K16" s="66"/>
      <c r="L16" s="470"/>
      <c r="M16" s="6"/>
      <c r="N16" s="6"/>
      <c r="O16" s="495"/>
      <c r="P16" s="470"/>
      <c r="Q16" s="6"/>
      <c r="R16" s="6"/>
      <c r="S16" s="527"/>
      <c r="T16" s="66"/>
      <c r="U16" s="470"/>
      <c r="V16" s="6"/>
      <c r="W16" s="6">
        <v>696</v>
      </c>
      <c r="X16" s="495"/>
      <c r="Y16" s="514"/>
      <c r="Z16" s="514"/>
      <c r="AA16" s="6" t="s">
        <v>239</v>
      </c>
      <c r="AB16" s="527"/>
      <c r="AC16" s="66"/>
      <c r="AD16" s="470"/>
      <c r="AE16" s="6"/>
      <c r="AF16" s="6"/>
      <c r="AG16" s="495"/>
      <c r="AH16" s="470"/>
      <c r="AI16" s="6"/>
      <c r="AJ16" s="6"/>
      <c r="AK16" s="527"/>
      <c r="AM16" s="470"/>
      <c r="AN16" s="6"/>
      <c r="AO16" s="6">
        <v>34</v>
      </c>
      <c r="AP16" s="495"/>
      <c r="AQ16" s="470"/>
      <c r="AR16" s="6"/>
      <c r="AS16" s="6" t="s">
        <v>152</v>
      </c>
      <c r="AT16" s="527"/>
    </row>
    <row r="17" spans="1:46" ht="39" customHeight="1" x14ac:dyDescent="0.35">
      <c r="A17" s="1478">
        <v>44903</v>
      </c>
      <c r="B17" s="534">
        <v>1</v>
      </c>
      <c r="C17" s="493"/>
      <c r="D17" s="494"/>
      <c r="E17" s="494">
        <v>55</v>
      </c>
      <c r="F17" s="495"/>
      <c r="G17" s="566"/>
      <c r="H17" s="514"/>
      <c r="I17" s="515" t="s">
        <v>152</v>
      </c>
      <c r="J17" s="527"/>
      <c r="K17" s="66"/>
      <c r="L17" s="470"/>
      <c r="M17" s="6"/>
      <c r="N17" s="6"/>
      <c r="O17" s="495"/>
      <c r="P17" s="470"/>
      <c r="Q17" s="6"/>
      <c r="R17" s="6"/>
      <c r="S17" s="527"/>
      <c r="T17" s="66"/>
      <c r="U17" s="470"/>
      <c r="V17" s="6"/>
      <c r="W17" s="6">
        <v>85</v>
      </c>
      <c r="X17" s="495"/>
      <c r="Y17" s="514"/>
      <c r="Z17" s="514"/>
      <c r="AA17" s="6" t="s">
        <v>152</v>
      </c>
      <c r="AB17" s="527"/>
      <c r="AC17" s="66"/>
      <c r="AD17" s="470"/>
      <c r="AE17" s="6"/>
      <c r="AF17" s="6">
        <v>8</v>
      </c>
      <c r="AG17" s="495"/>
      <c r="AH17" s="470"/>
      <c r="AI17" s="6"/>
      <c r="AJ17" s="502" t="s">
        <v>152</v>
      </c>
      <c r="AK17" s="527"/>
      <c r="AM17" s="470"/>
      <c r="AN17" s="6"/>
      <c r="AO17" s="6"/>
      <c r="AP17" s="495"/>
      <c r="AQ17" s="470"/>
      <c r="AR17" s="6"/>
      <c r="AS17" s="502"/>
      <c r="AT17" s="527"/>
    </row>
    <row r="18" spans="1:46" ht="54" customHeight="1" x14ac:dyDescent="0.35">
      <c r="A18" s="1477"/>
      <c r="B18" s="472">
        <v>2</v>
      </c>
      <c r="C18" s="493"/>
      <c r="D18" s="494"/>
      <c r="E18" s="494">
        <v>75</v>
      </c>
      <c r="F18" s="495"/>
      <c r="G18" s="565"/>
      <c r="H18" s="515"/>
      <c r="I18" s="514" t="s">
        <v>152</v>
      </c>
      <c r="J18" s="527"/>
      <c r="K18" s="66"/>
      <c r="L18" s="470"/>
      <c r="M18" s="6"/>
      <c r="N18" s="6"/>
      <c r="O18" s="495"/>
      <c r="P18" s="470"/>
      <c r="Q18" s="6"/>
      <c r="R18" s="6"/>
      <c r="S18" s="527"/>
      <c r="T18" s="66"/>
      <c r="U18" s="470"/>
      <c r="V18" s="6"/>
      <c r="W18" s="6">
        <v>101</v>
      </c>
      <c r="X18" s="495"/>
      <c r="Y18" s="465"/>
      <c r="Z18" s="6"/>
      <c r="AA18" s="502" t="s">
        <v>152</v>
      </c>
      <c r="AB18" s="527"/>
      <c r="AC18" s="66"/>
      <c r="AD18" s="470"/>
      <c r="AE18" s="6"/>
      <c r="AF18" s="6"/>
      <c r="AG18" s="495"/>
      <c r="AH18" s="470"/>
      <c r="AI18" s="6"/>
      <c r="AJ18" s="502"/>
      <c r="AK18" s="527"/>
      <c r="AM18" s="470"/>
      <c r="AN18" s="6"/>
      <c r="AO18" s="6"/>
      <c r="AP18" s="495"/>
      <c r="AQ18" s="470"/>
      <c r="AR18" s="6"/>
      <c r="AS18" s="502"/>
      <c r="AT18" s="527"/>
    </row>
    <row r="19" spans="1:46" ht="33.65" customHeight="1" x14ac:dyDescent="0.35">
      <c r="A19" s="1478">
        <v>44904</v>
      </c>
      <c r="B19" s="472">
        <v>1</v>
      </c>
      <c r="C19" s="66"/>
      <c r="D19" s="494"/>
      <c r="E19" s="494">
        <v>86</v>
      </c>
      <c r="F19" s="495"/>
      <c r="G19" s="566"/>
      <c r="H19" s="514"/>
      <c r="I19" s="515" t="s">
        <v>152</v>
      </c>
      <c r="J19" s="527"/>
      <c r="K19" s="66"/>
      <c r="L19" s="470">
        <v>112</v>
      </c>
      <c r="M19" s="6"/>
      <c r="N19" s="6"/>
      <c r="O19" s="495"/>
      <c r="P19" s="470" t="s">
        <v>45</v>
      </c>
      <c r="Q19" s="6"/>
      <c r="R19" s="6"/>
      <c r="S19" s="527"/>
      <c r="T19" s="66"/>
      <c r="U19" s="470"/>
      <c r="V19" s="6"/>
      <c r="W19" s="6">
        <v>159</v>
      </c>
      <c r="X19" s="495"/>
      <c r="Y19" s="470"/>
      <c r="Z19" s="502"/>
      <c r="AA19" s="502" t="s">
        <v>152</v>
      </c>
      <c r="AB19" s="527"/>
      <c r="AC19" s="66"/>
      <c r="AD19" s="470"/>
      <c r="AE19" s="6"/>
      <c r="AF19" s="6"/>
      <c r="AG19" s="495"/>
      <c r="AH19" s="470"/>
      <c r="AI19" s="6"/>
      <c r="AJ19" s="502"/>
      <c r="AK19" s="527"/>
      <c r="AM19" s="470"/>
      <c r="AN19" s="6"/>
      <c r="AO19" s="6"/>
      <c r="AP19" s="495"/>
      <c r="AQ19" s="470"/>
      <c r="AR19" s="6"/>
      <c r="AS19" s="502"/>
      <c r="AT19" s="527"/>
    </row>
    <row r="20" spans="1:46" ht="31.2" customHeight="1" x14ac:dyDescent="0.35">
      <c r="A20" s="1477"/>
      <c r="B20" s="472">
        <v>2</v>
      </c>
      <c r="C20" s="493"/>
      <c r="D20" s="494"/>
      <c r="E20" s="494">
        <v>19</v>
      </c>
      <c r="F20" s="495">
        <v>540</v>
      </c>
      <c r="G20" s="566"/>
      <c r="H20" s="515"/>
      <c r="I20" s="515" t="s">
        <v>152</v>
      </c>
      <c r="J20" s="527" t="s">
        <v>543</v>
      </c>
      <c r="K20" s="66"/>
      <c r="L20" s="470">
        <v>720</v>
      </c>
      <c r="M20" s="6"/>
      <c r="N20" s="6"/>
      <c r="O20" s="495"/>
      <c r="P20" s="470" t="s">
        <v>45</v>
      </c>
      <c r="Q20" s="6"/>
      <c r="R20" s="6"/>
      <c r="S20" s="527"/>
      <c r="T20" s="66"/>
      <c r="U20" s="470"/>
      <c r="V20" s="214"/>
      <c r="W20" s="6">
        <v>48</v>
      </c>
      <c r="X20" s="495">
        <v>540</v>
      </c>
      <c r="Y20" s="470"/>
      <c r="Z20" s="502"/>
      <c r="AA20" s="605" t="s">
        <v>152</v>
      </c>
      <c r="AB20" s="527" t="s">
        <v>543</v>
      </c>
      <c r="AC20" s="66"/>
      <c r="AD20" s="470"/>
      <c r="AE20" s="6"/>
      <c r="AF20" s="6"/>
      <c r="AG20" s="495">
        <v>540</v>
      </c>
      <c r="AH20" s="465"/>
      <c r="AI20" s="6"/>
      <c r="AJ20" s="6"/>
      <c r="AK20" s="607" t="s">
        <v>543</v>
      </c>
      <c r="AM20" s="470"/>
      <c r="AN20" s="6"/>
      <c r="AO20" s="6"/>
      <c r="AP20" s="495">
        <v>540</v>
      </c>
      <c r="AQ20" s="465"/>
      <c r="AR20" s="6"/>
      <c r="AS20" s="6"/>
      <c r="AT20" s="607" t="s">
        <v>543</v>
      </c>
    </row>
    <row r="21" spans="1:46" ht="39.65" customHeight="1" x14ac:dyDescent="0.35">
      <c r="A21" s="1478">
        <v>44905</v>
      </c>
      <c r="B21" s="472">
        <v>1</v>
      </c>
      <c r="C21" s="493"/>
      <c r="D21" s="494"/>
      <c r="E21" s="494">
        <v>61</v>
      </c>
      <c r="F21" s="495">
        <v>49</v>
      </c>
      <c r="G21" s="569"/>
      <c r="H21" s="514"/>
      <c r="I21" s="515" t="s">
        <v>152</v>
      </c>
      <c r="J21" s="527" t="s">
        <v>543</v>
      </c>
      <c r="K21" s="66"/>
      <c r="L21" s="470">
        <v>720</v>
      </c>
      <c r="M21" s="6"/>
      <c r="N21" s="6"/>
      <c r="O21" s="495"/>
      <c r="P21" s="470" t="s">
        <v>45</v>
      </c>
      <c r="Q21" s="6"/>
      <c r="R21" s="6"/>
      <c r="S21" s="527"/>
      <c r="T21" s="66"/>
      <c r="U21" s="470"/>
      <c r="V21" s="6"/>
      <c r="W21" s="6">
        <v>103</v>
      </c>
      <c r="X21" s="495">
        <v>65</v>
      </c>
      <c r="Y21" s="470"/>
      <c r="Z21" s="6"/>
      <c r="AA21" s="502" t="s">
        <v>152</v>
      </c>
      <c r="AB21" s="527" t="s">
        <v>543</v>
      </c>
      <c r="AC21" s="66"/>
      <c r="AD21" s="470"/>
      <c r="AE21" s="6"/>
      <c r="AF21" s="6">
        <v>23</v>
      </c>
      <c r="AG21" s="495">
        <v>52</v>
      </c>
      <c r="AH21" s="470"/>
      <c r="AI21" s="6"/>
      <c r="AJ21" s="6" t="s">
        <v>152</v>
      </c>
      <c r="AK21" s="607" t="s">
        <v>543</v>
      </c>
      <c r="AM21" s="470"/>
      <c r="AN21" s="6"/>
      <c r="AO21" s="6"/>
      <c r="AP21" s="495">
        <v>160</v>
      </c>
      <c r="AQ21" s="470"/>
      <c r="AR21" s="502"/>
      <c r="AS21" s="47"/>
      <c r="AT21" s="527"/>
    </row>
    <row r="22" spans="1:46" ht="31.95" customHeight="1" x14ac:dyDescent="0.35">
      <c r="A22" s="1477"/>
      <c r="B22" s="472">
        <v>2</v>
      </c>
      <c r="C22" s="493"/>
      <c r="D22" s="494"/>
      <c r="E22" s="494">
        <v>164</v>
      </c>
      <c r="F22" s="495"/>
      <c r="G22" s="562"/>
      <c r="H22" s="515"/>
      <c r="I22" s="515" t="s">
        <v>544</v>
      </c>
      <c r="J22" s="527"/>
      <c r="K22" s="66"/>
      <c r="L22" s="470">
        <v>720</v>
      </c>
      <c r="M22" s="6"/>
      <c r="N22" s="6"/>
      <c r="O22" s="495"/>
      <c r="P22" s="469" t="s">
        <v>45</v>
      </c>
      <c r="Q22" s="6"/>
      <c r="R22" s="6"/>
      <c r="S22" s="527"/>
      <c r="T22" s="66"/>
      <c r="U22" s="470"/>
      <c r="V22" s="6"/>
      <c r="W22" s="6">
        <v>257</v>
      </c>
      <c r="X22" s="495"/>
      <c r="Y22" s="470"/>
      <c r="Z22" s="6"/>
      <c r="AA22" s="502" t="s">
        <v>544</v>
      </c>
      <c r="AB22" s="527"/>
      <c r="AC22" s="66"/>
      <c r="AD22" s="470">
        <v>45</v>
      </c>
      <c r="AE22" s="6"/>
      <c r="AF22" s="6"/>
      <c r="AG22" s="495"/>
      <c r="AH22" s="465" t="s">
        <v>545</v>
      </c>
      <c r="AI22" s="6"/>
      <c r="AJ22" s="6"/>
      <c r="AK22" s="607"/>
      <c r="AM22" s="470"/>
      <c r="AN22" s="6"/>
      <c r="AO22" s="6"/>
      <c r="AP22" s="495"/>
      <c r="AQ22" s="470"/>
      <c r="AR22" s="502"/>
      <c r="AS22" s="47"/>
      <c r="AT22" s="527"/>
    </row>
    <row r="23" spans="1:46" ht="37.950000000000003" customHeight="1" x14ac:dyDescent="0.35">
      <c r="A23" s="1478">
        <v>44906</v>
      </c>
      <c r="B23" s="534">
        <v>1</v>
      </c>
      <c r="C23" s="493"/>
      <c r="D23" s="494"/>
      <c r="E23" s="494">
        <v>116</v>
      </c>
      <c r="F23" s="495"/>
      <c r="G23" s="566"/>
      <c r="H23" s="514"/>
      <c r="I23" s="515" t="s">
        <v>152</v>
      </c>
      <c r="J23" s="527"/>
      <c r="K23" s="66"/>
      <c r="L23" s="470"/>
      <c r="M23" s="6"/>
      <c r="N23" s="6">
        <v>720</v>
      </c>
      <c r="O23" s="495"/>
      <c r="P23" s="566"/>
      <c r="Q23" s="514"/>
      <c r="R23" s="515" t="s">
        <v>239</v>
      </c>
      <c r="S23" s="527"/>
      <c r="T23" s="66"/>
      <c r="U23" s="470"/>
      <c r="V23" s="6"/>
      <c r="W23" s="6">
        <v>156</v>
      </c>
      <c r="X23" s="495"/>
      <c r="Y23" s="565"/>
      <c r="Z23" s="514"/>
      <c r="AA23" s="515" t="s">
        <v>546</v>
      </c>
      <c r="AB23" s="527"/>
      <c r="AC23" s="66"/>
      <c r="AD23" s="470"/>
      <c r="AE23" s="6"/>
      <c r="AF23" s="6">
        <v>134</v>
      </c>
      <c r="AG23" s="495"/>
      <c r="AH23" s="6"/>
      <c r="AI23" s="514"/>
      <c r="AJ23" s="515" t="s">
        <v>152</v>
      </c>
      <c r="AK23" s="607"/>
      <c r="AM23" s="470"/>
      <c r="AN23" s="6"/>
      <c r="AO23" s="6"/>
      <c r="AP23" s="495"/>
      <c r="AQ23" s="6"/>
      <c r="AR23" s="514"/>
      <c r="AS23" s="573"/>
      <c r="AT23" s="527"/>
    </row>
    <row r="24" spans="1:46" ht="49.95" customHeight="1" x14ac:dyDescent="0.35">
      <c r="A24" s="1477"/>
      <c r="B24" s="472">
        <v>2</v>
      </c>
      <c r="C24" s="493"/>
      <c r="D24" s="494"/>
      <c r="E24" s="494">
        <v>10</v>
      </c>
      <c r="F24" s="495"/>
      <c r="G24" s="566"/>
      <c r="H24" s="514"/>
      <c r="I24" s="515" t="s">
        <v>401</v>
      </c>
      <c r="J24" s="527"/>
      <c r="K24" s="66"/>
      <c r="L24" s="470"/>
      <c r="M24" s="6"/>
      <c r="N24" s="6">
        <v>80</v>
      </c>
      <c r="O24" s="495"/>
      <c r="P24" s="566"/>
      <c r="Q24" s="514"/>
      <c r="R24" s="515" t="s">
        <v>239</v>
      </c>
      <c r="S24" s="527"/>
      <c r="T24" s="66"/>
      <c r="U24" s="470"/>
      <c r="V24" s="6">
        <v>10</v>
      </c>
      <c r="W24" s="6">
        <v>20</v>
      </c>
      <c r="X24" s="495"/>
      <c r="Y24" s="566"/>
      <c r="Z24" s="514" t="s">
        <v>547</v>
      </c>
      <c r="AA24" s="515" t="s">
        <v>548</v>
      </c>
      <c r="AB24" s="527"/>
      <c r="AC24" s="66"/>
      <c r="AD24" s="470"/>
      <c r="AE24" s="6"/>
      <c r="AF24" s="6"/>
      <c r="AG24" s="495"/>
      <c r="AH24" s="6"/>
      <c r="AI24" s="514"/>
      <c r="AJ24" s="6"/>
      <c r="AK24" s="607"/>
      <c r="AM24" s="470"/>
      <c r="AN24" s="6"/>
      <c r="AO24" s="6">
        <v>81</v>
      </c>
      <c r="AP24" s="495"/>
      <c r="AQ24" s="6"/>
      <c r="AR24" s="514"/>
      <c r="AS24" s="636" t="s">
        <v>549</v>
      </c>
      <c r="AT24" s="527"/>
    </row>
    <row r="25" spans="1:46" ht="46.2" customHeight="1" x14ac:dyDescent="0.35">
      <c r="A25" s="1478">
        <v>44907</v>
      </c>
      <c r="B25" s="472">
        <v>1</v>
      </c>
      <c r="C25" s="493"/>
      <c r="D25" s="494"/>
      <c r="E25" s="494">
        <v>40</v>
      </c>
      <c r="F25" s="495"/>
      <c r="G25" s="566"/>
      <c r="H25" s="514"/>
      <c r="I25" s="515" t="s">
        <v>152</v>
      </c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>
        <v>56</v>
      </c>
      <c r="X25" s="495"/>
      <c r="Y25" s="470"/>
      <c r="Z25" s="502"/>
      <c r="AA25" s="502" t="s">
        <v>152</v>
      </c>
      <c r="AB25" s="527"/>
      <c r="AC25" s="66"/>
      <c r="AD25" s="470"/>
      <c r="AE25" s="6"/>
      <c r="AF25" s="6"/>
      <c r="AG25" s="495"/>
      <c r="AH25" s="6"/>
      <c r="AI25" s="6"/>
      <c r="AJ25" s="6"/>
      <c r="AK25" s="607"/>
      <c r="AM25" s="470"/>
      <c r="AN25" s="6"/>
      <c r="AO25" s="6">
        <v>185</v>
      </c>
      <c r="AP25" s="495"/>
      <c r="AQ25" s="6"/>
      <c r="AR25" s="6"/>
      <c r="AS25" s="47" t="s">
        <v>152</v>
      </c>
      <c r="AT25" s="527"/>
    </row>
    <row r="26" spans="1:46" ht="42" customHeight="1" x14ac:dyDescent="0.35">
      <c r="A26" s="1477"/>
      <c r="B26" s="472">
        <v>2</v>
      </c>
      <c r="C26" s="493"/>
      <c r="D26" s="494"/>
      <c r="E26" s="494">
        <v>87</v>
      </c>
      <c r="F26" s="495">
        <v>100</v>
      </c>
      <c r="G26" s="566"/>
      <c r="H26" s="515"/>
      <c r="I26" s="573" t="s">
        <v>152</v>
      </c>
      <c r="J26" s="527" t="s">
        <v>543</v>
      </c>
      <c r="K26" s="66"/>
      <c r="L26" s="470"/>
      <c r="M26" s="6"/>
      <c r="N26" s="6"/>
      <c r="O26" s="495">
        <v>88</v>
      </c>
      <c r="P26" s="566"/>
      <c r="Q26" s="515"/>
      <c r="R26" s="515"/>
      <c r="S26" s="527" t="s">
        <v>543</v>
      </c>
      <c r="T26" s="66"/>
      <c r="U26" s="470"/>
      <c r="V26" s="494"/>
      <c r="W26" s="6">
        <v>112</v>
      </c>
      <c r="X26" s="495">
        <v>92</v>
      </c>
      <c r="Y26" s="566"/>
      <c r="Z26" s="515"/>
      <c r="AA26" s="515" t="s">
        <v>152</v>
      </c>
      <c r="AB26" s="527" t="s">
        <v>543</v>
      </c>
      <c r="AC26" s="66"/>
      <c r="AD26" s="470"/>
      <c r="AE26" s="494"/>
      <c r="AF26" s="6"/>
      <c r="AG26" s="495">
        <v>98</v>
      </c>
      <c r="AH26" s="6"/>
      <c r="AI26" s="6"/>
      <c r="AJ26" s="6"/>
      <c r="AK26" s="607" t="s">
        <v>543</v>
      </c>
      <c r="AM26" s="470"/>
      <c r="AN26" s="494"/>
      <c r="AO26" s="6"/>
      <c r="AP26" s="495">
        <v>100</v>
      </c>
      <c r="AQ26" s="6"/>
      <c r="AR26" s="6"/>
      <c r="AS26" s="47"/>
      <c r="AT26" s="527" t="s">
        <v>543</v>
      </c>
    </row>
    <row r="27" spans="1:46" ht="49.95" customHeight="1" x14ac:dyDescent="0.35">
      <c r="A27" s="1478">
        <v>44908</v>
      </c>
      <c r="B27" s="534">
        <v>1</v>
      </c>
      <c r="C27" s="493"/>
      <c r="D27" s="494"/>
      <c r="E27" s="494">
        <v>64</v>
      </c>
      <c r="F27" s="495"/>
      <c r="G27" s="566"/>
      <c r="H27" s="514"/>
      <c r="I27" s="573" t="s">
        <v>152</v>
      </c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/>
      <c r="X27" s="508"/>
      <c r="Y27" s="566"/>
      <c r="Z27" s="514"/>
      <c r="AA27" s="515"/>
      <c r="AB27" s="527"/>
      <c r="AC27" s="66"/>
      <c r="AD27" s="470"/>
      <c r="AE27" s="6"/>
      <c r="AF27" s="6"/>
      <c r="AG27" s="508"/>
      <c r="AH27" s="6"/>
      <c r="AI27" s="6"/>
      <c r="AJ27" s="515"/>
      <c r="AK27" s="607"/>
      <c r="AM27" s="470"/>
      <c r="AN27" s="6"/>
      <c r="AO27" s="6">
        <v>73</v>
      </c>
      <c r="AP27" s="508"/>
      <c r="AQ27" s="6"/>
      <c r="AR27" s="6"/>
      <c r="AS27" s="573" t="s">
        <v>152</v>
      </c>
      <c r="AT27" s="527"/>
    </row>
    <row r="28" spans="1:46" ht="49.2" customHeight="1" x14ac:dyDescent="0.35">
      <c r="A28" s="1477"/>
      <c r="B28" s="472">
        <v>2</v>
      </c>
      <c r="C28" s="493"/>
      <c r="D28" s="494"/>
      <c r="E28" s="494">
        <v>45</v>
      </c>
      <c r="F28" s="495"/>
      <c r="G28" s="515"/>
      <c r="H28" s="515"/>
      <c r="I28" s="573" t="s">
        <v>152</v>
      </c>
      <c r="J28" s="527"/>
      <c r="K28" s="66"/>
      <c r="L28" s="470"/>
      <c r="M28" s="6"/>
      <c r="N28" s="6"/>
      <c r="O28" s="495"/>
      <c r="P28" s="515"/>
      <c r="Q28" s="515"/>
      <c r="R28" s="515"/>
      <c r="S28" s="526"/>
      <c r="T28" s="66"/>
      <c r="U28" s="470"/>
      <c r="V28" s="6"/>
      <c r="W28" s="66"/>
      <c r="X28" s="495"/>
      <c r="Y28" s="515"/>
      <c r="Z28" s="6"/>
      <c r="AA28" s="573"/>
      <c r="AB28" s="527"/>
      <c r="AC28" s="66"/>
      <c r="AD28" s="470"/>
      <c r="AE28" s="6"/>
      <c r="AF28" s="6">
        <v>8</v>
      </c>
      <c r="AG28" s="495"/>
      <c r="AH28" s="502"/>
      <c r="AI28" s="6"/>
      <c r="AJ28" s="573" t="s">
        <v>325</v>
      </c>
      <c r="AK28" s="526"/>
      <c r="AM28" s="470"/>
      <c r="AN28" s="6"/>
      <c r="AO28" s="6">
        <v>33</v>
      </c>
      <c r="AP28" s="495"/>
      <c r="AQ28" s="502"/>
      <c r="AR28" s="6"/>
      <c r="AS28" s="573" t="s">
        <v>152</v>
      </c>
      <c r="AT28" s="526"/>
    </row>
    <row r="29" spans="1:46" ht="45" customHeight="1" x14ac:dyDescent="0.35">
      <c r="A29" s="1478">
        <v>44909</v>
      </c>
      <c r="B29" s="472">
        <v>1</v>
      </c>
      <c r="C29" s="493"/>
      <c r="D29" s="494"/>
      <c r="E29" s="494">
        <v>10</v>
      </c>
      <c r="F29" s="495"/>
      <c r="G29" s="565"/>
      <c r="H29" s="514"/>
      <c r="I29" s="573" t="s">
        <v>152</v>
      </c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>
        <v>5</v>
      </c>
      <c r="X29" s="495"/>
      <c r="Y29" s="566"/>
      <c r="Z29" s="514"/>
      <c r="AA29" s="573" t="s">
        <v>152</v>
      </c>
      <c r="AB29" s="527"/>
      <c r="AC29" s="66"/>
      <c r="AD29" s="470"/>
      <c r="AE29" s="6"/>
      <c r="AF29" s="6"/>
      <c r="AG29" s="495"/>
      <c r="AH29" s="566"/>
      <c r="AI29" s="515"/>
      <c r="AJ29" s="515"/>
      <c r="AK29" s="508"/>
      <c r="AM29" s="470"/>
      <c r="AN29" s="6"/>
      <c r="AO29" s="6">
        <v>46</v>
      </c>
      <c r="AP29" s="495"/>
      <c r="AQ29" s="566"/>
      <c r="AR29" s="514"/>
      <c r="AS29" s="515" t="s">
        <v>152</v>
      </c>
      <c r="AT29" s="508"/>
    </row>
    <row r="30" spans="1:46" ht="30.65" customHeight="1" x14ac:dyDescent="0.35">
      <c r="A30" s="1477"/>
      <c r="B30" s="534">
        <v>2</v>
      </c>
      <c r="C30" s="493"/>
      <c r="D30" s="494">
        <v>13</v>
      </c>
      <c r="E30" s="494">
        <v>103</v>
      </c>
      <c r="F30" s="495"/>
      <c r="G30" s="566"/>
      <c r="H30" s="514"/>
      <c r="I30" s="515" t="s">
        <v>152</v>
      </c>
      <c r="J30" s="527"/>
      <c r="K30" s="66"/>
      <c r="L30" s="470"/>
      <c r="M30" s="6">
        <v>24</v>
      </c>
      <c r="N30" s="6"/>
      <c r="O30" s="495"/>
      <c r="P30" s="566"/>
      <c r="Q30" s="515"/>
      <c r="R30" s="515"/>
      <c r="S30" s="527"/>
      <c r="T30" s="66"/>
      <c r="U30" s="470"/>
      <c r="V30" s="6"/>
      <c r="W30" s="6">
        <v>57</v>
      </c>
      <c r="X30" s="495"/>
      <c r="Y30" s="566"/>
      <c r="Z30" s="514"/>
      <c r="AA30" s="515" t="s">
        <v>152</v>
      </c>
      <c r="AB30" s="508"/>
      <c r="AC30" s="66"/>
      <c r="AD30" s="470"/>
      <c r="AE30" s="6"/>
      <c r="AF30" s="6">
        <v>50</v>
      </c>
      <c r="AG30" s="495"/>
      <c r="AH30" s="566"/>
      <c r="AI30" s="514"/>
      <c r="AJ30" s="515" t="s">
        <v>152</v>
      </c>
      <c r="AK30" s="508"/>
      <c r="AM30" s="470"/>
      <c r="AN30" s="6"/>
      <c r="AO30" s="6"/>
      <c r="AP30" s="495"/>
      <c r="AQ30" s="566"/>
      <c r="AR30" s="514"/>
      <c r="AS30" s="515"/>
      <c r="AT30" s="508"/>
    </row>
    <row r="31" spans="1:46" ht="39.65" customHeight="1" x14ac:dyDescent="0.35">
      <c r="A31" s="1478">
        <v>44910</v>
      </c>
      <c r="B31" s="472">
        <v>1</v>
      </c>
      <c r="C31" s="493"/>
      <c r="D31" s="494"/>
      <c r="E31" s="494"/>
      <c r="F31" s="495"/>
      <c r="G31" s="566"/>
      <c r="H31" s="514"/>
      <c r="I31" s="515"/>
      <c r="J31" s="527"/>
      <c r="K31" s="66"/>
      <c r="L31" s="470"/>
      <c r="M31" s="6">
        <v>10</v>
      </c>
      <c r="N31" s="6">
        <v>348</v>
      </c>
      <c r="O31" s="495"/>
      <c r="P31" s="509"/>
      <c r="Q31" s="6" t="s">
        <v>550</v>
      </c>
      <c r="R31" s="6" t="s">
        <v>552</v>
      </c>
      <c r="S31" s="527"/>
      <c r="T31" s="66"/>
      <c r="U31" s="470">
        <v>27</v>
      </c>
      <c r="V31" s="6"/>
      <c r="W31" s="6"/>
      <c r="X31" s="495"/>
      <c r="Y31" s="469" t="s">
        <v>551</v>
      </c>
      <c r="Z31" s="6"/>
      <c r="AA31" s="6"/>
      <c r="AB31" s="527"/>
      <c r="AC31" s="66"/>
      <c r="AD31" s="470"/>
      <c r="AE31" s="6"/>
      <c r="AF31" s="6"/>
      <c r="AG31" s="495"/>
      <c r="AH31" s="509"/>
      <c r="AI31" s="6"/>
      <c r="AJ31" s="6"/>
      <c r="AK31" s="527"/>
      <c r="AM31" s="470"/>
      <c r="AN31" s="6"/>
      <c r="AO31" s="6">
        <v>55</v>
      </c>
      <c r="AP31" s="495"/>
      <c r="AQ31" s="509"/>
      <c r="AR31" s="6"/>
      <c r="AS31" s="6" t="s">
        <v>542</v>
      </c>
      <c r="AT31" s="527"/>
    </row>
    <row r="32" spans="1:46" ht="28.2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14"/>
      <c r="I32" s="573"/>
      <c r="J32" s="568"/>
      <c r="K32" s="66"/>
      <c r="L32" s="470"/>
      <c r="M32" s="6"/>
      <c r="N32" s="6"/>
      <c r="O32" s="508"/>
      <c r="P32" s="509"/>
      <c r="Q32" s="6"/>
      <c r="R32" s="6"/>
      <c r="S32" s="627"/>
      <c r="T32" s="66"/>
      <c r="U32" s="470"/>
      <c r="V32" s="6">
        <v>29</v>
      </c>
      <c r="W32" s="6"/>
      <c r="X32" s="508"/>
      <c r="Y32" s="509"/>
      <c r="Z32" s="502" t="s">
        <v>553</v>
      </c>
      <c r="AA32" s="573"/>
      <c r="AB32" s="527"/>
      <c r="AC32" s="66"/>
      <c r="AD32" s="470"/>
      <c r="AE32" s="6"/>
      <c r="AF32" s="6"/>
      <c r="AG32" s="508"/>
      <c r="AH32" s="509"/>
      <c r="AI32" s="502"/>
      <c r="AJ32" s="6"/>
      <c r="AK32" s="508"/>
      <c r="AM32" s="470"/>
      <c r="AN32" s="6"/>
      <c r="AO32" s="6">
        <v>109</v>
      </c>
      <c r="AP32" s="508"/>
      <c r="AQ32" s="509"/>
      <c r="AR32" s="502"/>
      <c r="AS32" s="6" t="s">
        <v>542</v>
      </c>
      <c r="AT32" s="508"/>
    </row>
    <row r="33" spans="1:46" ht="43.2" customHeight="1" x14ac:dyDescent="0.35">
      <c r="A33" s="1478">
        <v>44911</v>
      </c>
      <c r="B33" s="472">
        <v>1</v>
      </c>
      <c r="C33" s="493"/>
      <c r="D33" s="494"/>
      <c r="E33" s="494"/>
      <c r="F33" s="495"/>
      <c r="G33" s="566"/>
      <c r="H33" s="514"/>
      <c r="I33" s="573"/>
      <c r="J33" s="568"/>
      <c r="K33" s="66"/>
      <c r="L33" s="470"/>
      <c r="M33" s="6"/>
      <c r="N33" s="6"/>
      <c r="O33" s="508"/>
      <c r="P33" s="509"/>
      <c r="Q33" s="6"/>
      <c r="R33" s="6"/>
      <c r="S33" s="508"/>
      <c r="T33" s="66"/>
      <c r="U33" s="470"/>
      <c r="V33" s="6"/>
      <c r="W33" s="6"/>
      <c r="X33" s="508"/>
      <c r="Y33" s="509"/>
      <c r="Z33" s="6"/>
      <c r="AA33" s="502"/>
      <c r="AB33" s="508"/>
      <c r="AC33" s="66"/>
      <c r="AD33" s="470"/>
      <c r="AE33" s="6"/>
      <c r="AF33" s="6"/>
      <c r="AG33" s="508"/>
      <c r="AH33" s="509"/>
      <c r="AI33" s="502"/>
      <c r="AJ33" s="6"/>
      <c r="AK33" s="508"/>
      <c r="AM33" s="470"/>
      <c r="AN33" s="6"/>
      <c r="AO33" s="6">
        <v>20</v>
      </c>
      <c r="AP33" s="508"/>
      <c r="AQ33" s="509"/>
      <c r="AR33" s="502"/>
      <c r="AS33" s="6" t="s">
        <v>542</v>
      </c>
      <c r="AT33" s="508"/>
    </row>
    <row r="34" spans="1:46" ht="37.200000000000003" customHeight="1" x14ac:dyDescent="0.35">
      <c r="A34" s="1477"/>
      <c r="B34" s="534">
        <v>2</v>
      </c>
      <c r="C34" s="494"/>
      <c r="D34" s="494"/>
      <c r="E34" s="494"/>
      <c r="F34" s="637"/>
      <c r="G34" s="566"/>
      <c r="H34" s="515"/>
      <c r="I34" s="515"/>
      <c r="J34" s="568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/>
      <c r="X34" s="508"/>
      <c r="Y34" s="6"/>
      <c r="Z34" s="502"/>
      <c r="AA34" s="515"/>
      <c r="AB34" s="527"/>
      <c r="AC34" s="66"/>
      <c r="AD34" s="470"/>
      <c r="AE34" s="6"/>
      <c r="AF34" s="6"/>
      <c r="AG34" s="508"/>
      <c r="AH34" s="509"/>
      <c r="AI34" s="6"/>
      <c r="AJ34" s="6"/>
      <c r="AK34" s="508"/>
      <c r="AM34" s="470"/>
      <c r="AN34" s="6"/>
      <c r="AO34" s="6"/>
      <c r="AP34" s="508"/>
      <c r="AQ34" s="509"/>
      <c r="AR34" s="6"/>
      <c r="AS34" s="6"/>
      <c r="AT34" s="508"/>
    </row>
    <row r="35" spans="1:46" ht="37.950000000000003" customHeight="1" x14ac:dyDescent="0.35">
      <c r="A35" s="1478">
        <v>44912</v>
      </c>
      <c r="B35" s="472">
        <v>1</v>
      </c>
      <c r="C35" s="494"/>
      <c r="D35" s="494"/>
      <c r="E35" s="47"/>
      <c r="F35" s="636"/>
      <c r="G35" s="465"/>
      <c r="H35" s="509"/>
      <c r="I35" s="502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/>
      <c r="X35" s="526"/>
      <c r="Y35" s="465"/>
      <c r="Z35" s="6"/>
      <c r="AA35" s="502"/>
      <c r="AB35" s="508"/>
      <c r="AC35" s="66"/>
      <c r="AD35" s="470"/>
      <c r="AE35" s="6"/>
      <c r="AF35" s="6"/>
      <c r="AG35" s="469"/>
      <c r="AH35" s="465"/>
      <c r="AI35" s="6"/>
      <c r="AJ35" s="502"/>
      <c r="AK35" s="508"/>
      <c r="AM35" s="470"/>
      <c r="AN35" s="6"/>
      <c r="AO35" s="47"/>
      <c r="AP35" s="526"/>
      <c r="AQ35" s="465"/>
      <c r="AR35" s="6"/>
      <c r="AS35" s="502"/>
      <c r="AT35" s="508"/>
    </row>
    <row r="36" spans="1:46" ht="41.5" customHeight="1" x14ac:dyDescent="0.35">
      <c r="A36" s="1477"/>
      <c r="B36" s="472">
        <v>2</v>
      </c>
      <c r="C36" s="6"/>
      <c r="D36" s="6"/>
      <c r="E36" s="47"/>
      <c r="F36" s="636"/>
      <c r="G36" s="465"/>
      <c r="H36" s="469"/>
      <c r="I36" s="502"/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/>
      <c r="W36" s="6"/>
      <c r="X36" s="469"/>
      <c r="Y36" s="465"/>
      <c r="Z36" s="502"/>
      <c r="AA36" s="502"/>
      <c r="AB36" s="508"/>
      <c r="AC36" s="66"/>
      <c r="AD36" s="470"/>
      <c r="AE36" s="6"/>
      <c r="AF36" s="47"/>
      <c r="AG36" s="526"/>
      <c r="AH36" s="465"/>
      <c r="AI36" s="502"/>
      <c r="AJ36" s="502"/>
      <c r="AK36" s="508"/>
      <c r="AM36" s="470"/>
      <c r="AN36" s="6"/>
      <c r="AO36" s="6"/>
      <c r="AP36" s="469"/>
      <c r="AQ36" s="465"/>
      <c r="AR36" s="502"/>
      <c r="AS36" s="502"/>
      <c r="AT36" s="508"/>
    </row>
    <row r="37" spans="1:46" ht="38.5" customHeight="1" x14ac:dyDescent="0.35">
      <c r="A37" s="1478">
        <v>44913</v>
      </c>
      <c r="B37" s="534">
        <v>1</v>
      </c>
      <c r="C37" s="494"/>
      <c r="D37" s="494"/>
      <c r="E37" s="6">
        <v>20</v>
      </c>
      <c r="F37" s="47"/>
      <c r="G37" s="635"/>
      <c r="H37" s="469"/>
      <c r="I37" s="515" t="s">
        <v>152</v>
      </c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>
        <v>15</v>
      </c>
      <c r="X37" s="508"/>
      <c r="Y37" s="509"/>
      <c r="Z37" s="502"/>
      <c r="AA37" s="515" t="s">
        <v>152</v>
      </c>
      <c r="AB37" s="527"/>
      <c r="AC37" s="66"/>
      <c r="AD37" s="470"/>
      <c r="AE37" s="6"/>
      <c r="AF37" s="6"/>
      <c r="AG37" s="508"/>
      <c r="AH37" s="509"/>
      <c r="AI37" s="6"/>
      <c r="AJ37" s="6"/>
      <c r="AK37" s="508"/>
      <c r="AM37" s="470"/>
      <c r="AN37" s="6"/>
      <c r="AO37" s="6"/>
      <c r="AP37" s="508"/>
      <c r="AQ37" s="509"/>
      <c r="AR37" s="6"/>
      <c r="AS37" s="6"/>
      <c r="AT37" s="508"/>
    </row>
    <row r="38" spans="1:46" ht="36" customHeight="1" x14ac:dyDescent="0.35">
      <c r="A38" s="1477"/>
      <c r="B38" s="472">
        <v>2</v>
      </c>
      <c r="C38" s="493"/>
      <c r="D38" s="494"/>
      <c r="E38" s="494">
        <v>272</v>
      </c>
      <c r="F38" s="637"/>
      <c r="G38" s="566"/>
      <c r="H38" s="469"/>
      <c r="I38" s="6" t="s">
        <v>554</v>
      </c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/>
      <c r="V38" s="6"/>
      <c r="W38" s="6"/>
      <c r="X38" s="508"/>
      <c r="Y38" s="509"/>
      <c r="Z38" s="502"/>
      <c r="AA38" s="6"/>
      <c r="AB38" s="527"/>
      <c r="AC38" s="66"/>
      <c r="AD38" s="470"/>
      <c r="AE38" s="6"/>
      <c r="AF38" s="6"/>
      <c r="AG38" s="508"/>
      <c r="AH38" s="469"/>
      <c r="AI38" s="6"/>
      <c r="AJ38" s="502"/>
      <c r="AK38" s="527"/>
      <c r="AM38" s="470"/>
      <c r="AN38" s="6"/>
      <c r="AO38" s="6"/>
      <c r="AP38" s="508"/>
      <c r="AQ38" s="509"/>
      <c r="AR38" s="6"/>
      <c r="AS38" s="502"/>
      <c r="AT38" s="527"/>
    </row>
    <row r="39" spans="1:46" ht="39" customHeight="1" x14ac:dyDescent="0.35">
      <c r="A39" s="1478">
        <v>44914</v>
      </c>
      <c r="B39" s="472">
        <v>1</v>
      </c>
      <c r="C39" s="493"/>
      <c r="D39" s="494"/>
      <c r="E39" s="494">
        <v>20</v>
      </c>
      <c r="F39" s="495"/>
      <c r="G39" s="566"/>
      <c r="H39" s="514"/>
      <c r="I39" s="515" t="s">
        <v>152</v>
      </c>
      <c r="J39" s="568"/>
      <c r="K39" s="66"/>
      <c r="L39" s="470"/>
      <c r="M39" s="6"/>
      <c r="N39" s="6"/>
      <c r="O39" s="508"/>
      <c r="P39" s="509"/>
      <c r="Q39" s="514"/>
      <c r="R39" s="6"/>
      <c r="S39" s="508"/>
      <c r="T39" s="66"/>
      <c r="U39" s="470"/>
      <c r="V39" s="6"/>
      <c r="W39" s="6">
        <v>50</v>
      </c>
      <c r="X39" s="508"/>
      <c r="Y39" s="509"/>
      <c r="Z39" s="502"/>
      <c r="AA39" s="515" t="s">
        <v>152</v>
      </c>
      <c r="AB39" s="527"/>
      <c r="AC39" s="66"/>
      <c r="AD39" s="470"/>
      <c r="AE39" s="6"/>
      <c r="AF39" s="6"/>
      <c r="AG39" s="508"/>
      <c r="AH39" s="509"/>
      <c r="AI39" s="6"/>
      <c r="AJ39" s="6"/>
      <c r="AK39" s="508"/>
      <c r="AM39" s="470"/>
      <c r="AN39" s="6"/>
      <c r="AO39" s="6"/>
      <c r="AP39" s="508"/>
      <c r="AQ39" s="509"/>
      <c r="AR39" s="6"/>
      <c r="AS39" s="6"/>
      <c r="AT39" s="508"/>
    </row>
    <row r="40" spans="1:46" ht="35.5" customHeight="1" x14ac:dyDescent="0.35">
      <c r="A40" s="1477"/>
      <c r="B40" s="472">
        <v>2</v>
      </c>
      <c r="C40" s="493"/>
      <c r="D40" s="494"/>
      <c r="E40" s="494">
        <v>15</v>
      </c>
      <c r="F40" s="508"/>
      <c r="G40" s="566"/>
      <c r="H40" s="514"/>
      <c r="I40" s="515" t="s">
        <v>152</v>
      </c>
      <c r="J40" s="527"/>
      <c r="K40" s="66"/>
      <c r="L40" s="470"/>
      <c r="M40" s="6"/>
      <c r="N40" s="6"/>
      <c r="O40" s="508"/>
      <c r="P40" s="509"/>
      <c r="Q40" s="6"/>
      <c r="R40" s="6"/>
      <c r="S40" s="527"/>
      <c r="T40" s="66"/>
      <c r="U40" s="470"/>
      <c r="V40" s="6"/>
      <c r="W40" s="6">
        <v>40</v>
      </c>
      <c r="X40" s="508"/>
      <c r="Y40" s="509"/>
      <c r="Z40" s="502"/>
      <c r="AA40" s="515" t="s">
        <v>152</v>
      </c>
      <c r="AB40" s="527"/>
      <c r="AC40" s="66"/>
      <c r="AD40" s="470"/>
      <c r="AE40" s="6"/>
      <c r="AF40" s="6"/>
      <c r="AG40" s="508"/>
      <c r="AH40" s="509"/>
      <c r="AI40" s="6"/>
      <c r="AJ40" s="6"/>
      <c r="AK40" s="527"/>
      <c r="AM40" s="470"/>
      <c r="AN40" s="6"/>
      <c r="AO40" s="6"/>
      <c r="AP40" s="508"/>
      <c r="AQ40" s="509"/>
      <c r="AR40" s="6"/>
      <c r="AS40" s="6"/>
      <c r="AT40" s="527"/>
    </row>
    <row r="41" spans="1:46" ht="39.65" customHeight="1" x14ac:dyDescent="0.35">
      <c r="A41" s="1478">
        <v>44915</v>
      </c>
      <c r="B41" s="472">
        <v>1</v>
      </c>
      <c r="C41" s="493"/>
      <c r="D41" s="494"/>
      <c r="E41" s="494"/>
      <c r="F41" s="508"/>
      <c r="G41" s="566"/>
      <c r="H41" s="515"/>
      <c r="I41" s="573"/>
      <c r="J41" s="568"/>
      <c r="K41" s="66"/>
      <c r="L41" s="470"/>
      <c r="M41" s="6"/>
      <c r="N41" s="6"/>
      <c r="O41" s="508"/>
      <c r="P41" s="509"/>
      <c r="Q41" s="6"/>
      <c r="R41" s="6"/>
      <c r="S41" s="527"/>
      <c r="T41" s="66"/>
      <c r="U41" s="470"/>
      <c r="V41" s="6"/>
      <c r="W41" s="6"/>
      <c r="X41" s="508"/>
      <c r="Y41" s="509"/>
      <c r="Z41" s="502"/>
      <c r="AA41" s="502"/>
      <c r="AB41" s="508"/>
      <c r="AC41" s="66"/>
      <c r="AD41" s="470"/>
      <c r="AE41" s="6"/>
      <c r="AF41" s="6"/>
      <c r="AG41" s="508"/>
      <c r="AH41" s="509"/>
      <c r="AI41" s="502"/>
      <c r="AJ41" s="6"/>
      <c r="AK41" s="508"/>
      <c r="AM41" s="470"/>
      <c r="AN41" s="6"/>
      <c r="AO41" s="6"/>
      <c r="AP41" s="508"/>
      <c r="AQ41" s="509"/>
      <c r="AR41" s="502"/>
      <c r="AS41" s="6"/>
      <c r="AT41" s="508"/>
    </row>
    <row r="42" spans="1:46" ht="33" customHeight="1" x14ac:dyDescent="0.35">
      <c r="A42" s="1477"/>
      <c r="B42" s="472">
        <v>2</v>
      </c>
      <c r="C42" s="494"/>
      <c r="D42" s="494"/>
      <c r="E42" s="494">
        <v>13</v>
      </c>
      <c r="F42" s="508"/>
      <c r="G42" s="566"/>
      <c r="H42" s="514"/>
      <c r="I42" s="515" t="s">
        <v>152</v>
      </c>
      <c r="J42" s="568"/>
      <c r="K42" s="66"/>
      <c r="L42" s="470">
        <v>518</v>
      </c>
      <c r="M42" s="6"/>
      <c r="N42" s="6"/>
      <c r="O42" s="508"/>
      <c r="P42" s="509" t="s">
        <v>473</v>
      </c>
      <c r="Q42" s="6"/>
      <c r="R42" s="6"/>
      <c r="S42" s="527"/>
      <c r="T42" s="66"/>
      <c r="U42" s="470"/>
      <c r="V42" s="6"/>
      <c r="W42" s="6">
        <v>77</v>
      </c>
      <c r="X42" s="508"/>
      <c r="Y42" s="469"/>
      <c r="Z42" s="6"/>
      <c r="AA42" s="515" t="s">
        <v>152</v>
      </c>
      <c r="AB42" s="527"/>
      <c r="AC42" s="66"/>
      <c r="AD42" s="470"/>
      <c r="AE42" s="6"/>
      <c r="AF42" s="6"/>
      <c r="AG42" s="508"/>
      <c r="AH42" s="509"/>
      <c r="AI42" s="6"/>
      <c r="AJ42" s="6"/>
      <c r="AK42" s="508"/>
      <c r="AM42" s="470"/>
      <c r="AN42" s="6"/>
      <c r="AO42" s="6">
        <v>129</v>
      </c>
      <c r="AP42" s="508"/>
      <c r="AQ42" s="509"/>
      <c r="AR42" s="6"/>
      <c r="AS42" s="6" t="s">
        <v>542</v>
      </c>
      <c r="AT42" s="508"/>
    </row>
    <row r="43" spans="1:46" ht="33.65" customHeight="1" x14ac:dyDescent="0.35">
      <c r="A43" s="1478">
        <v>44916</v>
      </c>
      <c r="B43" s="472">
        <v>1</v>
      </c>
      <c r="C43" s="494"/>
      <c r="D43" s="494"/>
      <c r="E43" s="494"/>
      <c r="F43" s="495"/>
      <c r="G43" s="514"/>
      <c r="H43" s="514"/>
      <c r="I43" s="515"/>
      <c r="J43" s="527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/>
      <c r="W43" s="6"/>
      <c r="X43" s="508"/>
      <c r="Y43" s="509"/>
      <c r="Z43" s="6"/>
      <c r="AA43" s="515"/>
      <c r="AB43" s="508"/>
      <c r="AC43" s="66"/>
      <c r="AD43" s="470"/>
      <c r="AE43" s="6"/>
      <c r="AF43" s="6"/>
      <c r="AG43" s="508"/>
      <c r="AH43" s="502"/>
      <c r="AI43" s="515"/>
      <c r="AJ43" s="6"/>
      <c r="AK43" s="508"/>
      <c r="AM43" s="470"/>
      <c r="AN43" s="6"/>
      <c r="AO43" s="6"/>
      <c r="AP43" s="508"/>
      <c r="AQ43" s="502"/>
      <c r="AR43" s="515"/>
      <c r="AS43" s="6"/>
      <c r="AT43" s="508"/>
    </row>
    <row r="44" spans="1:46" ht="36" customHeight="1" x14ac:dyDescent="0.35">
      <c r="A44" s="1477"/>
      <c r="B44" s="472">
        <v>2</v>
      </c>
      <c r="C44" s="494"/>
      <c r="D44" s="494"/>
      <c r="E44" s="494">
        <v>75</v>
      </c>
      <c r="F44" s="495"/>
      <c r="G44" s="514"/>
      <c r="H44" s="514"/>
      <c r="I44" s="573" t="s">
        <v>555</v>
      </c>
      <c r="J44" s="527"/>
      <c r="K44" s="66"/>
      <c r="L44" s="470"/>
      <c r="M44" s="6"/>
      <c r="N44" s="6"/>
      <c r="O44" s="508"/>
      <c r="P44" s="509"/>
      <c r="Q44" s="6"/>
      <c r="R44" s="502"/>
      <c r="S44" s="627"/>
      <c r="T44" s="66"/>
      <c r="U44" s="470"/>
      <c r="V44" s="6"/>
      <c r="W44" s="494">
        <v>35</v>
      </c>
      <c r="X44" s="495"/>
      <c r="Y44" s="514"/>
      <c r="Z44" s="514"/>
      <c r="AA44" s="515" t="s">
        <v>152</v>
      </c>
      <c r="AB44" s="527"/>
      <c r="AC44" s="66"/>
      <c r="AD44" s="470"/>
      <c r="AE44" s="6"/>
      <c r="AF44" s="6"/>
      <c r="AG44" s="508"/>
      <c r="AH44" s="509"/>
      <c r="AI44" s="502"/>
      <c r="AJ44" s="502"/>
      <c r="AK44" s="508"/>
      <c r="AM44" s="470"/>
      <c r="AN44" s="6"/>
      <c r="AO44" s="6"/>
      <c r="AP44" s="508"/>
      <c r="AQ44" s="509"/>
      <c r="AR44" s="502"/>
      <c r="AS44" s="502"/>
      <c r="AT44" s="508"/>
    </row>
    <row r="45" spans="1:46" ht="36" customHeight="1" x14ac:dyDescent="0.35">
      <c r="A45" s="1478">
        <v>44917</v>
      </c>
      <c r="B45" s="472">
        <v>1</v>
      </c>
      <c r="C45" s="494"/>
      <c r="D45" s="494"/>
      <c r="E45" s="494">
        <v>35</v>
      </c>
      <c r="F45" s="495"/>
      <c r="G45" s="514"/>
      <c r="H45" s="514"/>
      <c r="I45" s="515" t="s">
        <v>152</v>
      </c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>
        <v>55</v>
      </c>
      <c r="X45" s="508"/>
      <c r="Y45" s="514"/>
      <c r="Z45" s="6"/>
      <c r="AA45" s="515" t="s">
        <v>152</v>
      </c>
      <c r="AB45" s="508"/>
      <c r="AC45" s="66"/>
      <c r="AD45" s="470"/>
      <c r="AE45" s="6"/>
      <c r="AF45" s="6"/>
      <c r="AG45" s="508"/>
      <c r="AH45" s="509"/>
      <c r="AI45" s="502"/>
      <c r="AJ45" s="6"/>
      <c r="AK45" s="508"/>
      <c r="AM45" s="470"/>
      <c r="AN45" s="6"/>
      <c r="AO45" s="6"/>
      <c r="AP45" s="508"/>
      <c r="AQ45" s="509"/>
      <c r="AR45" s="502"/>
      <c r="AS45" s="6"/>
      <c r="AT45" s="508"/>
    </row>
    <row r="46" spans="1:46" ht="34.200000000000003" customHeight="1" x14ac:dyDescent="0.35">
      <c r="A46" s="1477"/>
      <c r="B46" s="472">
        <v>2</v>
      </c>
      <c r="C46" s="494"/>
      <c r="D46" s="494"/>
      <c r="E46" s="494">
        <v>38</v>
      </c>
      <c r="F46" s="495"/>
      <c r="G46" s="514"/>
      <c r="H46" s="514"/>
      <c r="I46" s="515" t="s">
        <v>152</v>
      </c>
      <c r="J46" s="527"/>
      <c r="K46" s="66"/>
      <c r="L46" s="470"/>
      <c r="M46" s="6"/>
      <c r="N46" s="6"/>
      <c r="O46" s="633"/>
      <c r="P46" s="509"/>
      <c r="Q46" s="515"/>
      <c r="R46" s="6"/>
      <c r="S46" s="527"/>
      <c r="T46" s="66"/>
      <c r="U46" s="470"/>
      <c r="V46" s="6"/>
      <c r="W46" s="6">
        <v>9</v>
      </c>
      <c r="X46" s="508"/>
      <c r="Y46" s="509"/>
      <c r="Z46" s="6"/>
      <c r="AA46" s="515" t="s">
        <v>152</v>
      </c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/>
      <c r="AO46" s="6">
        <v>32</v>
      </c>
      <c r="AP46" s="508"/>
      <c r="AQ46" s="469"/>
      <c r="AR46" s="6"/>
      <c r="AS46" s="47" t="s">
        <v>152</v>
      </c>
      <c r="AT46" s="527"/>
    </row>
    <row r="47" spans="1:46" ht="36" customHeight="1" x14ac:dyDescent="0.35">
      <c r="A47" s="1478">
        <v>44918</v>
      </c>
      <c r="B47" s="472">
        <v>1</v>
      </c>
      <c r="C47" s="494"/>
      <c r="D47" s="494"/>
      <c r="E47" s="494">
        <v>25</v>
      </c>
      <c r="F47" s="495"/>
      <c r="G47" s="515"/>
      <c r="H47" s="514"/>
      <c r="I47" s="515" t="s">
        <v>152</v>
      </c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>
        <v>20</v>
      </c>
      <c r="X47" s="508"/>
      <c r="Y47" s="509"/>
      <c r="Z47" s="502"/>
      <c r="AA47" s="515" t="s">
        <v>152</v>
      </c>
      <c r="AB47" s="527"/>
      <c r="AC47" s="66"/>
      <c r="AD47" s="470"/>
      <c r="AE47" s="6"/>
      <c r="AF47" s="6"/>
      <c r="AG47" s="508"/>
      <c r="AH47" s="469"/>
      <c r="AI47" s="515"/>
      <c r="AJ47" s="6"/>
      <c r="AK47" s="508"/>
      <c r="AM47" s="470"/>
      <c r="AN47" s="6"/>
      <c r="AO47" s="6">
        <v>15</v>
      </c>
      <c r="AP47" s="508"/>
      <c r="AQ47" s="469"/>
      <c r="AR47" s="515"/>
      <c r="AS47" s="47" t="s">
        <v>152</v>
      </c>
      <c r="AT47" s="508"/>
    </row>
    <row r="48" spans="1:46" ht="34.950000000000003" customHeight="1" x14ac:dyDescent="0.35">
      <c r="A48" s="1477"/>
      <c r="B48" s="472">
        <v>2</v>
      </c>
      <c r="C48" s="494"/>
      <c r="D48" s="494"/>
      <c r="E48" s="494">
        <v>10</v>
      </c>
      <c r="F48" s="495"/>
      <c r="G48" s="515"/>
      <c r="H48" s="515"/>
      <c r="I48" s="515" t="s">
        <v>152</v>
      </c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>
        <v>59</v>
      </c>
      <c r="X48" s="508"/>
      <c r="Y48" s="469"/>
      <c r="Z48" s="6"/>
      <c r="AA48" s="515" t="s">
        <v>152</v>
      </c>
      <c r="AB48" s="508"/>
      <c r="AC48" s="66"/>
      <c r="AD48" s="470">
        <v>75</v>
      </c>
      <c r="AE48" s="6"/>
      <c r="AF48" s="6"/>
      <c r="AG48" s="508"/>
      <c r="AH48" s="469" t="s">
        <v>556</v>
      </c>
      <c r="AI48" s="502"/>
      <c r="AJ48" s="6"/>
      <c r="AK48" s="508"/>
      <c r="AM48" s="470"/>
      <c r="AN48" s="6"/>
      <c r="AO48" s="6">
        <v>10</v>
      </c>
      <c r="AP48" s="508"/>
      <c r="AQ48" s="509"/>
      <c r="AR48" s="502"/>
      <c r="AS48" s="47" t="s">
        <v>152</v>
      </c>
      <c r="AT48" s="508"/>
    </row>
    <row r="49" spans="1:46" ht="36" customHeight="1" x14ac:dyDescent="0.35">
      <c r="A49" s="1478">
        <v>44919</v>
      </c>
      <c r="B49" s="472">
        <v>1</v>
      </c>
      <c r="C49" s="494"/>
      <c r="D49" s="494"/>
      <c r="E49" s="494">
        <v>12</v>
      </c>
      <c r="F49" s="495"/>
      <c r="G49" s="515"/>
      <c r="H49" s="514"/>
      <c r="I49" s="515" t="s">
        <v>152</v>
      </c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>
        <v>14</v>
      </c>
      <c r="X49" s="508"/>
      <c r="Y49" s="509"/>
      <c r="Z49" s="502"/>
      <c r="AA49" s="502" t="s">
        <v>97</v>
      </c>
      <c r="AB49" s="527"/>
      <c r="AC49" s="66"/>
      <c r="AD49" s="470"/>
      <c r="AE49" s="6"/>
      <c r="AF49" s="6"/>
      <c r="AG49" s="508"/>
      <c r="AH49" s="509"/>
      <c r="AI49" s="502"/>
      <c r="AJ49" s="6"/>
      <c r="AK49" s="508"/>
      <c r="AM49" s="470"/>
      <c r="AN49" s="6"/>
      <c r="AO49" s="6"/>
      <c r="AP49" s="508"/>
      <c r="AQ49" s="509"/>
      <c r="AR49" s="502"/>
      <c r="AS49" s="6"/>
      <c r="AT49" s="508"/>
    </row>
    <row r="50" spans="1:46" ht="33" customHeight="1" x14ac:dyDescent="0.35">
      <c r="A50" s="1477"/>
      <c r="B50" s="472">
        <v>2</v>
      </c>
      <c r="C50" s="494"/>
      <c r="D50" s="494"/>
      <c r="E50" s="494">
        <v>12</v>
      </c>
      <c r="F50" s="495"/>
      <c r="G50" s="514"/>
      <c r="H50" s="514"/>
      <c r="I50" s="515" t="s">
        <v>152</v>
      </c>
      <c r="J50" s="527"/>
      <c r="K50" s="66"/>
      <c r="L50" s="470"/>
      <c r="M50" s="6"/>
      <c r="N50" s="6"/>
      <c r="O50" s="508"/>
      <c r="P50" s="509"/>
      <c r="Q50" s="502"/>
      <c r="R50" s="502"/>
      <c r="S50" s="627"/>
      <c r="T50" s="66"/>
      <c r="U50" s="470"/>
      <c r="V50" s="6"/>
      <c r="W50" s="6">
        <v>25</v>
      </c>
      <c r="X50" s="508"/>
      <c r="Y50" s="469"/>
      <c r="Z50" s="502"/>
      <c r="AA50" s="515" t="s">
        <v>152</v>
      </c>
      <c r="AB50" s="508"/>
      <c r="AC50" s="66"/>
      <c r="AD50" s="470"/>
      <c r="AE50" s="6"/>
      <c r="AF50" s="6">
        <v>18</v>
      </c>
      <c r="AG50" s="508"/>
      <c r="AH50" s="509"/>
      <c r="AI50" s="6"/>
      <c r="AJ50" s="502" t="s">
        <v>557</v>
      </c>
      <c r="AK50" s="508"/>
      <c r="AM50" s="470"/>
      <c r="AN50" s="6"/>
      <c r="AO50" s="6"/>
      <c r="AP50" s="508"/>
      <c r="AQ50" s="509"/>
      <c r="AR50" s="6"/>
      <c r="AS50" s="502"/>
      <c r="AT50" s="508"/>
    </row>
    <row r="51" spans="1:46" ht="44.5" customHeight="1" x14ac:dyDescent="0.35">
      <c r="A51" s="1478">
        <v>44920</v>
      </c>
      <c r="B51" s="472">
        <v>1</v>
      </c>
      <c r="C51" s="494"/>
      <c r="D51" s="494"/>
      <c r="E51" s="494">
        <v>25</v>
      </c>
      <c r="F51" s="495"/>
      <c r="G51" s="514"/>
      <c r="H51" s="514"/>
      <c r="I51" s="573" t="s">
        <v>338</v>
      </c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  <c r="AM51" s="470"/>
      <c r="AN51" s="6"/>
      <c r="AO51" s="6"/>
      <c r="AP51" s="508"/>
      <c r="AQ51" s="509"/>
      <c r="AR51" s="6"/>
      <c r="AS51" s="6"/>
      <c r="AT51" s="508"/>
    </row>
    <row r="52" spans="1:46" ht="31.95" customHeight="1" x14ac:dyDescent="0.35">
      <c r="A52" s="1477"/>
      <c r="B52" s="472">
        <v>2</v>
      </c>
      <c r="C52" s="494"/>
      <c r="D52" s="494"/>
      <c r="E52" s="494">
        <v>40</v>
      </c>
      <c r="F52" s="495"/>
      <c r="G52" s="515"/>
      <c r="H52" s="515"/>
      <c r="I52" s="515" t="s">
        <v>152</v>
      </c>
      <c r="J52" s="527"/>
      <c r="K52" s="66"/>
      <c r="L52" s="470"/>
      <c r="M52" s="6"/>
      <c r="N52" s="6"/>
      <c r="O52" s="508"/>
      <c r="P52" s="509"/>
      <c r="Q52" s="6"/>
      <c r="R52" s="6"/>
      <c r="S52" s="527"/>
      <c r="T52" s="66"/>
      <c r="U52" s="470"/>
      <c r="V52" s="6"/>
      <c r="W52" s="6">
        <v>18</v>
      </c>
      <c r="X52" s="508"/>
      <c r="Y52" s="469"/>
      <c r="Z52" s="502"/>
      <c r="AA52" s="515" t="s">
        <v>152</v>
      </c>
      <c r="AB52" s="527"/>
      <c r="AC52" s="66"/>
      <c r="AD52" s="470"/>
      <c r="AE52" s="6"/>
      <c r="AF52" s="6"/>
      <c r="AG52" s="508"/>
      <c r="AH52" s="509"/>
      <c r="AI52" s="6"/>
      <c r="AJ52" s="6"/>
      <c r="AK52" s="508"/>
      <c r="AM52" s="470"/>
      <c r="AN52" s="508"/>
      <c r="AO52" s="508"/>
      <c r="AP52" s="508"/>
      <c r="AQ52" s="509"/>
      <c r="AR52" s="508"/>
      <c r="AS52" s="6"/>
      <c r="AT52" s="508"/>
    </row>
    <row r="53" spans="1:46" ht="40.200000000000003" customHeight="1" x14ac:dyDescent="0.35">
      <c r="A53" s="1478">
        <v>44921</v>
      </c>
      <c r="B53" s="472">
        <v>1</v>
      </c>
      <c r="C53" s="494"/>
      <c r="D53" s="494"/>
      <c r="E53" s="494">
        <v>28</v>
      </c>
      <c r="F53" s="495"/>
      <c r="G53" s="514"/>
      <c r="H53" s="514"/>
      <c r="I53" s="515" t="s">
        <v>558</v>
      </c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/>
      <c r="AP53" s="508"/>
      <c r="AQ53" s="509"/>
      <c r="AR53" s="502"/>
      <c r="AS53" s="502"/>
      <c r="AT53" s="508"/>
    </row>
    <row r="54" spans="1:46" ht="39.65" customHeight="1" x14ac:dyDescent="0.35">
      <c r="A54" s="1477"/>
      <c r="B54" s="500">
        <v>2</v>
      </c>
      <c r="C54" s="494"/>
      <c r="D54" s="494"/>
      <c r="E54" s="494">
        <v>69</v>
      </c>
      <c r="F54" s="495"/>
      <c r="G54" s="514"/>
      <c r="H54" s="514"/>
      <c r="I54" s="515" t="s">
        <v>152</v>
      </c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>
        <v>16</v>
      </c>
      <c r="X54" s="495"/>
      <c r="Y54" s="514"/>
      <c r="Z54" s="515"/>
      <c r="AA54" s="515" t="s">
        <v>152</v>
      </c>
      <c r="AB54" s="527"/>
      <c r="AC54" s="66"/>
      <c r="AD54" s="470"/>
      <c r="AE54" s="6"/>
      <c r="AF54" s="6"/>
      <c r="AG54" s="495"/>
      <c r="AH54" s="514"/>
      <c r="AI54" s="514"/>
      <c r="AJ54" s="6"/>
      <c r="AK54" s="527"/>
      <c r="AM54" s="470"/>
      <c r="AN54" s="6"/>
      <c r="AO54" s="6"/>
      <c r="AP54" s="495"/>
      <c r="AQ54" s="514"/>
      <c r="AR54" s="514"/>
      <c r="AS54" s="514"/>
      <c r="AT54" s="527"/>
    </row>
    <row r="55" spans="1:46" ht="39.65" customHeight="1" x14ac:dyDescent="0.35">
      <c r="A55" s="1478">
        <v>44922</v>
      </c>
      <c r="B55" s="472">
        <v>1</v>
      </c>
      <c r="C55" s="493"/>
      <c r="D55" s="494"/>
      <c r="E55" s="494"/>
      <c r="F55" s="495"/>
      <c r="G55" s="514"/>
      <c r="H55" s="514"/>
      <c r="I55" s="515"/>
      <c r="J55" s="56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>
        <v>10</v>
      </c>
      <c r="X55" s="508"/>
      <c r="Y55" s="509"/>
      <c r="Z55" s="514"/>
      <c r="AA55" s="515" t="s">
        <v>152</v>
      </c>
      <c r="AB55" s="527"/>
      <c r="AC55" s="66"/>
      <c r="AD55" s="470"/>
      <c r="AE55" s="6"/>
      <c r="AF55" s="6">
        <v>15</v>
      </c>
      <c r="AG55" s="508"/>
      <c r="AH55" s="509"/>
      <c r="AI55" s="6"/>
      <c r="AJ55" s="515" t="s">
        <v>152</v>
      </c>
      <c r="AK55" s="508"/>
      <c r="AM55" s="470"/>
      <c r="AN55" s="6"/>
      <c r="AO55" s="6"/>
      <c r="AP55" s="508"/>
      <c r="AQ55" s="509"/>
      <c r="AR55" s="6"/>
      <c r="AS55" s="502"/>
      <c r="AT55" s="508"/>
    </row>
    <row r="56" spans="1:46" ht="40.950000000000003" customHeight="1" x14ac:dyDescent="0.35">
      <c r="A56" s="1477"/>
      <c r="B56" s="500">
        <v>2</v>
      </c>
      <c r="C56" s="493"/>
      <c r="D56" s="494"/>
      <c r="E56" s="494">
        <v>95</v>
      </c>
      <c r="F56" s="495"/>
      <c r="G56" s="515"/>
      <c r="H56" s="514"/>
      <c r="I56" s="515" t="s">
        <v>152</v>
      </c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>
        <v>17</v>
      </c>
      <c r="X56" s="495"/>
      <c r="Y56" s="515"/>
      <c r="Z56" s="514"/>
      <c r="AA56" s="515" t="s">
        <v>152</v>
      </c>
      <c r="AB56" s="527"/>
      <c r="AC56" s="66"/>
      <c r="AD56" s="470"/>
      <c r="AE56" s="6"/>
      <c r="AF56" s="6">
        <v>10</v>
      </c>
      <c r="AG56" s="495"/>
      <c r="AH56" s="515"/>
      <c r="AI56" s="514"/>
      <c r="AJ56" s="515" t="s">
        <v>152</v>
      </c>
      <c r="AK56" s="527"/>
      <c r="AM56" s="470"/>
      <c r="AN56" s="6"/>
      <c r="AO56" s="6"/>
      <c r="AP56" s="495"/>
      <c r="AQ56" s="515"/>
      <c r="AR56" s="514"/>
      <c r="AS56" s="515"/>
      <c r="AT56" s="527"/>
    </row>
    <row r="57" spans="1:46" ht="37.950000000000003" customHeight="1" x14ac:dyDescent="0.35">
      <c r="A57" s="1478">
        <v>44923</v>
      </c>
      <c r="B57" s="472">
        <v>1</v>
      </c>
      <c r="C57" s="493"/>
      <c r="D57" s="494"/>
      <c r="E57" s="494">
        <v>35</v>
      </c>
      <c r="F57" s="495"/>
      <c r="G57" s="515"/>
      <c r="H57" s="514"/>
      <c r="I57" s="515" t="s">
        <v>558</v>
      </c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>
        <v>27</v>
      </c>
      <c r="X57" s="495"/>
      <c r="Y57" s="515"/>
      <c r="Z57" s="514"/>
      <c r="AA57" s="515" t="s">
        <v>558</v>
      </c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95"/>
      <c r="AQ57" s="515"/>
      <c r="AR57" s="514"/>
      <c r="AS57" s="515"/>
      <c r="AT57" s="527"/>
    </row>
    <row r="58" spans="1:46" ht="35.5" customHeight="1" x14ac:dyDescent="0.35">
      <c r="A58" s="1477"/>
      <c r="B58" s="500">
        <v>2</v>
      </c>
      <c r="C58" s="493"/>
      <c r="D58" s="494"/>
      <c r="E58" s="494">
        <v>13</v>
      </c>
      <c r="F58" s="495"/>
      <c r="G58" s="515"/>
      <c r="H58" s="514"/>
      <c r="I58" s="515" t="s">
        <v>97</v>
      </c>
      <c r="J58" s="527"/>
      <c r="K58" s="66"/>
      <c r="L58" s="470"/>
      <c r="M58" s="6"/>
      <c r="N58" s="6"/>
      <c r="O58" s="508"/>
      <c r="P58" s="509"/>
      <c r="Q58" s="6"/>
      <c r="R58" s="6"/>
      <c r="S58" s="527"/>
      <c r="T58" s="66"/>
      <c r="U58" s="470"/>
      <c r="V58" s="6"/>
      <c r="W58" s="6">
        <v>20</v>
      </c>
      <c r="X58" s="508"/>
      <c r="Y58" s="509"/>
      <c r="Z58" s="502"/>
      <c r="AA58" s="515" t="s">
        <v>152</v>
      </c>
      <c r="AB58" s="508"/>
      <c r="AC58" s="66"/>
      <c r="AD58" s="470"/>
      <c r="AE58" s="6"/>
      <c r="AF58" s="6">
        <v>5</v>
      </c>
      <c r="AG58" s="508"/>
      <c r="AH58" s="509"/>
      <c r="AI58" s="6"/>
      <c r="AJ58" s="6" t="s">
        <v>336</v>
      </c>
      <c r="AK58" s="508"/>
      <c r="AM58" s="470"/>
      <c r="AN58" s="6"/>
      <c r="AO58" s="6">
        <v>34</v>
      </c>
      <c r="AP58" s="508"/>
      <c r="AQ58" s="509"/>
      <c r="AR58" s="6"/>
      <c r="AS58" s="47" t="s">
        <v>152</v>
      </c>
      <c r="AT58" s="508"/>
    </row>
    <row r="59" spans="1:46" ht="34.200000000000003" customHeight="1" x14ac:dyDescent="0.35">
      <c r="A59" s="1478">
        <v>44924</v>
      </c>
      <c r="B59" s="472">
        <v>1</v>
      </c>
      <c r="C59" s="493"/>
      <c r="D59" s="494"/>
      <c r="E59" s="494">
        <v>13</v>
      </c>
      <c r="F59" s="495"/>
      <c r="G59" s="514"/>
      <c r="H59" s="514"/>
      <c r="I59" s="515" t="s">
        <v>558</v>
      </c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>
        <v>20</v>
      </c>
      <c r="X59" s="508"/>
      <c r="Y59" s="509"/>
      <c r="Z59" s="6"/>
      <c r="AA59" s="515" t="s">
        <v>152</v>
      </c>
      <c r="AB59" s="508"/>
      <c r="AC59" s="66"/>
      <c r="AD59" s="470"/>
      <c r="AE59" s="6"/>
      <c r="AF59" s="6"/>
      <c r="AG59" s="508"/>
      <c r="AH59" s="469"/>
      <c r="AI59" s="6"/>
      <c r="AJ59" s="515"/>
      <c r="AK59" s="508"/>
      <c r="AM59" s="470"/>
      <c r="AN59" s="6"/>
      <c r="AO59" s="6"/>
      <c r="AP59" s="508"/>
      <c r="AQ59" s="469"/>
      <c r="AR59" s="6"/>
      <c r="AS59" s="515"/>
      <c r="AT59" s="508"/>
    </row>
    <row r="60" spans="1:46" ht="36" customHeight="1" x14ac:dyDescent="0.35">
      <c r="A60" s="1477"/>
      <c r="B60" s="500">
        <v>2</v>
      </c>
      <c r="C60" s="493"/>
      <c r="D60" s="494"/>
      <c r="E60" s="494">
        <v>21</v>
      </c>
      <c r="F60" s="495"/>
      <c r="G60" s="514"/>
      <c r="H60" s="515"/>
      <c r="I60" s="515" t="s">
        <v>152</v>
      </c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502"/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508"/>
      <c r="AQ60" s="509"/>
      <c r="AR60" s="6"/>
      <c r="AS60" s="502"/>
      <c r="AT60" s="527"/>
    </row>
    <row r="61" spans="1:46" ht="32.5" customHeight="1" x14ac:dyDescent="0.35">
      <c r="A61" s="1478">
        <v>44925</v>
      </c>
      <c r="B61" s="472">
        <v>1</v>
      </c>
      <c r="C61" s="618"/>
      <c r="D61" s="619"/>
      <c r="E61" s="494">
        <v>26</v>
      </c>
      <c r="F61" s="620"/>
      <c r="G61" s="514"/>
      <c r="H61" s="576"/>
      <c r="I61" s="515" t="s">
        <v>152</v>
      </c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>
        <v>17</v>
      </c>
      <c r="X61" s="508"/>
      <c r="Y61" s="469"/>
      <c r="Z61" s="502"/>
      <c r="AA61" s="515" t="s">
        <v>152</v>
      </c>
      <c r="AB61" s="624"/>
      <c r="AC61" s="66"/>
      <c r="AD61" s="470"/>
      <c r="AE61" s="6"/>
      <c r="AF61" s="6">
        <v>10</v>
      </c>
      <c r="AG61" s="508"/>
      <c r="AH61" s="509"/>
      <c r="AI61" s="6"/>
      <c r="AJ61" s="6" t="s">
        <v>336</v>
      </c>
      <c r="AK61" s="624"/>
      <c r="AM61" s="470"/>
      <c r="AN61" s="6"/>
      <c r="AO61" s="6"/>
      <c r="AP61" s="508"/>
      <c r="AQ61" s="509"/>
      <c r="AR61" s="6"/>
      <c r="AS61" s="502"/>
      <c r="AT61" s="624"/>
    </row>
    <row r="62" spans="1:46" ht="33" customHeight="1" x14ac:dyDescent="0.35">
      <c r="A62" s="1477"/>
      <c r="B62" s="500">
        <v>2</v>
      </c>
      <c r="C62" s="618"/>
      <c r="D62" s="619"/>
      <c r="E62" s="619">
        <v>31</v>
      </c>
      <c r="F62" s="620"/>
      <c r="G62" s="617"/>
      <c r="H62" s="576"/>
      <c r="I62" s="515" t="s">
        <v>152</v>
      </c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>
        <v>14</v>
      </c>
      <c r="X62" s="508"/>
      <c r="Y62" s="469"/>
      <c r="Z62" s="502"/>
      <c r="AA62" s="515" t="s">
        <v>152</v>
      </c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508"/>
      <c r="AQ62" s="509"/>
      <c r="AR62" s="6"/>
      <c r="AS62" s="502"/>
      <c r="AT62" s="624"/>
    </row>
    <row r="63" spans="1:46" ht="33.65" customHeight="1" x14ac:dyDescent="0.35">
      <c r="A63" s="1478">
        <v>44926</v>
      </c>
      <c r="B63" s="472">
        <v>1</v>
      </c>
      <c r="C63" s="587"/>
      <c r="D63" s="588"/>
      <c r="E63" s="588">
        <v>5</v>
      </c>
      <c r="F63" s="589"/>
      <c r="G63" s="598"/>
      <c r="H63" s="590"/>
      <c r="I63" s="515" t="s">
        <v>152</v>
      </c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>
        <v>25</v>
      </c>
      <c r="X63" s="495"/>
      <c r="Y63" s="566"/>
      <c r="Z63" s="514"/>
      <c r="AA63" s="6" t="s">
        <v>559</v>
      </c>
      <c r="AB63" s="563"/>
      <c r="AC63" s="66"/>
      <c r="AD63" s="470"/>
      <c r="AE63" s="6"/>
      <c r="AF63" s="6"/>
      <c r="AG63" s="495"/>
      <c r="AH63" s="566"/>
      <c r="AI63" s="514"/>
      <c r="AJ63" s="514"/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30.65" customHeight="1" x14ac:dyDescent="0.35">
      <c r="A64" s="1477"/>
      <c r="B64" s="592">
        <v>2</v>
      </c>
      <c r="C64" s="610"/>
      <c r="D64" s="611"/>
      <c r="E64" s="611">
        <v>25</v>
      </c>
      <c r="F64" s="612"/>
      <c r="G64" s="613"/>
      <c r="H64" s="614"/>
      <c r="I64" s="515" t="s">
        <v>152</v>
      </c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528"/>
      <c r="AQ64" s="529"/>
      <c r="AR64" s="530"/>
      <c r="AS64" s="530"/>
      <c r="AT64" s="594"/>
    </row>
    <row r="65" spans="1:42" ht="23.5" customHeight="1" x14ac:dyDescent="0.35">
      <c r="A65" s="423" t="s">
        <v>225</v>
      </c>
      <c r="C65" s="631">
        <f>SUM(C3:C64)</f>
        <v>68</v>
      </c>
      <c r="D65" s="65">
        <f>SUM(D3:D64)</f>
        <v>23</v>
      </c>
      <c r="E65" s="631">
        <f>SUM(E3:E64)</f>
        <v>2631</v>
      </c>
      <c r="F65" s="65">
        <f>SUM(F3:F64)</f>
        <v>1136</v>
      </c>
      <c r="L65" s="65">
        <f>SUM(L3:L64)</f>
        <v>2790</v>
      </c>
      <c r="M65" s="65">
        <f>SUM(M3:M64)</f>
        <v>125</v>
      </c>
      <c r="N65" s="65">
        <f>SUM(N3:N64)</f>
        <v>1148</v>
      </c>
      <c r="O65" s="65">
        <f>SUM(O3:O64)</f>
        <v>567</v>
      </c>
      <c r="U65" s="65">
        <f>SUM(U3:U64)</f>
        <v>4347</v>
      </c>
      <c r="V65" s="65">
        <f>SUM(V3:V64)</f>
        <v>39</v>
      </c>
      <c r="W65" s="65">
        <f>SUM(W3:W64)</f>
        <v>3065</v>
      </c>
      <c r="X65" s="65">
        <f>SUM(X3:X64)</f>
        <v>697</v>
      </c>
      <c r="AD65" s="65">
        <f>SUM(AD3:AD64)</f>
        <v>120</v>
      </c>
      <c r="AE65" s="65">
        <f>SUM(AE3:AE64)</f>
        <v>0</v>
      </c>
      <c r="AF65" s="65">
        <f>SUM(AF3:AF64)</f>
        <v>965</v>
      </c>
      <c r="AG65" s="65">
        <f>SUM(AG3:AG64)</f>
        <v>1174</v>
      </c>
      <c r="AM65" s="65">
        <f>SUM(AM3:AM64)</f>
        <v>508</v>
      </c>
      <c r="AN65" s="65">
        <f>SUM(AN3:AN64)</f>
        <v>0</v>
      </c>
      <c r="AO65" s="65">
        <f>SUM(AO3:AO64)</f>
        <v>1387</v>
      </c>
      <c r="AP65" s="65">
        <f>SUM(AP3:AP64)</f>
        <v>800</v>
      </c>
    </row>
    <row r="73" spans="1:42" ht="14.6" thickBot="1" x14ac:dyDescent="0.4"/>
    <row r="74" spans="1:42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21.75" customHeight="1" x14ac:dyDescent="0.4">
      <c r="B76" s="541" t="s">
        <v>218</v>
      </c>
      <c r="C76" s="542">
        <f>C65</f>
        <v>68</v>
      </c>
      <c r="D76" s="543">
        <f>C76/60</f>
        <v>1.1333333333333333</v>
      </c>
      <c r="E76" s="542">
        <f>D65</f>
        <v>23</v>
      </c>
      <c r="F76" s="544">
        <f>E76/60</f>
        <v>0.38333333333333336</v>
      </c>
      <c r="G76" s="542">
        <f>E65</f>
        <v>2631</v>
      </c>
      <c r="H76" s="543">
        <f>G76/60</f>
        <v>43.85</v>
      </c>
      <c r="I76" s="542">
        <f>F65</f>
        <v>1136</v>
      </c>
      <c r="J76" s="543">
        <f>I76/60</f>
        <v>18.933333333333334</v>
      </c>
    </row>
    <row r="77" spans="1:42" ht="19.5" customHeight="1" x14ac:dyDescent="0.4">
      <c r="B77" s="541" t="s">
        <v>219</v>
      </c>
      <c r="C77" s="545">
        <f>L65</f>
        <v>2790</v>
      </c>
      <c r="D77" s="546">
        <f t="shared" ref="D77:F79" si="0">C77/60</f>
        <v>46.5</v>
      </c>
      <c r="E77" s="545">
        <f>M65</f>
        <v>125</v>
      </c>
      <c r="F77" s="547">
        <f t="shared" si="0"/>
        <v>2.0833333333333335</v>
      </c>
      <c r="G77" s="545">
        <f>N65</f>
        <v>1148</v>
      </c>
      <c r="H77" s="546">
        <f t="shared" ref="H77:J79" si="1">G77/60</f>
        <v>19.133333333333333</v>
      </c>
      <c r="I77" s="545">
        <f>O65</f>
        <v>567</v>
      </c>
      <c r="J77" s="546">
        <f t="shared" si="1"/>
        <v>9.4499999999999993</v>
      </c>
    </row>
    <row r="78" spans="1:42" ht="20.25" customHeight="1" x14ac:dyDescent="0.4">
      <c r="B78" s="541" t="s">
        <v>220</v>
      </c>
      <c r="C78" s="545">
        <f>U65</f>
        <v>4347</v>
      </c>
      <c r="D78" s="546">
        <f t="shared" si="0"/>
        <v>72.45</v>
      </c>
      <c r="E78" s="545">
        <f>V65</f>
        <v>39</v>
      </c>
      <c r="F78" s="547">
        <f t="shared" si="0"/>
        <v>0.65</v>
      </c>
      <c r="G78" s="545">
        <f>W65</f>
        <v>3065</v>
      </c>
      <c r="H78" s="546">
        <f t="shared" si="1"/>
        <v>51.083333333333336</v>
      </c>
      <c r="I78" s="545">
        <f>X65</f>
        <v>697</v>
      </c>
      <c r="J78" s="546">
        <f t="shared" si="1"/>
        <v>11.616666666666667</v>
      </c>
    </row>
    <row r="79" spans="1:42" ht="22.5" customHeight="1" thickBot="1" x14ac:dyDescent="0.45">
      <c r="B79" s="541" t="s">
        <v>221</v>
      </c>
      <c r="C79" s="548">
        <f>AD65</f>
        <v>120</v>
      </c>
      <c r="D79" s="549">
        <f t="shared" si="0"/>
        <v>2</v>
      </c>
      <c r="E79" s="548">
        <f>AE65</f>
        <v>0</v>
      </c>
      <c r="F79" s="550">
        <f t="shared" si="0"/>
        <v>0</v>
      </c>
      <c r="G79" s="548">
        <f>AF65</f>
        <v>965</v>
      </c>
      <c r="H79" s="549">
        <f t="shared" si="1"/>
        <v>16.083333333333332</v>
      </c>
      <c r="I79" s="548">
        <f>AG65</f>
        <v>1174</v>
      </c>
      <c r="J79" s="549">
        <f t="shared" si="1"/>
        <v>19.566666666666666</v>
      </c>
    </row>
    <row r="80" spans="1:42" ht="22.5" customHeight="1" thickBot="1" x14ac:dyDescent="0.45">
      <c r="B80" s="541" t="s">
        <v>488</v>
      </c>
      <c r="C80" s="643">
        <f>AM65</f>
        <v>508</v>
      </c>
      <c r="D80" s="642">
        <f>C80/60</f>
        <v>8.4666666666666668</v>
      </c>
      <c r="E80" s="643">
        <f>AN65</f>
        <v>0</v>
      </c>
      <c r="F80" s="644">
        <f>E80/60</f>
        <v>0</v>
      </c>
      <c r="G80" s="643">
        <f>AO65</f>
        <v>1387</v>
      </c>
      <c r="H80" s="642">
        <f>G80/60</f>
        <v>23.116666666666667</v>
      </c>
      <c r="I80" s="643">
        <f>AP65</f>
        <v>800</v>
      </c>
      <c r="J80" s="642">
        <f>I80/60</f>
        <v>13.333333333333334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130.55000000000001</v>
      </c>
      <c r="E82" s="556"/>
      <c r="F82" s="557">
        <f>SUM(F76:F80)</f>
        <v>3.1166666666666667</v>
      </c>
      <c r="G82" s="556"/>
      <c r="H82" s="557">
        <f>SUM(H76:H80)</f>
        <v>153.26666666666668</v>
      </c>
      <c r="I82" s="556"/>
      <c r="J82" s="558">
        <f>AVERAGE(J76:J80)</f>
        <v>14.579999999999998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P1"/>
    <mergeCell ref="AQ1:AT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T82"/>
  <sheetViews>
    <sheetView zoomScale="55" zoomScaleNormal="55" workbookViewId="0">
      <pane xSplit="2" ySplit="2" topLeftCell="C57" activePane="bottomRight" state="frozen"/>
      <selection pane="topRight" activeCell="C1" sqref="C1"/>
      <selection pane="bottomLeft" activeCell="A3" sqref="A3"/>
      <selection pane="bottomRight" activeCell="P78" sqref="P78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2.84375" style="423" customWidth="1"/>
    <col min="5" max="5" width="15.69140625" style="423" customWidth="1"/>
    <col min="6" max="6" width="16.84375" style="423" customWidth="1"/>
    <col min="7" max="7" width="21.15234375" style="423" customWidth="1"/>
    <col min="8" max="8" width="27.3046875" style="423" customWidth="1"/>
    <col min="9" max="9" width="22" style="423" customWidth="1"/>
    <col min="10" max="10" width="22.3046875" style="423" customWidth="1"/>
    <col min="11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4.3046875" style="423" customWidth="1"/>
    <col min="20" max="24" width="10.69140625" style="423" customWidth="1"/>
    <col min="25" max="25" width="28" style="423" customWidth="1"/>
    <col min="26" max="26" width="23.84375" style="423" customWidth="1"/>
    <col min="27" max="27" width="32.3828125" style="423" customWidth="1"/>
    <col min="28" max="28" width="21.15234375" style="423" customWidth="1"/>
    <col min="29" max="33" width="10.69140625" style="423" customWidth="1"/>
    <col min="34" max="34" width="30.3828125" style="423" customWidth="1"/>
    <col min="35" max="35" width="25.3828125" style="423" customWidth="1"/>
    <col min="36" max="36" width="24.15234375" style="423" customWidth="1"/>
    <col min="37" max="37" width="23" style="423" customWidth="1"/>
    <col min="38" max="38" width="8.84375" style="423"/>
    <col min="39" max="42" width="10.69140625" style="423" customWidth="1"/>
    <col min="43" max="43" width="16.84375" style="423" customWidth="1"/>
    <col min="44" max="44" width="15.15234375" style="423" customWidth="1"/>
    <col min="45" max="45" width="17.53515625" style="423" customWidth="1"/>
    <col min="46" max="46" width="21.15234375" style="423" bestFit="1" customWidth="1"/>
    <col min="47" max="16384" width="8.84375" style="423"/>
  </cols>
  <sheetData>
    <row r="1" spans="1:46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4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5</v>
      </c>
      <c r="AE1" s="1471"/>
      <c r="AF1" s="1471"/>
      <c r="AG1" s="1471"/>
      <c r="AH1" s="1473" t="s">
        <v>206</v>
      </c>
      <c r="AI1" s="1473"/>
      <c r="AJ1" s="1473"/>
      <c r="AK1" s="1474"/>
      <c r="AM1" s="1471" t="s">
        <v>482</v>
      </c>
      <c r="AN1" s="1471"/>
      <c r="AO1" s="1471"/>
      <c r="AP1" s="1471"/>
      <c r="AQ1" s="1473" t="s">
        <v>206</v>
      </c>
      <c r="AR1" s="1473"/>
      <c r="AS1" s="1473"/>
      <c r="AT1" s="1474"/>
    </row>
    <row r="2" spans="1:46" ht="42.65" customHeight="1" x14ac:dyDescent="0.35">
      <c r="A2" s="634" t="s">
        <v>0</v>
      </c>
      <c r="B2" s="426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  <c r="AM2" s="424" t="s">
        <v>199</v>
      </c>
      <c r="AN2" s="424" t="s">
        <v>200</v>
      </c>
      <c r="AO2" s="424" t="s">
        <v>201</v>
      </c>
      <c r="AP2" s="424" t="s">
        <v>204</v>
      </c>
      <c r="AQ2" s="425" t="s">
        <v>199</v>
      </c>
      <c r="AR2" s="424" t="s">
        <v>200</v>
      </c>
      <c r="AS2" s="424" t="s">
        <v>201</v>
      </c>
      <c r="AT2" s="424" t="s">
        <v>204</v>
      </c>
    </row>
    <row r="3" spans="1:46" ht="30" customHeight="1" x14ac:dyDescent="0.35">
      <c r="A3" s="1478">
        <v>44927</v>
      </c>
      <c r="B3" s="501">
        <v>1</v>
      </c>
      <c r="C3" s="490"/>
      <c r="D3" s="491"/>
      <c r="E3" s="640">
        <v>8</v>
      </c>
      <c r="F3" s="492"/>
      <c r="G3" s="566"/>
      <c r="H3" s="514"/>
      <c r="I3" s="641" t="s">
        <v>152</v>
      </c>
      <c r="J3" s="567"/>
      <c r="K3" s="66"/>
      <c r="L3" s="507"/>
      <c r="M3" s="522"/>
      <c r="N3" s="522"/>
      <c r="O3" s="520"/>
      <c r="P3" s="521"/>
      <c r="Q3" s="580"/>
      <c r="R3" s="581"/>
      <c r="S3" s="520"/>
      <c r="T3" s="66"/>
      <c r="U3" s="507"/>
      <c r="V3" s="522"/>
      <c r="W3" s="522"/>
      <c r="X3" s="508"/>
      <c r="Y3" s="469"/>
      <c r="Z3" s="521"/>
      <c r="AA3" s="600"/>
      <c r="AB3" s="601"/>
      <c r="AC3" s="66"/>
      <c r="AD3" s="507"/>
      <c r="AE3" s="522"/>
      <c r="AF3" s="6">
        <v>13</v>
      </c>
      <c r="AG3" s="520"/>
      <c r="AH3" s="521"/>
      <c r="AI3" s="522"/>
      <c r="AJ3" s="502" t="s">
        <v>560</v>
      </c>
      <c r="AK3" s="520"/>
      <c r="AM3" s="507"/>
      <c r="AN3" s="522"/>
      <c r="AO3" s="6"/>
      <c r="AP3" s="520"/>
      <c r="AQ3" s="521"/>
      <c r="AR3" s="522"/>
      <c r="AS3" s="6"/>
      <c r="AT3" s="520"/>
    </row>
    <row r="4" spans="1:46" ht="36.65" customHeight="1" x14ac:dyDescent="0.35">
      <c r="A4" s="1477"/>
      <c r="B4" s="472">
        <v>2</v>
      </c>
      <c r="C4" s="493"/>
      <c r="D4" s="494"/>
      <c r="E4" s="494">
        <v>28</v>
      </c>
      <c r="F4" s="495"/>
      <c r="G4" s="566"/>
      <c r="H4" s="514"/>
      <c r="I4" s="515" t="s">
        <v>152</v>
      </c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>
        <v>25</v>
      </c>
      <c r="X4" s="508"/>
      <c r="Y4" s="469"/>
      <c r="Z4" s="6"/>
      <c r="AA4" s="579" t="s">
        <v>152</v>
      </c>
      <c r="AB4" s="603"/>
      <c r="AC4" s="66"/>
      <c r="AD4" s="470"/>
      <c r="AE4" s="6"/>
      <c r="AF4" s="6">
        <v>8</v>
      </c>
      <c r="AG4" s="508"/>
      <c r="AH4" s="509"/>
      <c r="AI4" s="6"/>
      <c r="AJ4" s="6" t="s">
        <v>336</v>
      </c>
      <c r="AK4" s="508"/>
      <c r="AM4" s="470"/>
      <c r="AN4" s="6"/>
      <c r="AO4" s="6"/>
      <c r="AP4" s="508"/>
      <c r="AQ4" s="509"/>
      <c r="AR4" s="6"/>
      <c r="AS4" s="6"/>
      <c r="AT4" s="508"/>
    </row>
    <row r="5" spans="1:46" ht="28.95" customHeight="1" x14ac:dyDescent="0.35">
      <c r="A5" s="1478">
        <v>44928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579"/>
      <c r="AB5" s="604"/>
      <c r="AC5" s="66"/>
      <c r="AD5" s="470"/>
      <c r="AE5" s="6"/>
      <c r="AF5" s="6">
        <v>30</v>
      </c>
      <c r="AG5" s="508"/>
      <c r="AH5" s="509"/>
      <c r="AI5" s="6"/>
      <c r="AJ5" s="6" t="s">
        <v>561</v>
      </c>
      <c r="AK5" s="508"/>
      <c r="AM5" s="470"/>
      <c r="AN5" s="6"/>
      <c r="AO5" s="6"/>
      <c r="AP5" s="508"/>
      <c r="AQ5" s="509"/>
      <c r="AR5" s="6"/>
      <c r="AS5" s="502"/>
      <c r="AT5" s="508"/>
    </row>
    <row r="6" spans="1:46" ht="52.2" customHeight="1" x14ac:dyDescent="0.35">
      <c r="A6" s="1477"/>
      <c r="B6" s="472">
        <v>2</v>
      </c>
      <c r="C6" s="493">
        <v>108</v>
      </c>
      <c r="D6" s="494"/>
      <c r="E6" s="494"/>
      <c r="F6" s="495"/>
      <c r="G6" s="565" t="s">
        <v>563</v>
      </c>
      <c r="H6" s="514"/>
      <c r="I6" s="515"/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/>
      <c r="X6" s="508"/>
      <c r="Y6" s="469"/>
      <c r="Z6" s="6"/>
      <c r="AA6" s="579"/>
      <c r="AB6" s="508"/>
      <c r="AC6" s="66"/>
      <c r="AD6" s="470">
        <v>327</v>
      </c>
      <c r="AE6" s="6"/>
      <c r="AF6" s="6">
        <v>10</v>
      </c>
      <c r="AG6" s="508"/>
      <c r="AH6" s="509" t="s">
        <v>45</v>
      </c>
      <c r="AI6" s="6"/>
      <c r="AJ6" s="515" t="s">
        <v>562</v>
      </c>
      <c r="AK6" s="508"/>
      <c r="AM6" s="470"/>
      <c r="AN6" s="6"/>
      <c r="AO6" s="6"/>
      <c r="AP6" s="508"/>
      <c r="AQ6" s="509"/>
      <c r="AR6" s="6"/>
      <c r="AS6" s="502"/>
      <c r="AT6" s="508"/>
    </row>
    <row r="7" spans="1:46" ht="33" customHeight="1" x14ac:dyDescent="0.35">
      <c r="A7" s="1478">
        <v>44929</v>
      </c>
      <c r="B7" s="472">
        <v>1</v>
      </c>
      <c r="C7" s="493"/>
      <c r="D7" s="494"/>
      <c r="E7" s="494">
        <v>30</v>
      </c>
      <c r="F7" s="495"/>
      <c r="G7" s="566"/>
      <c r="H7" s="515"/>
      <c r="I7" s="515" t="s">
        <v>152</v>
      </c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6"/>
      <c r="W7" s="6"/>
      <c r="X7" s="508"/>
      <c r="Y7" s="509"/>
      <c r="Z7" s="6"/>
      <c r="AA7" s="515"/>
      <c r="AB7" s="508"/>
      <c r="AC7" s="66"/>
      <c r="AD7" s="470"/>
      <c r="AE7" s="6"/>
      <c r="AF7" s="6">
        <v>10</v>
      </c>
      <c r="AG7" s="508"/>
      <c r="AH7" s="509"/>
      <c r="AI7" s="6"/>
      <c r="AJ7" s="515" t="s">
        <v>522</v>
      </c>
      <c r="AK7" s="508"/>
      <c r="AM7" s="470"/>
      <c r="AN7" s="6"/>
      <c r="AO7" s="6"/>
      <c r="AP7" s="508"/>
      <c r="AQ7" s="509"/>
      <c r="AR7" s="6"/>
      <c r="AS7" s="515"/>
      <c r="AT7" s="508"/>
    </row>
    <row r="8" spans="1:46" ht="55.2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515"/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/>
      <c r="X8" s="508"/>
      <c r="Y8" s="469"/>
      <c r="Z8" s="6"/>
      <c r="AA8" s="6"/>
      <c r="AB8" s="527"/>
      <c r="AC8" s="66"/>
      <c r="AD8" s="470"/>
      <c r="AE8" s="6">
        <v>68</v>
      </c>
      <c r="AF8" s="6"/>
      <c r="AG8" s="508"/>
      <c r="AH8" s="509"/>
      <c r="AI8" s="502" t="s">
        <v>564</v>
      </c>
      <c r="AJ8" s="502"/>
      <c r="AK8" s="527"/>
      <c r="AM8" s="470"/>
      <c r="AN8" s="6"/>
      <c r="AO8" s="6"/>
      <c r="AP8" s="508"/>
      <c r="AQ8" s="509"/>
      <c r="AR8" s="6"/>
      <c r="AS8" s="6"/>
      <c r="AT8" s="527"/>
    </row>
    <row r="9" spans="1:46" ht="36" customHeight="1" x14ac:dyDescent="0.35">
      <c r="A9" s="1478">
        <v>44930</v>
      </c>
      <c r="B9" s="472">
        <v>1</v>
      </c>
      <c r="C9" s="493"/>
      <c r="D9" s="494"/>
      <c r="E9" s="494"/>
      <c r="F9" s="495"/>
      <c r="G9" s="565"/>
      <c r="H9" s="514"/>
      <c r="I9" s="514"/>
      <c r="J9" s="527"/>
      <c r="K9" s="66"/>
      <c r="L9" s="470"/>
      <c r="M9" s="6">
        <v>207</v>
      </c>
      <c r="N9" s="6"/>
      <c r="O9" s="508"/>
      <c r="P9" s="469"/>
      <c r="Q9" s="515" t="s">
        <v>566</v>
      </c>
      <c r="R9" s="502"/>
      <c r="S9" s="527"/>
      <c r="T9" s="66"/>
      <c r="U9" s="470"/>
      <c r="V9" s="6"/>
      <c r="W9" s="6">
        <v>48</v>
      </c>
      <c r="X9" s="508"/>
      <c r="Y9" s="509"/>
      <c r="Z9" s="6"/>
      <c r="AA9" s="515" t="s">
        <v>565</v>
      </c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508"/>
      <c r="AQ9" s="509"/>
      <c r="AR9" s="6"/>
      <c r="AS9" s="6"/>
      <c r="AT9" s="527"/>
    </row>
    <row r="10" spans="1:46" ht="98.5" customHeight="1" x14ac:dyDescent="0.35">
      <c r="A10" s="1477"/>
      <c r="B10" s="472">
        <v>2</v>
      </c>
      <c r="C10" s="493"/>
      <c r="D10" s="494"/>
      <c r="E10" s="494">
        <v>17</v>
      </c>
      <c r="F10" s="495"/>
      <c r="G10" s="566"/>
      <c r="H10" s="514"/>
      <c r="I10" s="515" t="s">
        <v>567</v>
      </c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>
        <v>270</v>
      </c>
      <c r="V10" s="6">
        <v>114</v>
      </c>
      <c r="W10" s="6">
        <v>33</v>
      </c>
      <c r="X10" s="508"/>
      <c r="Y10" s="465" t="s">
        <v>568</v>
      </c>
      <c r="Z10" s="469" t="s">
        <v>569</v>
      </c>
      <c r="AA10" s="6" t="s">
        <v>521</v>
      </c>
      <c r="AB10" s="527"/>
      <c r="AC10" s="66"/>
      <c r="AD10" s="470"/>
      <c r="AE10" s="6"/>
      <c r="AF10" s="6">
        <v>33</v>
      </c>
      <c r="AG10" s="508"/>
      <c r="AH10" s="469"/>
      <c r="AI10" s="6"/>
      <c r="AJ10" s="6" t="s">
        <v>570</v>
      </c>
      <c r="AK10" s="527"/>
      <c r="AM10" s="470"/>
      <c r="AN10" s="6"/>
      <c r="AO10" s="6"/>
      <c r="AP10" s="508"/>
      <c r="AQ10" s="509"/>
      <c r="AR10" s="6"/>
      <c r="AS10" s="6"/>
      <c r="AT10" s="527"/>
    </row>
    <row r="11" spans="1:46" ht="30.75" customHeight="1" x14ac:dyDescent="0.35">
      <c r="A11" s="1478">
        <v>44931</v>
      </c>
      <c r="B11" s="472">
        <v>1</v>
      </c>
      <c r="C11" s="493"/>
      <c r="D11" s="494"/>
      <c r="E11" s="494"/>
      <c r="F11" s="495"/>
      <c r="G11" s="565"/>
      <c r="H11" s="514"/>
      <c r="I11" s="515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  <c r="AM11" s="470"/>
      <c r="AN11" s="6"/>
      <c r="AO11" s="6"/>
      <c r="AP11" s="508"/>
      <c r="AQ11" s="509"/>
      <c r="AR11" s="6"/>
      <c r="AS11" s="6"/>
      <c r="AT11" s="508"/>
    </row>
    <row r="12" spans="1:46" ht="36.65" customHeight="1" x14ac:dyDescent="0.35">
      <c r="A12" s="1477"/>
      <c r="B12" s="472">
        <v>2</v>
      </c>
      <c r="C12" s="493"/>
      <c r="D12" s="494"/>
      <c r="E12" s="494"/>
      <c r="F12" s="495"/>
      <c r="G12" s="566"/>
      <c r="H12" s="514"/>
      <c r="I12" s="515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509"/>
      <c r="Z12" s="6"/>
      <c r="AA12" s="602"/>
      <c r="AB12" s="527"/>
      <c r="AC12" s="66"/>
      <c r="AD12" s="470"/>
      <c r="AE12" s="6"/>
      <c r="AF12" s="6"/>
      <c r="AG12" s="508"/>
      <c r="AH12" s="509"/>
      <c r="AI12" s="6"/>
      <c r="AJ12" s="6"/>
      <c r="AK12" s="527"/>
      <c r="AM12" s="470"/>
      <c r="AN12" s="6"/>
      <c r="AO12" s="6"/>
      <c r="AP12" s="508"/>
      <c r="AQ12" s="509"/>
      <c r="AR12" s="6"/>
      <c r="AS12" s="6"/>
      <c r="AT12" s="527"/>
    </row>
    <row r="13" spans="1:46" ht="34.950000000000003" customHeight="1" x14ac:dyDescent="0.35">
      <c r="A13" s="1478">
        <v>44932</v>
      </c>
      <c r="B13" s="472">
        <v>1</v>
      </c>
      <c r="C13" s="493"/>
      <c r="D13" s="494"/>
      <c r="E13" s="494"/>
      <c r="F13" s="495"/>
      <c r="G13" s="566"/>
      <c r="H13" s="514"/>
      <c r="I13" s="515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/>
      <c r="X13" s="495"/>
      <c r="Y13" s="469"/>
      <c r="Z13" s="502"/>
      <c r="AA13" s="6"/>
      <c r="AB13" s="527"/>
      <c r="AC13" s="66"/>
      <c r="AD13" s="470"/>
      <c r="AE13" s="6"/>
      <c r="AF13" s="6"/>
      <c r="AG13" s="495"/>
      <c r="AH13" s="509"/>
      <c r="AI13" s="6"/>
      <c r="AJ13" s="6"/>
      <c r="AK13" s="527"/>
      <c r="AM13" s="470"/>
      <c r="AN13" s="6"/>
      <c r="AO13" s="6"/>
      <c r="AP13" s="495"/>
      <c r="AQ13" s="509"/>
      <c r="AR13" s="6"/>
      <c r="AS13" s="6"/>
      <c r="AT13" s="527"/>
    </row>
    <row r="14" spans="1:46" ht="27.65" customHeight="1" x14ac:dyDescent="0.35">
      <c r="A14" s="1477"/>
      <c r="B14" s="472">
        <v>2</v>
      </c>
      <c r="C14" s="493"/>
      <c r="D14" s="494"/>
      <c r="E14" s="494"/>
      <c r="F14" s="495"/>
      <c r="G14" s="566"/>
      <c r="H14" s="515"/>
      <c r="I14" s="515"/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02"/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/>
      <c r="AN14" s="6"/>
      <c r="AO14" s="6"/>
      <c r="AP14" s="495"/>
      <c r="AQ14" s="469"/>
      <c r="AR14" s="6"/>
      <c r="AS14" s="6"/>
      <c r="AT14" s="527"/>
    </row>
    <row r="15" spans="1:46" ht="48" customHeight="1" x14ac:dyDescent="0.35">
      <c r="A15" s="1478">
        <v>44933</v>
      </c>
      <c r="B15" s="472">
        <v>1</v>
      </c>
      <c r="C15" s="493"/>
      <c r="D15" s="494"/>
      <c r="E15" s="6">
        <v>270</v>
      </c>
      <c r="F15" s="495"/>
      <c r="G15" s="566"/>
      <c r="H15" s="515"/>
      <c r="I15" s="515" t="s">
        <v>572</v>
      </c>
      <c r="J15" s="527"/>
      <c r="K15" s="66"/>
      <c r="L15" s="470"/>
      <c r="M15" s="6">
        <v>200</v>
      </c>
      <c r="N15" s="6"/>
      <c r="O15" s="495"/>
      <c r="P15" s="470"/>
      <c r="Q15" s="515" t="s">
        <v>571</v>
      </c>
      <c r="R15" s="6"/>
      <c r="S15" s="527"/>
      <c r="T15" s="66"/>
      <c r="U15" s="470"/>
      <c r="V15" s="6"/>
      <c r="W15" s="6"/>
      <c r="X15" s="495"/>
      <c r="Y15" s="470"/>
      <c r="Z15" s="515"/>
      <c r="AA15" s="609"/>
      <c r="AB15" s="527"/>
      <c r="AC15" s="66"/>
      <c r="AD15" s="470"/>
      <c r="AE15" s="6"/>
      <c r="AF15" s="66"/>
      <c r="AG15" s="495"/>
      <c r="AI15" s="573"/>
      <c r="AJ15" s="6"/>
      <c r="AK15" s="527"/>
      <c r="AM15" s="470"/>
      <c r="AN15" s="6"/>
      <c r="AO15" s="66"/>
      <c r="AP15" s="495"/>
      <c r="AR15" s="573"/>
      <c r="AS15" s="6"/>
      <c r="AT15" s="527"/>
    </row>
    <row r="16" spans="1:46" ht="31.95" customHeight="1" x14ac:dyDescent="0.35">
      <c r="A16" s="1477"/>
      <c r="B16" s="472">
        <v>2</v>
      </c>
      <c r="C16" s="493"/>
      <c r="D16" s="494"/>
      <c r="E16" s="494"/>
      <c r="F16" s="495"/>
      <c r="G16" s="565"/>
      <c r="H16" s="638"/>
      <c r="I16" s="515"/>
      <c r="J16" s="527"/>
      <c r="K16" s="66"/>
      <c r="L16" s="470"/>
      <c r="M16" s="6"/>
      <c r="N16" s="6"/>
      <c r="O16" s="495"/>
      <c r="P16" s="470"/>
      <c r="Q16" s="6"/>
      <c r="R16" s="6"/>
      <c r="S16" s="527"/>
      <c r="T16" s="66"/>
      <c r="U16" s="470"/>
      <c r="V16" s="6"/>
      <c r="W16" s="6"/>
      <c r="X16" s="495"/>
      <c r="Y16" s="514"/>
      <c r="Z16" s="514"/>
      <c r="AA16" s="6"/>
      <c r="AB16" s="527"/>
      <c r="AC16" s="66"/>
      <c r="AD16" s="470">
        <v>683</v>
      </c>
      <c r="AE16" s="6"/>
      <c r="AF16" s="6"/>
      <c r="AG16" s="495"/>
      <c r="AH16" s="470" t="s">
        <v>45</v>
      </c>
      <c r="AI16" s="6"/>
      <c r="AJ16" s="6"/>
      <c r="AK16" s="527"/>
      <c r="AM16" s="470"/>
      <c r="AN16" s="6"/>
      <c r="AO16" s="6"/>
      <c r="AP16" s="495"/>
      <c r="AQ16" s="470"/>
      <c r="AR16" s="6"/>
      <c r="AS16" s="6"/>
      <c r="AT16" s="527"/>
    </row>
    <row r="17" spans="1:46" ht="39" customHeight="1" x14ac:dyDescent="0.35">
      <c r="A17" s="1478">
        <v>44934</v>
      </c>
      <c r="B17" s="534">
        <v>1</v>
      </c>
      <c r="C17" s="493"/>
      <c r="D17" s="494"/>
      <c r="E17" s="494"/>
      <c r="F17" s="495"/>
      <c r="G17" s="566"/>
      <c r="H17" s="514"/>
      <c r="I17" s="515"/>
      <c r="J17" s="527"/>
      <c r="K17" s="66"/>
      <c r="L17" s="470"/>
      <c r="M17" s="6"/>
      <c r="N17" s="6"/>
      <c r="O17" s="495"/>
      <c r="P17" s="470"/>
      <c r="Q17" s="6"/>
      <c r="R17" s="6"/>
      <c r="S17" s="527"/>
      <c r="T17" s="66"/>
      <c r="U17" s="470"/>
      <c r="V17" s="6"/>
      <c r="W17" s="6"/>
      <c r="X17" s="495"/>
      <c r="Y17" s="514"/>
      <c r="Z17" s="514"/>
      <c r="AA17" s="6"/>
      <c r="AB17" s="527"/>
      <c r="AC17" s="66"/>
      <c r="AD17" s="470">
        <v>720</v>
      </c>
      <c r="AE17" s="6"/>
      <c r="AF17" s="6"/>
      <c r="AG17" s="495"/>
      <c r="AH17" s="470" t="s">
        <v>45</v>
      </c>
      <c r="AI17" s="6"/>
      <c r="AJ17" s="502"/>
      <c r="AK17" s="527"/>
      <c r="AM17" s="470"/>
      <c r="AN17" s="6"/>
      <c r="AO17" s="6"/>
      <c r="AP17" s="495"/>
      <c r="AQ17" s="470"/>
      <c r="AR17" s="6"/>
      <c r="AS17" s="502"/>
      <c r="AT17" s="527"/>
    </row>
    <row r="18" spans="1:46" ht="54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515"/>
      <c r="I18" s="514"/>
      <c r="J18" s="527"/>
      <c r="K18" s="66"/>
      <c r="L18" s="470"/>
      <c r="M18" s="6"/>
      <c r="N18" s="6"/>
      <c r="O18" s="495"/>
      <c r="P18" s="470"/>
      <c r="Q18" s="6"/>
      <c r="R18" s="6"/>
      <c r="S18" s="527"/>
      <c r="T18" s="66"/>
      <c r="U18" s="470"/>
      <c r="V18" s="6"/>
      <c r="W18" s="6"/>
      <c r="X18" s="495"/>
      <c r="Y18" s="465"/>
      <c r="Z18" s="6"/>
      <c r="AA18" s="502"/>
      <c r="AB18" s="527"/>
      <c r="AC18" s="66"/>
      <c r="AD18" s="470">
        <v>420</v>
      </c>
      <c r="AE18" s="6"/>
      <c r="AF18" s="6"/>
      <c r="AG18" s="495"/>
      <c r="AH18" s="470" t="s">
        <v>45</v>
      </c>
      <c r="AI18" s="6"/>
      <c r="AJ18" s="502"/>
      <c r="AK18" s="527"/>
      <c r="AM18" s="470"/>
      <c r="AN18" s="6"/>
      <c r="AO18" s="6"/>
      <c r="AP18" s="495"/>
      <c r="AQ18" s="470"/>
      <c r="AR18" s="6"/>
      <c r="AS18" s="502"/>
      <c r="AT18" s="527"/>
    </row>
    <row r="19" spans="1:46" ht="33.65" customHeight="1" x14ac:dyDescent="0.35">
      <c r="A19" s="1478">
        <v>44935</v>
      </c>
      <c r="B19" s="472">
        <v>1</v>
      </c>
      <c r="C19" s="66"/>
      <c r="D19" s="494"/>
      <c r="E19" s="494"/>
      <c r="F19" s="495">
        <v>720</v>
      </c>
      <c r="G19" s="470"/>
      <c r="H19" s="6"/>
      <c r="I19" s="6"/>
      <c r="J19" s="527" t="s">
        <v>573</v>
      </c>
      <c r="K19" s="66"/>
      <c r="L19" s="470"/>
      <c r="M19" s="6"/>
      <c r="N19" s="6"/>
      <c r="O19" s="495">
        <v>720</v>
      </c>
      <c r="P19" s="470"/>
      <c r="Q19" s="6"/>
      <c r="R19" s="6"/>
      <c r="S19" s="527" t="s">
        <v>573</v>
      </c>
      <c r="T19" s="66"/>
      <c r="U19" s="470"/>
      <c r="V19" s="6"/>
      <c r="W19" s="6"/>
      <c r="X19" s="495">
        <v>720</v>
      </c>
      <c r="Y19" s="470"/>
      <c r="Z19" s="502"/>
      <c r="AA19" s="502"/>
      <c r="AB19" s="527" t="s">
        <v>573</v>
      </c>
      <c r="AC19" s="66"/>
      <c r="AD19" s="470"/>
      <c r="AE19" s="6"/>
      <c r="AF19" s="6"/>
      <c r="AG19" s="495">
        <v>720</v>
      </c>
      <c r="AH19" s="470"/>
      <c r="AI19" s="6"/>
      <c r="AJ19" s="6"/>
      <c r="AK19" s="527" t="s">
        <v>573</v>
      </c>
      <c r="AM19" s="470"/>
      <c r="AN19" s="6"/>
      <c r="AO19" s="6"/>
      <c r="AP19" s="495">
        <v>720</v>
      </c>
      <c r="AQ19" s="470"/>
      <c r="AR19" s="6"/>
      <c r="AS19" s="6"/>
      <c r="AT19" s="527" t="s">
        <v>573</v>
      </c>
    </row>
    <row r="20" spans="1:46" ht="31.2" customHeight="1" x14ac:dyDescent="0.35">
      <c r="A20" s="1477"/>
      <c r="B20" s="472">
        <v>2</v>
      </c>
      <c r="C20" s="493"/>
      <c r="D20" s="494"/>
      <c r="E20" s="494"/>
      <c r="F20" s="495">
        <v>279</v>
      </c>
      <c r="G20" s="470"/>
      <c r="H20" s="502"/>
      <c r="I20" s="605"/>
      <c r="J20" s="527" t="s">
        <v>573</v>
      </c>
      <c r="K20" s="66"/>
      <c r="L20" s="470"/>
      <c r="M20" s="6"/>
      <c r="N20" s="6"/>
      <c r="O20" s="495">
        <v>279</v>
      </c>
      <c r="P20" s="470"/>
      <c r="Q20" s="502"/>
      <c r="R20" s="605"/>
      <c r="S20" s="527" t="s">
        <v>573</v>
      </c>
      <c r="T20" s="66"/>
      <c r="U20" s="470"/>
      <c r="V20" s="214"/>
      <c r="W20" s="6"/>
      <c r="X20" s="495">
        <v>279</v>
      </c>
      <c r="Y20" s="470"/>
      <c r="Z20" s="502"/>
      <c r="AA20" s="605"/>
      <c r="AB20" s="527" t="s">
        <v>573</v>
      </c>
      <c r="AC20" s="66"/>
      <c r="AD20" s="470"/>
      <c r="AE20" s="6"/>
      <c r="AF20" s="6"/>
      <c r="AG20" s="495">
        <v>279</v>
      </c>
      <c r="AH20" s="470"/>
      <c r="AI20" s="502"/>
      <c r="AJ20" s="605"/>
      <c r="AK20" s="527" t="s">
        <v>573</v>
      </c>
      <c r="AM20" s="470"/>
      <c r="AN20" s="6"/>
      <c r="AO20" s="6"/>
      <c r="AP20" s="495">
        <v>279</v>
      </c>
      <c r="AQ20" s="470"/>
      <c r="AR20" s="502"/>
      <c r="AS20" s="605"/>
      <c r="AT20" s="527" t="s">
        <v>573</v>
      </c>
    </row>
    <row r="21" spans="1:46" ht="39.65" customHeight="1" x14ac:dyDescent="0.35">
      <c r="A21" s="1478">
        <v>44936</v>
      </c>
      <c r="B21" s="472">
        <v>1</v>
      </c>
      <c r="C21" s="493"/>
      <c r="D21" s="494"/>
      <c r="E21" s="494"/>
      <c r="F21" s="495"/>
      <c r="G21" s="569"/>
      <c r="H21" s="514"/>
      <c r="I21" s="515"/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70"/>
      <c r="Z21" s="6"/>
      <c r="AA21" s="502"/>
      <c r="AB21" s="527"/>
      <c r="AC21" s="66"/>
      <c r="AD21" s="470"/>
      <c r="AE21" s="6"/>
      <c r="AF21" s="6"/>
      <c r="AG21" s="495"/>
      <c r="AH21" s="470"/>
      <c r="AI21" s="6"/>
      <c r="AJ21" s="6"/>
      <c r="AK21" s="607"/>
      <c r="AM21" s="470"/>
      <c r="AN21" s="6"/>
      <c r="AO21" s="6"/>
      <c r="AP21" s="495"/>
      <c r="AQ21" s="470"/>
      <c r="AR21" s="502"/>
      <c r="AS21" s="47"/>
      <c r="AT21" s="527"/>
    </row>
    <row r="22" spans="1:46" ht="31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515"/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/>
      <c r="X22" s="495"/>
      <c r="Y22" s="470"/>
      <c r="Z22" s="6"/>
      <c r="AA22" s="502"/>
      <c r="AB22" s="527"/>
      <c r="AC22" s="66"/>
      <c r="AD22" s="470"/>
      <c r="AE22" s="6"/>
      <c r="AF22" s="6"/>
      <c r="AG22" s="495"/>
      <c r="AH22" s="465"/>
      <c r="AI22" s="6"/>
      <c r="AJ22" s="6"/>
      <c r="AK22" s="607"/>
      <c r="AM22" s="470"/>
      <c r="AN22" s="6"/>
      <c r="AO22" s="6"/>
      <c r="AP22" s="495"/>
      <c r="AQ22" s="470"/>
      <c r="AR22" s="502"/>
      <c r="AS22" s="47"/>
      <c r="AT22" s="527"/>
    </row>
    <row r="23" spans="1:46" ht="37.950000000000003" customHeight="1" x14ac:dyDescent="0.35">
      <c r="A23" s="1478">
        <v>44937</v>
      </c>
      <c r="B23" s="534">
        <v>1</v>
      </c>
      <c r="C23" s="493"/>
      <c r="D23" s="494"/>
      <c r="E23" s="494"/>
      <c r="F23" s="495"/>
      <c r="G23" s="566"/>
      <c r="H23" s="514"/>
      <c r="I23" s="515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565"/>
      <c r="Z23" s="514"/>
      <c r="AA23" s="515"/>
      <c r="AB23" s="527"/>
      <c r="AC23" s="66"/>
      <c r="AD23" s="470"/>
      <c r="AE23" s="6"/>
      <c r="AF23" s="6"/>
      <c r="AG23" s="495"/>
      <c r="AH23" s="6"/>
      <c r="AI23" s="514"/>
      <c r="AJ23" s="515"/>
      <c r="AK23" s="607"/>
      <c r="AM23" s="470"/>
      <c r="AN23" s="6"/>
      <c r="AO23" s="6"/>
      <c r="AP23" s="495"/>
      <c r="AQ23" s="6"/>
      <c r="AR23" s="514"/>
      <c r="AS23" s="573"/>
      <c r="AT23" s="527"/>
    </row>
    <row r="24" spans="1:46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4"/>
      <c r="I24" s="515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/>
      <c r="X24" s="495"/>
      <c r="Y24" s="566"/>
      <c r="Z24" s="514"/>
      <c r="AA24" s="515"/>
      <c r="AB24" s="527"/>
      <c r="AC24" s="66"/>
      <c r="AD24" s="470"/>
      <c r="AE24" s="6"/>
      <c r="AF24" s="6"/>
      <c r="AG24" s="495"/>
      <c r="AH24" s="6"/>
      <c r="AI24" s="514"/>
      <c r="AJ24" s="6"/>
      <c r="AK24" s="607"/>
      <c r="AM24" s="470"/>
      <c r="AN24" s="6"/>
      <c r="AO24" s="6"/>
      <c r="AP24" s="495"/>
      <c r="AQ24" s="6"/>
      <c r="AR24" s="514"/>
      <c r="AS24" s="636"/>
      <c r="AT24" s="527"/>
    </row>
    <row r="25" spans="1:46" ht="46.2" customHeight="1" x14ac:dyDescent="0.35">
      <c r="A25" s="1478">
        <v>44938</v>
      </c>
      <c r="B25" s="472">
        <v>1</v>
      </c>
      <c r="C25" s="493"/>
      <c r="D25" s="494"/>
      <c r="E25" s="494"/>
      <c r="F25" s="495"/>
      <c r="G25" s="566"/>
      <c r="H25" s="514"/>
      <c r="I25" s="515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70"/>
      <c r="Z25" s="502"/>
      <c r="AA25" s="502"/>
      <c r="AB25" s="527"/>
      <c r="AC25" s="66"/>
      <c r="AD25" s="470"/>
      <c r="AE25" s="6"/>
      <c r="AF25" s="6"/>
      <c r="AG25" s="495"/>
      <c r="AH25" s="6"/>
      <c r="AI25" s="6"/>
      <c r="AJ25" s="6"/>
      <c r="AK25" s="607"/>
      <c r="AM25" s="470"/>
      <c r="AN25" s="6"/>
      <c r="AO25" s="6"/>
      <c r="AP25" s="495"/>
      <c r="AQ25" s="6"/>
      <c r="AR25" s="6"/>
      <c r="AS25" s="47"/>
      <c r="AT25" s="527"/>
    </row>
    <row r="26" spans="1:46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573"/>
      <c r="J26" s="527"/>
      <c r="K26" s="66"/>
      <c r="L26" s="470"/>
      <c r="M26" s="6"/>
      <c r="N26" s="6"/>
      <c r="O26" s="495"/>
      <c r="P26" s="566"/>
      <c r="Q26" s="515"/>
      <c r="R26" s="515"/>
      <c r="S26" s="527"/>
      <c r="T26" s="66"/>
      <c r="U26" s="470"/>
      <c r="V26" s="494"/>
      <c r="W26" s="6"/>
      <c r="X26" s="495"/>
      <c r="Y26" s="566"/>
      <c r="Z26" s="515"/>
      <c r="AA26" s="515"/>
      <c r="AB26" s="527"/>
      <c r="AC26" s="66"/>
      <c r="AD26" s="470"/>
      <c r="AE26" s="494"/>
      <c r="AF26" s="6"/>
      <c r="AG26" s="495"/>
      <c r="AH26" s="6"/>
      <c r="AI26" s="6"/>
      <c r="AJ26" s="6"/>
      <c r="AK26" s="607"/>
      <c r="AM26" s="470"/>
      <c r="AN26" s="494"/>
      <c r="AO26" s="6"/>
      <c r="AP26" s="495"/>
      <c r="AQ26" s="6"/>
      <c r="AR26" s="6"/>
      <c r="AS26" s="47"/>
      <c r="AT26" s="527"/>
    </row>
    <row r="27" spans="1:46" ht="49.95" customHeight="1" x14ac:dyDescent="0.35">
      <c r="A27" s="1478">
        <v>44939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/>
      <c r="X27" s="508"/>
      <c r="Y27" s="566"/>
      <c r="Z27" s="514"/>
      <c r="AA27" s="515"/>
      <c r="AB27" s="527"/>
      <c r="AC27" s="66"/>
      <c r="AD27" s="470"/>
      <c r="AE27" s="6"/>
      <c r="AF27" s="6"/>
      <c r="AG27" s="508"/>
      <c r="AH27" s="6"/>
      <c r="AI27" s="6"/>
      <c r="AJ27" s="515"/>
      <c r="AK27" s="607"/>
      <c r="AM27" s="470"/>
      <c r="AN27" s="6"/>
      <c r="AO27" s="6"/>
      <c r="AP27" s="508"/>
      <c r="AQ27" s="6"/>
      <c r="AR27" s="6"/>
      <c r="AS27" s="573"/>
      <c r="AT27" s="527"/>
    </row>
    <row r="28" spans="1:46" ht="49.2" customHeight="1" x14ac:dyDescent="0.35">
      <c r="A28" s="1477"/>
      <c r="B28" s="472">
        <v>2</v>
      </c>
      <c r="C28" s="493"/>
      <c r="D28" s="494"/>
      <c r="E28" s="494"/>
      <c r="F28" s="495"/>
      <c r="G28" s="515"/>
      <c r="H28" s="515"/>
      <c r="I28" s="573"/>
      <c r="J28" s="527"/>
      <c r="K28" s="66"/>
      <c r="L28" s="470"/>
      <c r="M28" s="6"/>
      <c r="N28" s="6"/>
      <c r="O28" s="495"/>
      <c r="P28" s="515"/>
      <c r="Q28" s="515"/>
      <c r="R28" s="515"/>
      <c r="S28" s="526"/>
      <c r="T28" s="66"/>
      <c r="U28" s="470"/>
      <c r="V28" s="6"/>
      <c r="W28" s="66"/>
      <c r="X28" s="495"/>
      <c r="Y28" s="515"/>
      <c r="Z28" s="6"/>
      <c r="AA28" s="573"/>
      <c r="AB28" s="527"/>
      <c r="AC28" s="66"/>
      <c r="AD28" s="470"/>
      <c r="AE28" s="6"/>
      <c r="AF28" s="6"/>
      <c r="AG28" s="495"/>
      <c r="AH28" s="502"/>
      <c r="AI28" s="6"/>
      <c r="AJ28" s="573"/>
      <c r="AK28" s="526"/>
      <c r="AM28" s="470"/>
      <c r="AN28" s="6"/>
      <c r="AO28" s="6"/>
      <c r="AP28" s="495"/>
      <c r="AQ28" s="502"/>
      <c r="AR28" s="6"/>
      <c r="AS28" s="573"/>
      <c r="AT28" s="526"/>
    </row>
    <row r="29" spans="1:46" ht="45" customHeight="1" x14ac:dyDescent="0.35">
      <c r="A29" s="1478">
        <v>44940</v>
      </c>
      <c r="B29" s="472">
        <v>1</v>
      </c>
      <c r="C29" s="493"/>
      <c r="D29" s="494"/>
      <c r="E29" s="494"/>
      <c r="F29" s="495"/>
      <c r="G29" s="565"/>
      <c r="H29" s="514"/>
      <c r="I29" s="573"/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/>
      <c r="X29" s="495"/>
      <c r="Y29" s="566"/>
      <c r="Z29" s="514"/>
      <c r="AA29" s="573"/>
      <c r="AB29" s="527"/>
      <c r="AC29" s="66"/>
      <c r="AD29" s="470"/>
      <c r="AE29" s="6"/>
      <c r="AF29" s="6"/>
      <c r="AG29" s="495"/>
      <c r="AH29" s="566"/>
      <c r="AI29" s="515"/>
      <c r="AJ29" s="515"/>
      <c r="AK29" s="508"/>
      <c r="AM29" s="470"/>
      <c r="AN29" s="6"/>
      <c r="AO29" s="6"/>
      <c r="AP29" s="495"/>
      <c r="AQ29" s="566"/>
      <c r="AR29" s="514"/>
      <c r="AS29" s="515"/>
      <c r="AT29" s="508"/>
    </row>
    <row r="30" spans="1:46" ht="30.6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4"/>
      <c r="I30" s="515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/>
      <c r="X30" s="495"/>
      <c r="Y30" s="566"/>
      <c r="Z30" s="514"/>
      <c r="AA30" s="515"/>
      <c r="AB30" s="508"/>
      <c r="AC30" s="66"/>
      <c r="AD30" s="470"/>
      <c r="AE30" s="6"/>
      <c r="AF30" s="6"/>
      <c r="AG30" s="495"/>
      <c r="AH30" s="566"/>
      <c r="AI30" s="514"/>
      <c r="AJ30" s="515"/>
      <c r="AK30" s="508"/>
      <c r="AM30" s="470"/>
      <c r="AN30" s="6"/>
      <c r="AO30" s="6"/>
      <c r="AP30" s="495"/>
      <c r="AQ30" s="566"/>
      <c r="AR30" s="514"/>
      <c r="AS30" s="515"/>
      <c r="AT30" s="508"/>
    </row>
    <row r="31" spans="1:46" ht="39.65" customHeight="1" x14ac:dyDescent="0.35">
      <c r="A31" s="1478">
        <v>44941</v>
      </c>
      <c r="B31" s="472">
        <v>1</v>
      </c>
      <c r="C31" s="493"/>
      <c r="D31" s="494"/>
      <c r="E31" s="494"/>
      <c r="F31" s="495"/>
      <c r="G31" s="566"/>
      <c r="H31" s="514"/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469"/>
      <c r="Z31" s="6"/>
      <c r="AA31" s="6"/>
      <c r="AB31" s="527"/>
      <c r="AC31" s="66"/>
      <c r="AD31" s="470"/>
      <c r="AE31" s="6"/>
      <c r="AF31" s="6"/>
      <c r="AG31" s="495"/>
      <c r="AH31" s="509"/>
      <c r="AI31" s="6"/>
      <c r="AJ31" s="6"/>
      <c r="AK31" s="527"/>
      <c r="AM31" s="470"/>
      <c r="AN31" s="6"/>
      <c r="AO31" s="6"/>
      <c r="AP31" s="495"/>
      <c r="AQ31" s="509"/>
      <c r="AR31" s="6"/>
      <c r="AS31" s="6"/>
      <c r="AT31" s="527"/>
    </row>
    <row r="32" spans="1:46" ht="28.2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14"/>
      <c r="I32" s="573"/>
      <c r="J32" s="568"/>
      <c r="K32" s="66"/>
      <c r="L32" s="470"/>
      <c r="M32" s="6"/>
      <c r="N32" s="6"/>
      <c r="O32" s="508"/>
      <c r="P32" s="509"/>
      <c r="Q32" s="6"/>
      <c r="R32" s="6"/>
      <c r="S32" s="627"/>
      <c r="T32" s="66"/>
      <c r="U32" s="470"/>
      <c r="V32" s="6"/>
      <c r="W32" s="6"/>
      <c r="X32" s="508"/>
      <c r="Y32" s="509"/>
      <c r="Z32" s="502"/>
      <c r="AA32" s="573"/>
      <c r="AB32" s="527"/>
      <c r="AC32" s="66"/>
      <c r="AD32" s="470"/>
      <c r="AE32" s="6"/>
      <c r="AF32" s="6"/>
      <c r="AG32" s="508"/>
      <c r="AH32" s="509"/>
      <c r="AI32" s="502"/>
      <c r="AJ32" s="6"/>
      <c r="AK32" s="508"/>
      <c r="AM32" s="470"/>
      <c r="AN32" s="6"/>
      <c r="AO32" s="6"/>
      <c r="AP32" s="508"/>
      <c r="AQ32" s="509"/>
      <c r="AR32" s="502"/>
      <c r="AS32" s="6"/>
      <c r="AT32" s="508"/>
    </row>
    <row r="33" spans="1:46" ht="43.2" customHeight="1" x14ac:dyDescent="0.35">
      <c r="A33" s="1478">
        <v>44942</v>
      </c>
      <c r="B33" s="472">
        <v>1</v>
      </c>
      <c r="C33" s="493"/>
      <c r="D33" s="494"/>
      <c r="E33" s="494"/>
      <c r="F33" s="495"/>
      <c r="G33" s="566"/>
      <c r="H33" s="514"/>
      <c r="I33" s="573"/>
      <c r="J33" s="568"/>
      <c r="K33" s="66"/>
      <c r="L33" s="470"/>
      <c r="M33" s="6"/>
      <c r="N33" s="6"/>
      <c r="O33" s="508"/>
      <c r="P33" s="509"/>
      <c r="Q33" s="6"/>
      <c r="R33" s="6"/>
      <c r="S33" s="508"/>
      <c r="T33" s="66"/>
      <c r="U33" s="470"/>
      <c r="V33" s="6"/>
      <c r="W33" s="6"/>
      <c r="X33" s="508"/>
      <c r="Y33" s="509"/>
      <c r="Z33" s="6"/>
      <c r="AA33" s="502"/>
      <c r="AB33" s="508"/>
      <c r="AC33" s="66"/>
      <c r="AD33" s="470"/>
      <c r="AE33" s="6"/>
      <c r="AF33" s="6"/>
      <c r="AG33" s="508"/>
      <c r="AH33" s="509"/>
      <c r="AI33" s="502"/>
      <c r="AJ33" s="6"/>
      <c r="AK33" s="508"/>
      <c r="AM33" s="470"/>
      <c r="AN33" s="6"/>
      <c r="AO33" s="6"/>
      <c r="AP33" s="508"/>
      <c r="AQ33" s="509"/>
      <c r="AR33" s="502"/>
      <c r="AS33" s="6"/>
      <c r="AT33" s="508"/>
    </row>
    <row r="34" spans="1:46" ht="37.200000000000003" customHeight="1" x14ac:dyDescent="0.35">
      <c r="A34" s="1477"/>
      <c r="B34" s="534">
        <v>2</v>
      </c>
      <c r="C34" s="494"/>
      <c r="D34" s="494"/>
      <c r="E34" s="494"/>
      <c r="F34" s="637"/>
      <c r="G34" s="566"/>
      <c r="H34" s="515"/>
      <c r="I34" s="515"/>
      <c r="J34" s="568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/>
      <c r="X34" s="508"/>
      <c r="Y34" s="6"/>
      <c r="Z34" s="502"/>
      <c r="AA34" s="515"/>
      <c r="AB34" s="527"/>
      <c r="AC34" s="66"/>
      <c r="AD34" s="470"/>
      <c r="AE34" s="6"/>
      <c r="AF34" s="6"/>
      <c r="AG34" s="508"/>
      <c r="AH34" s="509"/>
      <c r="AI34" s="6"/>
      <c r="AJ34" s="6"/>
      <c r="AK34" s="508"/>
      <c r="AM34" s="470"/>
      <c r="AN34" s="6"/>
      <c r="AO34" s="6"/>
      <c r="AP34" s="508"/>
      <c r="AQ34" s="509"/>
      <c r="AR34" s="6"/>
      <c r="AS34" s="6"/>
      <c r="AT34" s="508"/>
    </row>
    <row r="35" spans="1:46" ht="37.950000000000003" customHeight="1" x14ac:dyDescent="0.35">
      <c r="A35" s="1478">
        <v>44943</v>
      </c>
      <c r="B35" s="472">
        <v>1</v>
      </c>
      <c r="C35" s="494"/>
      <c r="D35" s="494"/>
      <c r="E35" s="47"/>
      <c r="F35" s="636"/>
      <c r="G35" s="465"/>
      <c r="H35" s="509"/>
      <c r="I35" s="502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/>
      <c r="X35" s="526"/>
      <c r="Y35" s="465"/>
      <c r="Z35" s="6"/>
      <c r="AA35" s="502"/>
      <c r="AB35" s="508"/>
      <c r="AC35" s="66"/>
      <c r="AD35" s="470"/>
      <c r="AE35" s="6"/>
      <c r="AF35" s="6"/>
      <c r="AG35" s="469"/>
      <c r="AH35" s="465"/>
      <c r="AI35" s="6"/>
      <c r="AJ35" s="502"/>
      <c r="AK35" s="508"/>
      <c r="AM35" s="470"/>
      <c r="AN35" s="6"/>
      <c r="AO35" s="47"/>
      <c r="AP35" s="526"/>
      <c r="AQ35" s="465"/>
      <c r="AR35" s="6"/>
      <c r="AS35" s="502"/>
      <c r="AT35" s="508"/>
    </row>
    <row r="36" spans="1:46" ht="41.5" customHeight="1" x14ac:dyDescent="0.35">
      <c r="A36" s="1477"/>
      <c r="B36" s="472">
        <v>2</v>
      </c>
      <c r="C36" s="6"/>
      <c r="D36" s="6"/>
      <c r="E36" s="47"/>
      <c r="F36" s="636"/>
      <c r="G36" s="465"/>
      <c r="H36" s="469"/>
      <c r="I36" s="502"/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/>
      <c r="W36" s="6"/>
      <c r="X36" s="469"/>
      <c r="Y36" s="465"/>
      <c r="Z36" s="502"/>
      <c r="AA36" s="502"/>
      <c r="AB36" s="508"/>
      <c r="AC36" s="66"/>
      <c r="AD36" s="470"/>
      <c r="AE36" s="6"/>
      <c r="AF36" s="47"/>
      <c r="AG36" s="526"/>
      <c r="AH36" s="465"/>
      <c r="AI36" s="502"/>
      <c r="AJ36" s="502"/>
      <c r="AK36" s="508"/>
      <c r="AM36" s="470"/>
      <c r="AN36" s="6"/>
      <c r="AO36" s="6"/>
      <c r="AP36" s="469"/>
      <c r="AQ36" s="465"/>
      <c r="AR36" s="502"/>
      <c r="AS36" s="502"/>
      <c r="AT36" s="508"/>
    </row>
    <row r="37" spans="1:46" ht="38.5" customHeight="1" x14ac:dyDescent="0.35">
      <c r="A37" s="1478">
        <v>44944</v>
      </c>
      <c r="B37" s="534">
        <v>1</v>
      </c>
      <c r="C37" s="494"/>
      <c r="D37" s="494"/>
      <c r="E37" s="6"/>
      <c r="F37" s="47"/>
      <c r="G37" s="635"/>
      <c r="H37" s="469"/>
      <c r="I37" s="502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/>
      <c r="X37" s="508"/>
      <c r="Y37" s="509"/>
      <c r="Z37" s="502"/>
      <c r="AA37" s="502"/>
      <c r="AB37" s="527"/>
      <c r="AC37" s="66"/>
      <c r="AD37" s="470"/>
      <c r="AE37" s="6"/>
      <c r="AF37" s="6"/>
      <c r="AG37" s="508"/>
      <c r="AH37" s="509"/>
      <c r="AI37" s="6"/>
      <c r="AJ37" s="6"/>
      <c r="AK37" s="508"/>
      <c r="AM37" s="470"/>
      <c r="AN37" s="6"/>
      <c r="AO37" s="6"/>
      <c r="AP37" s="508"/>
      <c r="AQ37" s="509"/>
      <c r="AR37" s="6"/>
      <c r="AS37" s="6"/>
      <c r="AT37" s="508"/>
    </row>
    <row r="38" spans="1:46" ht="36" customHeight="1" x14ac:dyDescent="0.35">
      <c r="A38" s="1477"/>
      <c r="B38" s="472">
        <v>2</v>
      </c>
      <c r="C38" s="493"/>
      <c r="D38" s="494"/>
      <c r="E38" s="494">
        <v>41</v>
      </c>
      <c r="F38" s="637"/>
      <c r="G38" s="566"/>
      <c r="H38" s="469"/>
      <c r="I38" s="502" t="s">
        <v>521</v>
      </c>
      <c r="J38" s="527"/>
      <c r="K38" s="66"/>
      <c r="L38" s="470"/>
      <c r="M38" s="6">
        <v>31</v>
      </c>
      <c r="N38" s="6"/>
      <c r="O38" s="508"/>
      <c r="P38" s="469"/>
      <c r="Q38" s="469" t="s">
        <v>574</v>
      </c>
      <c r="R38" s="6"/>
      <c r="S38" s="527"/>
      <c r="T38" s="66"/>
      <c r="U38" s="470"/>
      <c r="V38" s="6"/>
      <c r="W38" s="6"/>
      <c r="X38" s="508"/>
      <c r="Y38" s="509"/>
      <c r="Z38" s="502"/>
      <c r="AA38" s="6"/>
      <c r="AB38" s="527"/>
      <c r="AC38" s="66"/>
      <c r="AD38" s="470"/>
      <c r="AE38" s="6"/>
      <c r="AF38" s="6"/>
      <c r="AG38" s="508"/>
      <c r="AH38" s="469"/>
      <c r="AI38" s="6"/>
      <c r="AJ38" s="502"/>
      <c r="AK38" s="527"/>
      <c r="AM38" s="470"/>
      <c r="AN38" s="6"/>
      <c r="AO38" s="6"/>
      <c r="AP38" s="508"/>
      <c r="AQ38" s="509"/>
      <c r="AR38" s="6"/>
      <c r="AS38" s="502"/>
      <c r="AT38" s="527"/>
    </row>
    <row r="39" spans="1:46" ht="39" customHeight="1" x14ac:dyDescent="0.35">
      <c r="A39" s="1478">
        <v>44945</v>
      </c>
      <c r="B39" s="472">
        <v>1</v>
      </c>
      <c r="C39" s="493"/>
      <c r="D39" s="494"/>
      <c r="E39" s="494"/>
      <c r="F39" s="495"/>
      <c r="G39" s="566"/>
      <c r="H39" s="514"/>
      <c r="I39" s="573"/>
      <c r="J39" s="568"/>
      <c r="K39" s="66"/>
      <c r="L39" s="470"/>
      <c r="M39" s="6"/>
      <c r="N39" s="6"/>
      <c r="O39" s="508"/>
      <c r="P39" s="509"/>
      <c r="Q39" s="514"/>
      <c r="R39" s="6"/>
      <c r="S39" s="508"/>
      <c r="T39" s="66"/>
      <c r="U39" s="470"/>
      <c r="V39" s="6"/>
      <c r="W39" s="6">
        <v>17</v>
      </c>
      <c r="X39" s="508"/>
      <c r="Y39" s="509"/>
      <c r="Z39" s="502"/>
      <c r="AA39" s="502" t="s">
        <v>336</v>
      </c>
      <c r="AB39" s="527"/>
      <c r="AC39" s="66"/>
      <c r="AD39" s="470"/>
      <c r="AE39" s="6"/>
      <c r="AF39" s="6"/>
      <c r="AG39" s="508"/>
      <c r="AH39" s="509"/>
      <c r="AI39" s="6"/>
      <c r="AJ39" s="6"/>
      <c r="AK39" s="508"/>
      <c r="AM39" s="470"/>
      <c r="AN39" s="6"/>
      <c r="AO39" s="6"/>
      <c r="AP39" s="508"/>
      <c r="AQ39" s="509"/>
      <c r="AR39" s="6"/>
      <c r="AS39" s="6"/>
      <c r="AT39" s="508"/>
    </row>
    <row r="40" spans="1:46" ht="35.5" customHeight="1" x14ac:dyDescent="0.35">
      <c r="A40" s="1477"/>
      <c r="B40" s="472">
        <v>2</v>
      </c>
      <c r="C40" s="493"/>
      <c r="D40" s="494"/>
      <c r="E40" s="494"/>
      <c r="F40" s="508"/>
      <c r="G40" s="566"/>
      <c r="H40" s="514"/>
      <c r="I40" s="573"/>
      <c r="J40" s="527"/>
      <c r="K40" s="66"/>
      <c r="L40" s="470"/>
      <c r="M40" s="6"/>
      <c r="N40" s="6"/>
      <c r="O40" s="508"/>
      <c r="P40" s="509"/>
      <c r="Q40" s="6"/>
      <c r="R40" s="6"/>
      <c r="S40" s="527"/>
      <c r="T40" s="66"/>
      <c r="U40" s="470"/>
      <c r="V40" s="6"/>
      <c r="W40" s="6"/>
      <c r="X40" s="508"/>
      <c r="Y40" s="509"/>
      <c r="Z40" s="502"/>
      <c r="AA40" s="502"/>
      <c r="AB40" s="527"/>
      <c r="AC40" s="66"/>
      <c r="AD40" s="470"/>
      <c r="AE40" s="6"/>
      <c r="AF40" s="6"/>
      <c r="AG40" s="508"/>
      <c r="AH40" s="509"/>
      <c r="AI40" s="6"/>
      <c r="AJ40" s="6"/>
      <c r="AK40" s="527"/>
      <c r="AM40" s="470"/>
      <c r="AN40" s="6"/>
      <c r="AO40" s="6"/>
      <c r="AP40" s="508"/>
      <c r="AQ40" s="509"/>
      <c r="AR40" s="6"/>
      <c r="AS40" s="6"/>
      <c r="AT40" s="527"/>
    </row>
    <row r="41" spans="1:46" ht="39.65" customHeight="1" x14ac:dyDescent="0.35">
      <c r="A41" s="1478">
        <v>44946</v>
      </c>
      <c r="B41" s="472">
        <v>1</v>
      </c>
      <c r="C41" s="493"/>
      <c r="D41" s="494"/>
      <c r="E41" s="494"/>
      <c r="F41" s="508"/>
      <c r="G41" s="566"/>
      <c r="H41" s="515"/>
      <c r="I41" s="573"/>
      <c r="J41" s="568"/>
      <c r="K41" s="66"/>
      <c r="L41" s="470"/>
      <c r="M41" s="6"/>
      <c r="N41" s="6"/>
      <c r="O41" s="508"/>
      <c r="P41" s="509"/>
      <c r="Q41" s="6"/>
      <c r="R41" s="6"/>
      <c r="S41" s="527"/>
      <c r="T41" s="66"/>
      <c r="U41" s="470"/>
      <c r="V41" s="6"/>
      <c r="W41" s="6"/>
      <c r="X41" s="508"/>
      <c r="Y41" s="509"/>
      <c r="Z41" s="502"/>
      <c r="AA41" s="502"/>
      <c r="AB41" s="508"/>
      <c r="AC41" s="66"/>
      <c r="AD41" s="470">
        <v>20</v>
      </c>
      <c r="AE41" s="6"/>
      <c r="AF41" s="6"/>
      <c r="AG41" s="508"/>
      <c r="AH41" s="509" t="s">
        <v>288</v>
      </c>
      <c r="AI41" s="502"/>
      <c r="AJ41" s="6"/>
      <c r="AK41" s="508"/>
      <c r="AM41" s="470"/>
      <c r="AN41" s="6"/>
      <c r="AO41" s="6"/>
      <c r="AP41" s="508"/>
      <c r="AQ41" s="509"/>
      <c r="AR41" s="502"/>
      <c r="AS41" s="6"/>
      <c r="AT41" s="508"/>
    </row>
    <row r="42" spans="1:46" ht="33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4"/>
      <c r="I42" s="573"/>
      <c r="J42" s="568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>
        <v>10</v>
      </c>
      <c r="X42" s="508"/>
      <c r="Y42" s="469"/>
      <c r="Z42" s="6"/>
      <c r="AA42" s="502" t="s">
        <v>336</v>
      </c>
      <c r="AB42" s="527"/>
      <c r="AC42" s="66"/>
      <c r="AD42" s="470"/>
      <c r="AE42" s="6"/>
      <c r="AF42" s="6"/>
      <c r="AG42" s="508"/>
      <c r="AH42" s="509"/>
      <c r="AI42" s="6"/>
      <c r="AJ42" s="6"/>
      <c r="AK42" s="508"/>
      <c r="AM42" s="470"/>
      <c r="AN42" s="6"/>
      <c r="AO42" s="6"/>
      <c r="AP42" s="508"/>
      <c r="AQ42" s="509"/>
      <c r="AR42" s="6"/>
      <c r="AS42" s="6"/>
      <c r="AT42" s="508"/>
    </row>
    <row r="43" spans="1:46" ht="33.65" customHeight="1" x14ac:dyDescent="0.35">
      <c r="A43" s="1478">
        <v>44947</v>
      </c>
      <c r="B43" s="472">
        <v>1</v>
      </c>
      <c r="C43" s="494"/>
      <c r="D43" s="494"/>
      <c r="E43" s="494"/>
      <c r="F43" s="495"/>
      <c r="G43" s="514"/>
      <c r="H43" s="514"/>
      <c r="I43" s="515"/>
      <c r="J43" s="527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>
        <v>7</v>
      </c>
      <c r="W43" s="6"/>
      <c r="X43" s="508"/>
      <c r="Y43" s="509"/>
      <c r="Z43" s="6" t="s">
        <v>410</v>
      </c>
      <c r="AA43" s="515"/>
      <c r="AB43" s="508"/>
      <c r="AC43" s="66"/>
      <c r="AD43" s="470"/>
      <c r="AE43" s="6"/>
      <c r="AF43" s="6"/>
      <c r="AG43" s="508"/>
      <c r="AH43" s="502"/>
      <c r="AI43" s="515"/>
      <c r="AJ43" s="6"/>
      <c r="AK43" s="508"/>
      <c r="AM43" s="470"/>
      <c r="AN43" s="6"/>
      <c r="AO43" s="6"/>
      <c r="AP43" s="508"/>
      <c r="AQ43" s="502"/>
      <c r="AR43" s="515"/>
      <c r="AS43" s="6"/>
      <c r="AT43" s="508"/>
    </row>
    <row r="44" spans="1:46" ht="36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514"/>
      <c r="I44" s="573"/>
      <c r="J44" s="527"/>
      <c r="K44" s="66"/>
      <c r="L44" s="470"/>
      <c r="M44" s="6"/>
      <c r="N44" s="6"/>
      <c r="O44" s="508"/>
      <c r="P44" s="509"/>
      <c r="Q44" s="6"/>
      <c r="R44" s="502"/>
      <c r="S44" s="627"/>
      <c r="T44" s="66"/>
      <c r="U44" s="470"/>
      <c r="V44" s="6"/>
      <c r="W44" s="494">
        <v>20</v>
      </c>
      <c r="X44" s="495"/>
      <c r="Y44" s="514"/>
      <c r="Z44" s="514"/>
      <c r="AA44" s="502" t="s">
        <v>401</v>
      </c>
      <c r="AB44" s="527"/>
      <c r="AC44" s="66"/>
      <c r="AD44" s="470"/>
      <c r="AE44" s="6"/>
      <c r="AF44" s="6"/>
      <c r="AG44" s="508"/>
      <c r="AH44" s="509"/>
      <c r="AI44" s="502"/>
      <c r="AJ44" s="502"/>
      <c r="AK44" s="508"/>
      <c r="AM44" s="470"/>
      <c r="AN44" s="6"/>
      <c r="AO44" s="6"/>
      <c r="AP44" s="508"/>
      <c r="AQ44" s="509"/>
      <c r="AR44" s="502"/>
      <c r="AS44" s="502"/>
      <c r="AT44" s="508"/>
    </row>
    <row r="45" spans="1:46" ht="36" customHeight="1" x14ac:dyDescent="0.35">
      <c r="A45" s="1478">
        <v>44948</v>
      </c>
      <c r="B45" s="472">
        <v>1</v>
      </c>
      <c r="C45" s="494"/>
      <c r="D45" s="494"/>
      <c r="E45" s="494">
        <v>18</v>
      </c>
      <c r="F45" s="495"/>
      <c r="G45" s="514"/>
      <c r="H45" s="514"/>
      <c r="I45" s="515" t="s">
        <v>558</v>
      </c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>
        <v>18</v>
      </c>
      <c r="X45" s="508"/>
      <c r="Y45" s="514"/>
      <c r="Z45" s="6"/>
      <c r="AA45" s="502" t="s">
        <v>575</v>
      </c>
      <c r="AB45" s="508"/>
      <c r="AC45" s="66"/>
      <c r="AD45" s="470"/>
      <c r="AE45" s="6"/>
      <c r="AF45" s="6"/>
      <c r="AG45" s="508"/>
      <c r="AH45" s="509"/>
      <c r="AI45" s="502"/>
      <c r="AJ45" s="6"/>
      <c r="AK45" s="508"/>
      <c r="AM45" s="470"/>
      <c r="AN45" s="6"/>
      <c r="AO45" s="6"/>
      <c r="AP45" s="508"/>
      <c r="AQ45" s="509"/>
      <c r="AR45" s="502"/>
      <c r="AS45" s="6"/>
      <c r="AT45" s="508"/>
    </row>
    <row r="46" spans="1:46" ht="34.200000000000003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515"/>
      <c r="J46" s="527"/>
      <c r="K46" s="66"/>
      <c r="L46" s="470"/>
      <c r="M46" s="6"/>
      <c r="N46" s="6"/>
      <c r="O46" s="633"/>
      <c r="P46" s="509"/>
      <c r="Q46" s="515"/>
      <c r="R46" s="6"/>
      <c r="S46" s="527"/>
      <c r="T46" s="66"/>
      <c r="U46" s="470"/>
      <c r="V46" s="6"/>
      <c r="W46" s="6"/>
      <c r="X46" s="508"/>
      <c r="Y46" s="509"/>
      <c r="Z46" s="6"/>
      <c r="AA46" s="502"/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/>
      <c r="AO46" s="6"/>
      <c r="AP46" s="508"/>
      <c r="AQ46" s="469"/>
      <c r="AR46" s="6"/>
      <c r="AS46" s="6"/>
      <c r="AT46" s="527"/>
    </row>
    <row r="47" spans="1:46" ht="36" customHeight="1" x14ac:dyDescent="0.35">
      <c r="A47" s="1478">
        <v>44949</v>
      </c>
      <c r="B47" s="472">
        <v>1</v>
      </c>
      <c r="C47" s="494"/>
      <c r="D47" s="494"/>
      <c r="E47" s="494">
        <v>13</v>
      </c>
      <c r="F47" s="495"/>
      <c r="G47" s="515"/>
      <c r="H47" s="514"/>
      <c r="I47" s="573" t="s">
        <v>576</v>
      </c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>
        <v>21</v>
      </c>
      <c r="X47" s="508"/>
      <c r="Y47" s="509"/>
      <c r="Z47" s="502"/>
      <c r="AA47" s="502" t="s">
        <v>577</v>
      </c>
      <c r="AB47" s="527"/>
      <c r="AC47" s="66"/>
      <c r="AD47" s="470"/>
      <c r="AE47" s="6"/>
      <c r="AF47" s="6"/>
      <c r="AG47" s="508"/>
      <c r="AH47" s="469"/>
      <c r="AI47" s="515"/>
      <c r="AJ47" s="6"/>
      <c r="AK47" s="508"/>
      <c r="AM47" s="470"/>
      <c r="AN47" s="6"/>
      <c r="AO47" s="6"/>
      <c r="AP47" s="508"/>
      <c r="AQ47" s="469"/>
      <c r="AR47" s="515"/>
      <c r="AS47" s="6"/>
      <c r="AT47" s="508"/>
    </row>
    <row r="48" spans="1:46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/>
      <c r="X48" s="508"/>
      <c r="Y48" s="469"/>
      <c r="Z48" s="6"/>
      <c r="AA48" s="502"/>
      <c r="AB48" s="508"/>
      <c r="AC48" s="66"/>
      <c r="AD48" s="470"/>
      <c r="AE48" s="6"/>
      <c r="AF48" s="6"/>
      <c r="AG48" s="508"/>
      <c r="AH48" s="509"/>
      <c r="AI48" s="502"/>
      <c r="AJ48" s="6"/>
      <c r="AK48" s="508"/>
      <c r="AM48" s="470"/>
      <c r="AN48" s="6"/>
      <c r="AO48" s="6"/>
      <c r="AP48" s="508"/>
      <c r="AQ48" s="509"/>
      <c r="AR48" s="502"/>
      <c r="AS48" s="6"/>
      <c r="AT48" s="508"/>
    </row>
    <row r="49" spans="1:46" ht="36" customHeight="1" x14ac:dyDescent="0.35">
      <c r="A49" s="1478">
        <v>44950</v>
      </c>
      <c r="B49" s="472">
        <v>1</v>
      </c>
      <c r="C49" s="494"/>
      <c r="D49" s="494"/>
      <c r="E49" s="494"/>
      <c r="F49" s="495"/>
      <c r="G49" s="515"/>
      <c r="H49" s="514"/>
      <c r="I49" s="573"/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/>
      <c r="X49" s="508"/>
      <c r="Y49" s="509"/>
      <c r="Z49" s="502"/>
      <c r="AA49" s="502"/>
      <c r="AB49" s="527"/>
      <c r="AC49" s="66"/>
      <c r="AD49" s="470"/>
      <c r="AE49" s="6"/>
      <c r="AF49" s="6"/>
      <c r="AG49" s="508"/>
      <c r="AH49" s="509"/>
      <c r="AI49" s="502"/>
      <c r="AJ49" s="6"/>
      <c r="AK49" s="508"/>
      <c r="AM49" s="470"/>
      <c r="AN49" s="6"/>
      <c r="AO49" s="6"/>
      <c r="AP49" s="508"/>
      <c r="AQ49" s="509"/>
      <c r="AR49" s="502"/>
      <c r="AS49" s="6"/>
      <c r="AT49" s="508"/>
    </row>
    <row r="50" spans="1:46" ht="33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508"/>
      <c r="P50" s="509"/>
      <c r="Q50" s="502"/>
      <c r="R50" s="502"/>
      <c r="S50" s="627"/>
      <c r="T50" s="66"/>
      <c r="U50" s="470"/>
      <c r="V50" s="6"/>
      <c r="W50" s="6">
        <v>10</v>
      </c>
      <c r="X50" s="508"/>
      <c r="Y50" s="469"/>
      <c r="Z50" s="502"/>
      <c r="AA50" s="502" t="s">
        <v>578</v>
      </c>
      <c r="AB50" s="508"/>
      <c r="AC50" s="66"/>
      <c r="AD50" s="470"/>
      <c r="AE50" s="6"/>
      <c r="AF50" s="6">
        <v>19</v>
      </c>
      <c r="AG50" s="508"/>
      <c r="AH50" s="469"/>
      <c r="AI50" s="502"/>
      <c r="AJ50" s="502" t="s">
        <v>522</v>
      </c>
      <c r="AK50" s="508"/>
      <c r="AM50" s="470"/>
      <c r="AN50" s="6"/>
      <c r="AO50" s="6"/>
      <c r="AP50" s="508"/>
      <c r="AQ50" s="509"/>
      <c r="AR50" s="6"/>
      <c r="AS50" s="502"/>
      <c r="AT50" s="508"/>
    </row>
    <row r="51" spans="1:46" ht="34.950000000000003" customHeight="1" x14ac:dyDescent="0.35">
      <c r="A51" s="1478">
        <v>44951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  <c r="AM51" s="470"/>
      <c r="AN51" s="6"/>
      <c r="AO51" s="6"/>
      <c r="AP51" s="508"/>
      <c r="AQ51" s="509"/>
      <c r="AR51" s="6"/>
      <c r="AS51" s="6"/>
      <c r="AT51" s="508"/>
    </row>
    <row r="52" spans="1:46" ht="31.95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573"/>
      <c r="J52" s="527"/>
      <c r="K52" s="66"/>
      <c r="L52" s="470"/>
      <c r="M52" s="6"/>
      <c r="N52" s="6"/>
      <c r="O52" s="508"/>
      <c r="P52" s="509"/>
      <c r="Q52" s="6"/>
      <c r="R52" s="6"/>
      <c r="S52" s="527"/>
      <c r="T52" s="66"/>
      <c r="U52" s="470"/>
      <c r="V52" s="6"/>
      <c r="W52" s="6"/>
      <c r="X52" s="508"/>
      <c r="Y52" s="469"/>
      <c r="Z52" s="502"/>
      <c r="AA52" s="502"/>
      <c r="AB52" s="527"/>
      <c r="AC52" s="66"/>
      <c r="AD52" s="470"/>
      <c r="AE52" s="6"/>
      <c r="AF52" s="6"/>
      <c r="AG52" s="508"/>
      <c r="AH52" s="509"/>
      <c r="AI52" s="6"/>
      <c r="AJ52" s="6"/>
      <c r="AK52" s="508"/>
      <c r="AM52" s="470"/>
      <c r="AN52" s="508"/>
      <c r="AO52" s="508"/>
      <c r="AP52" s="508"/>
      <c r="AQ52" s="509"/>
      <c r="AR52" s="508"/>
      <c r="AS52" s="6"/>
      <c r="AT52" s="508"/>
    </row>
    <row r="53" spans="1:46" ht="40.200000000000003" customHeight="1" x14ac:dyDescent="0.35">
      <c r="A53" s="1478">
        <v>44952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/>
      <c r="AP53" s="508"/>
      <c r="AQ53" s="509"/>
      <c r="AR53" s="502"/>
      <c r="AS53" s="502"/>
      <c r="AT53" s="508"/>
    </row>
    <row r="54" spans="1:46" ht="39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4"/>
      <c r="I54" s="573"/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/>
      <c r="X54" s="495"/>
      <c r="Y54" s="514"/>
      <c r="Z54" s="515"/>
      <c r="AA54" s="502"/>
      <c r="AB54" s="527"/>
      <c r="AC54" s="66"/>
      <c r="AD54" s="470"/>
      <c r="AE54" s="6"/>
      <c r="AF54" s="6"/>
      <c r="AG54" s="495"/>
      <c r="AH54" s="514"/>
      <c r="AI54" s="514"/>
      <c r="AJ54" s="6"/>
      <c r="AK54" s="527"/>
      <c r="AM54" s="470"/>
      <c r="AN54" s="6"/>
      <c r="AO54" s="6"/>
      <c r="AP54" s="495"/>
      <c r="AQ54" s="514"/>
      <c r="AR54" s="514"/>
      <c r="AS54" s="514"/>
      <c r="AT54" s="527"/>
    </row>
    <row r="55" spans="1:46" ht="39.65" customHeight="1" x14ac:dyDescent="0.35">
      <c r="A55" s="1478">
        <v>44953</v>
      </c>
      <c r="B55" s="472">
        <v>1</v>
      </c>
      <c r="C55" s="493"/>
      <c r="D55" s="494"/>
      <c r="E55" s="494"/>
      <c r="F55" s="495"/>
      <c r="G55" s="514"/>
      <c r="H55" s="514"/>
      <c r="I55" s="515"/>
      <c r="J55" s="56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4"/>
      <c r="AA55" s="515"/>
      <c r="AB55" s="527"/>
      <c r="AC55" s="66"/>
      <c r="AD55" s="470"/>
      <c r="AE55" s="6"/>
      <c r="AF55" s="6"/>
      <c r="AG55" s="508"/>
      <c r="AH55" s="509"/>
      <c r="AI55" s="6"/>
      <c r="AJ55" s="502"/>
      <c r="AK55" s="508"/>
      <c r="AM55" s="470"/>
      <c r="AN55" s="6"/>
      <c r="AO55" s="6"/>
      <c r="AP55" s="508"/>
      <c r="AQ55" s="509"/>
      <c r="AR55" s="6"/>
      <c r="AS55" s="502"/>
      <c r="AT55" s="508"/>
    </row>
    <row r="56" spans="1:46" ht="40.950000000000003" customHeight="1" x14ac:dyDescent="0.35">
      <c r="A56" s="1477"/>
      <c r="B56" s="500">
        <v>2</v>
      </c>
      <c r="C56" s="493"/>
      <c r="D56" s="494"/>
      <c r="E56" s="494"/>
      <c r="F56" s="495">
        <v>87</v>
      </c>
      <c r="G56" s="515"/>
      <c r="H56" s="514"/>
      <c r="I56" s="515"/>
      <c r="J56" s="527" t="s">
        <v>579</v>
      </c>
      <c r="K56" s="66"/>
      <c r="L56" s="470"/>
      <c r="M56" s="6"/>
      <c r="N56" s="6"/>
      <c r="O56" s="495">
        <v>87</v>
      </c>
      <c r="P56" s="515"/>
      <c r="Q56" s="514"/>
      <c r="R56" s="515"/>
      <c r="S56" s="527" t="s">
        <v>579</v>
      </c>
      <c r="T56" s="66"/>
      <c r="U56" s="470"/>
      <c r="V56" s="6"/>
      <c r="W56" s="6"/>
      <c r="X56" s="495">
        <v>87</v>
      </c>
      <c r="Y56" s="515"/>
      <c r="Z56" s="514"/>
      <c r="AA56" s="515"/>
      <c r="AB56" s="527" t="s">
        <v>579</v>
      </c>
      <c r="AC56" s="66"/>
      <c r="AD56" s="470"/>
      <c r="AE56" s="6"/>
      <c r="AF56" s="6"/>
      <c r="AG56" s="495">
        <v>87</v>
      </c>
      <c r="AH56" s="515"/>
      <c r="AI56" s="514"/>
      <c r="AJ56" s="515"/>
      <c r="AK56" s="527" t="s">
        <v>579</v>
      </c>
      <c r="AM56" s="470"/>
      <c r="AN56" s="6"/>
      <c r="AO56" s="6"/>
      <c r="AP56" s="495">
        <v>87</v>
      </c>
      <c r="AQ56" s="515"/>
      <c r="AR56" s="514"/>
      <c r="AS56" s="515"/>
      <c r="AT56" s="527" t="s">
        <v>579</v>
      </c>
    </row>
    <row r="57" spans="1:46" ht="37.950000000000003" customHeight="1" x14ac:dyDescent="0.35">
      <c r="A57" s="1478">
        <v>44954</v>
      </c>
      <c r="B57" s="472">
        <v>1</v>
      </c>
      <c r="C57" s="493"/>
      <c r="D57" s="494"/>
      <c r="E57" s="494"/>
      <c r="F57" s="495"/>
      <c r="G57" s="515"/>
      <c r="H57" s="514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15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95"/>
      <c r="AQ57" s="515"/>
      <c r="AR57" s="514"/>
      <c r="AS57" s="515"/>
      <c r="AT57" s="527"/>
    </row>
    <row r="58" spans="1:46" ht="35.5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515"/>
      <c r="J58" s="527"/>
      <c r="K58" s="66"/>
      <c r="L58" s="470"/>
      <c r="M58" s="6"/>
      <c r="N58" s="6"/>
      <c r="O58" s="508"/>
      <c r="P58" s="509"/>
      <c r="Q58" s="6"/>
      <c r="R58" s="6"/>
      <c r="S58" s="527"/>
      <c r="T58" s="66"/>
      <c r="U58" s="470"/>
      <c r="V58" s="6"/>
      <c r="W58" s="6"/>
      <c r="X58" s="508"/>
      <c r="Y58" s="509"/>
      <c r="Z58" s="502"/>
      <c r="AA58" s="515"/>
      <c r="AB58" s="508"/>
      <c r="AC58" s="66"/>
      <c r="AD58" s="470"/>
      <c r="AE58" s="6"/>
      <c r="AF58" s="6"/>
      <c r="AG58" s="508"/>
      <c r="AH58" s="509"/>
      <c r="AI58" s="6"/>
      <c r="AJ58" s="6"/>
      <c r="AK58" s="508"/>
      <c r="AM58" s="470"/>
      <c r="AN58" s="6"/>
      <c r="AO58" s="6"/>
      <c r="AP58" s="508"/>
      <c r="AQ58" s="509"/>
      <c r="AR58" s="6"/>
      <c r="AS58" s="6"/>
      <c r="AT58" s="508"/>
    </row>
    <row r="59" spans="1:46" ht="34.200000000000003" customHeight="1" x14ac:dyDescent="0.35">
      <c r="A59" s="1478">
        <v>44955</v>
      </c>
      <c r="B59" s="472">
        <v>1</v>
      </c>
      <c r="C59" s="493"/>
      <c r="D59" s="494"/>
      <c r="E59" s="494"/>
      <c r="F59" s="495"/>
      <c r="G59" s="514"/>
      <c r="H59" s="514"/>
      <c r="I59" s="573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02"/>
      <c r="AB59" s="508"/>
      <c r="AC59" s="66"/>
      <c r="AD59" s="470"/>
      <c r="AE59" s="6"/>
      <c r="AF59" s="6"/>
      <c r="AG59" s="508"/>
      <c r="AH59" s="469"/>
      <c r="AI59" s="6"/>
      <c r="AJ59" s="515"/>
      <c r="AK59" s="508"/>
      <c r="AM59" s="470"/>
      <c r="AN59" s="6"/>
      <c r="AO59" s="6"/>
      <c r="AP59" s="508"/>
      <c r="AQ59" s="469"/>
      <c r="AR59" s="6"/>
      <c r="AS59" s="515"/>
      <c r="AT59" s="508"/>
    </row>
    <row r="60" spans="1:46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573"/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502"/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508"/>
      <c r="AQ60" s="509"/>
      <c r="AR60" s="6"/>
      <c r="AS60" s="502"/>
      <c r="AT60" s="527"/>
    </row>
    <row r="61" spans="1:46" ht="32.5" customHeight="1" x14ac:dyDescent="0.35">
      <c r="A61" s="1478">
        <v>44956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508"/>
      <c r="AQ61" s="509"/>
      <c r="AR61" s="6"/>
      <c r="AS61" s="502"/>
      <c r="AT61" s="624"/>
    </row>
    <row r="62" spans="1:46" ht="33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508"/>
      <c r="AQ62" s="509"/>
      <c r="AR62" s="6"/>
      <c r="AS62" s="502"/>
      <c r="AT62" s="624"/>
    </row>
    <row r="63" spans="1:46" ht="33.65" customHeight="1" x14ac:dyDescent="0.35">
      <c r="A63" s="1478">
        <v>44957</v>
      </c>
      <c r="B63" s="472">
        <v>1</v>
      </c>
      <c r="C63" s="587"/>
      <c r="D63" s="588"/>
      <c r="E63" s="588"/>
      <c r="F63" s="589"/>
      <c r="G63" s="598"/>
      <c r="H63" s="590"/>
      <c r="I63" s="515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>
        <v>146</v>
      </c>
      <c r="X63" s="495"/>
      <c r="Y63" s="566"/>
      <c r="Z63" s="514"/>
      <c r="AA63" s="6" t="s">
        <v>580</v>
      </c>
      <c r="AB63" s="563"/>
      <c r="AC63" s="66"/>
      <c r="AD63" s="470"/>
      <c r="AE63" s="6"/>
      <c r="AF63" s="6">
        <v>148</v>
      </c>
      <c r="AG63" s="495"/>
      <c r="AH63" s="566"/>
      <c r="AI63" s="514"/>
      <c r="AJ63" s="6" t="s">
        <v>580</v>
      </c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30.6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528"/>
      <c r="AQ64" s="529"/>
      <c r="AR64" s="530"/>
      <c r="AS64" s="530"/>
      <c r="AT64" s="594"/>
    </row>
    <row r="65" spans="1:42" ht="23.5" customHeight="1" x14ac:dyDescent="0.35">
      <c r="A65" s="423" t="s">
        <v>225</v>
      </c>
      <c r="C65" s="631">
        <f>SUM(C3:C64)</f>
        <v>108</v>
      </c>
      <c r="D65" s="65">
        <f>SUM(D3:D64)</f>
        <v>0</v>
      </c>
      <c r="E65" s="631">
        <f>SUM(E3:E64)</f>
        <v>425</v>
      </c>
      <c r="F65" s="65">
        <f>SUM(F3:F64)</f>
        <v>1086</v>
      </c>
      <c r="L65" s="65">
        <f>SUM(L3:L64)</f>
        <v>0</v>
      </c>
      <c r="M65" s="65">
        <f>SUM(M3:M64)</f>
        <v>438</v>
      </c>
      <c r="N65" s="65">
        <f>SUM(N3:N64)</f>
        <v>0</v>
      </c>
      <c r="O65" s="65">
        <f>SUM(O3:O64)</f>
        <v>1086</v>
      </c>
      <c r="U65" s="65">
        <f>SUM(U3:U64)</f>
        <v>270</v>
      </c>
      <c r="V65" s="65">
        <f>SUM(V3:V64)</f>
        <v>121</v>
      </c>
      <c r="W65" s="65">
        <f>SUM(W3:W64)</f>
        <v>348</v>
      </c>
      <c r="X65" s="65">
        <f>SUM(X3:X64)</f>
        <v>1086</v>
      </c>
      <c r="AD65" s="65">
        <f>SUM(AD3:AD64)</f>
        <v>2170</v>
      </c>
      <c r="AE65" s="65">
        <f>SUM(AE3:AE64)</f>
        <v>68</v>
      </c>
      <c r="AF65" s="65">
        <f>SUM(AF3:AF64)</f>
        <v>271</v>
      </c>
      <c r="AG65" s="65">
        <f>SUM(AG3:AG64)</f>
        <v>1086</v>
      </c>
      <c r="AM65" s="65">
        <f>SUM(AM3:AM64)</f>
        <v>0</v>
      </c>
      <c r="AN65" s="65">
        <f>SUM(AN3:AN64)</f>
        <v>0</v>
      </c>
      <c r="AO65" s="65">
        <f>SUM(AO3:AO64)</f>
        <v>0</v>
      </c>
      <c r="AP65" s="65">
        <f>SUM(AP3:AP64)</f>
        <v>1086</v>
      </c>
    </row>
    <row r="73" spans="1:42" ht="14.6" thickBot="1" x14ac:dyDescent="0.4"/>
    <row r="74" spans="1:42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21.75" customHeight="1" x14ac:dyDescent="0.4">
      <c r="B76" s="541" t="s">
        <v>218</v>
      </c>
      <c r="C76" s="542">
        <f>C65</f>
        <v>108</v>
      </c>
      <c r="D76" s="543">
        <f>C76/60</f>
        <v>1.8</v>
      </c>
      <c r="E76" s="542">
        <f>D65</f>
        <v>0</v>
      </c>
      <c r="F76" s="544">
        <f>E76/60</f>
        <v>0</v>
      </c>
      <c r="G76" s="542">
        <f>E65</f>
        <v>425</v>
      </c>
      <c r="H76" s="543">
        <f>G76/60</f>
        <v>7.083333333333333</v>
      </c>
      <c r="I76" s="542">
        <f>F65</f>
        <v>1086</v>
      </c>
      <c r="J76" s="543">
        <f>I76/60</f>
        <v>18.100000000000001</v>
      </c>
    </row>
    <row r="77" spans="1:42" ht="19.5" customHeight="1" x14ac:dyDescent="0.4">
      <c r="B77" s="541" t="s">
        <v>219</v>
      </c>
      <c r="C77" s="545">
        <f>L65</f>
        <v>0</v>
      </c>
      <c r="D77" s="546">
        <f t="shared" ref="D77:F79" si="0">C77/60</f>
        <v>0</v>
      </c>
      <c r="E77" s="545">
        <f>M65</f>
        <v>438</v>
      </c>
      <c r="F77" s="547">
        <f t="shared" si="0"/>
        <v>7.3</v>
      </c>
      <c r="G77" s="545">
        <f>N65</f>
        <v>0</v>
      </c>
      <c r="H77" s="546">
        <f t="shared" ref="H77:J79" si="1">G77/60</f>
        <v>0</v>
      </c>
      <c r="I77" s="545">
        <f>O65</f>
        <v>1086</v>
      </c>
      <c r="J77" s="546">
        <f t="shared" si="1"/>
        <v>18.100000000000001</v>
      </c>
    </row>
    <row r="78" spans="1:42" ht="20.25" customHeight="1" x14ac:dyDescent="0.4">
      <c r="B78" s="541" t="s">
        <v>220</v>
      </c>
      <c r="C78" s="545">
        <f>U65</f>
        <v>270</v>
      </c>
      <c r="D78" s="546">
        <f t="shared" si="0"/>
        <v>4.5</v>
      </c>
      <c r="E78" s="545">
        <f>V65</f>
        <v>121</v>
      </c>
      <c r="F78" s="547">
        <f t="shared" si="0"/>
        <v>2.0166666666666666</v>
      </c>
      <c r="G78" s="545">
        <f>W65</f>
        <v>348</v>
      </c>
      <c r="H78" s="546">
        <f t="shared" si="1"/>
        <v>5.8</v>
      </c>
      <c r="I78" s="545">
        <f>X65</f>
        <v>1086</v>
      </c>
      <c r="J78" s="546">
        <f t="shared" si="1"/>
        <v>18.100000000000001</v>
      </c>
    </row>
    <row r="79" spans="1:42" ht="22.5" customHeight="1" thickBot="1" x14ac:dyDescent="0.45">
      <c r="B79" s="541" t="s">
        <v>221</v>
      </c>
      <c r="C79" s="548">
        <f>AD65</f>
        <v>2170</v>
      </c>
      <c r="D79" s="549">
        <f t="shared" si="0"/>
        <v>36.166666666666664</v>
      </c>
      <c r="E79" s="548">
        <f>AE65</f>
        <v>68</v>
      </c>
      <c r="F79" s="550">
        <f t="shared" si="0"/>
        <v>1.1333333333333333</v>
      </c>
      <c r="G79" s="548">
        <f>AF65</f>
        <v>271</v>
      </c>
      <c r="H79" s="549">
        <f t="shared" si="1"/>
        <v>4.5166666666666666</v>
      </c>
      <c r="I79" s="548">
        <f>AG65</f>
        <v>1086</v>
      </c>
      <c r="J79" s="549">
        <f t="shared" si="1"/>
        <v>18.100000000000001</v>
      </c>
    </row>
    <row r="80" spans="1:42" ht="22.5" customHeight="1" thickBot="1" x14ac:dyDescent="0.45">
      <c r="B80" s="541" t="s">
        <v>488</v>
      </c>
      <c r="C80" s="643">
        <f>AM65</f>
        <v>0</v>
      </c>
      <c r="D80" s="642">
        <f>C80/60</f>
        <v>0</v>
      </c>
      <c r="E80" s="643">
        <f>AN65</f>
        <v>0</v>
      </c>
      <c r="F80" s="644">
        <f>E80/60</f>
        <v>0</v>
      </c>
      <c r="G80" s="643">
        <f>AO65</f>
        <v>0</v>
      </c>
      <c r="H80" s="642">
        <f>G80/60</f>
        <v>0</v>
      </c>
      <c r="I80" s="643">
        <f>AP65</f>
        <v>1086</v>
      </c>
      <c r="J80" s="642">
        <f>I80/60</f>
        <v>18.100000000000001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42.466666666666661</v>
      </c>
      <c r="E82" s="556"/>
      <c r="F82" s="557">
        <f>SUM(F76:F80)</f>
        <v>10.45</v>
      </c>
      <c r="G82" s="556"/>
      <c r="H82" s="557">
        <f>SUM(H76:H80)</f>
        <v>17.399999999999999</v>
      </c>
      <c r="I82" s="556"/>
      <c r="J82" s="558">
        <f>AVERAGE(J76:J80)</f>
        <v>18.100000000000001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P1"/>
    <mergeCell ref="AQ1:AT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82"/>
  <sheetViews>
    <sheetView zoomScale="55" zoomScaleNormal="55" workbookViewId="0">
      <pane xSplit="2" ySplit="2" topLeftCell="Z33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21.15234375" style="423" customWidth="1"/>
    <col min="8" max="8" width="27.3046875" style="423" customWidth="1"/>
    <col min="9" max="9" width="22" style="423" customWidth="1"/>
    <col min="10" max="10" width="22.3046875" style="423" customWidth="1"/>
    <col min="11" max="11" width="20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4.3046875" style="423" customWidth="1"/>
    <col min="20" max="24" width="10.69140625" style="423" customWidth="1"/>
    <col min="25" max="25" width="28" style="423" customWidth="1"/>
    <col min="26" max="26" width="23.84375" style="423" customWidth="1"/>
    <col min="27" max="27" width="32.3828125" style="423" customWidth="1"/>
    <col min="28" max="28" width="21.15234375" style="423" customWidth="1"/>
    <col min="29" max="33" width="10.69140625" style="423" customWidth="1"/>
    <col min="34" max="34" width="26" style="423" customWidth="1"/>
    <col min="35" max="35" width="16.69140625" style="423" customWidth="1"/>
    <col min="36" max="36" width="21.84375" style="423" customWidth="1"/>
    <col min="37" max="37" width="13.3046875" style="423" customWidth="1"/>
    <col min="38" max="38" width="8.84375" style="423"/>
    <col min="39" max="42" width="10.69140625" style="423" customWidth="1"/>
    <col min="43" max="43" width="16.84375" style="423" customWidth="1"/>
    <col min="44" max="44" width="15.15234375" style="423" customWidth="1"/>
    <col min="45" max="45" width="17.53515625" style="423" customWidth="1"/>
    <col min="46" max="46" width="21.15234375" style="423" bestFit="1" customWidth="1"/>
    <col min="47" max="16384" width="8.84375" style="423"/>
  </cols>
  <sheetData>
    <row r="1" spans="1:46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4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5</v>
      </c>
      <c r="AE1" s="1471"/>
      <c r="AF1" s="1471"/>
      <c r="AG1" s="1471"/>
      <c r="AH1" s="1473" t="s">
        <v>206</v>
      </c>
      <c r="AI1" s="1473"/>
      <c r="AJ1" s="1473"/>
      <c r="AK1" s="1474"/>
      <c r="AM1" s="1471" t="s">
        <v>482</v>
      </c>
      <c r="AN1" s="1471"/>
      <c r="AO1" s="1471"/>
      <c r="AP1" s="1471"/>
      <c r="AQ1" s="1473" t="s">
        <v>206</v>
      </c>
      <c r="AR1" s="1473"/>
      <c r="AS1" s="1473"/>
      <c r="AT1" s="1474"/>
    </row>
    <row r="2" spans="1:46" ht="42.65" customHeight="1" x14ac:dyDescent="0.35">
      <c r="A2" s="634" t="s">
        <v>0</v>
      </c>
      <c r="B2" s="426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  <c r="AM2" s="424" t="s">
        <v>199</v>
      </c>
      <c r="AN2" s="424" t="s">
        <v>200</v>
      </c>
      <c r="AO2" s="424" t="s">
        <v>201</v>
      </c>
      <c r="AP2" s="424" t="s">
        <v>204</v>
      </c>
      <c r="AQ2" s="425" t="s">
        <v>199</v>
      </c>
      <c r="AR2" s="424" t="s">
        <v>200</v>
      </c>
      <c r="AS2" s="424" t="s">
        <v>201</v>
      </c>
      <c r="AT2" s="424" t="s">
        <v>204</v>
      </c>
    </row>
    <row r="3" spans="1:46" ht="30" customHeight="1" x14ac:dyDescent="0.35">
      <c r="A3" s="1478">
        <v>44958</v>
      </c>
      <c r="B3" s="501">
        <v>1</v>
      </c>
      <c r="C3" s="490"/>
      <c r="D3" s="491"/>
      <c r="E3" s="640">
        <v>50</v>
      </c>
      <c r="F3" s="492"/>
      <c r="G3" s="566"/>
      <c r="H3" s="514"/>
      <c r="I3" s="641" t="s">
        <v>558</v>
      </c>
      <c r="J3" s="567"/>
      <c r="K3" s="66"/>
      <c r="L3" s="507"/>
      <c r="M3" s="522"/>
      <c r="N3" s="522"/>
      <c r="O3" s="520"/>
      <c r="P3" s="521"/>
      <c r="Q3" s="580"/>
      <c r="R3" s="581"/>
      <c r="S3" s="520"/>
      <c r="T3" s="66"/>
      <c r="U3" s="507"/>
      <c r="V3" s="522"/>
      <c r="W3" s="522">
        <v>10</v>
      </c>
      <c r="X3" s="508"/>
      <c r="Y3" s="469"/>
      <c r="Z3" s="521"/>
      <c r="AA3" s="600" t="s">
        <v>152</v>
      </c>
      <c r="AB3" s="601"/>
      <c r="AC3" s="66"/>
      <c r="AD3" s="507"/>
      <c r="AE3" s="522"/>
      <c r="AF3" s="6"/>
      <c r="AG3" s="520"/>
      <c r="AH3" s="521"/>
      <c r="AI3" s="522"/>
      <c r="AJ3" s="502"/>
      <c r="AK3" s="520"/>
      <c r="AM3" s="507"/>
      <c r="AN3" s="522"/>
      <c r="AO3" s="6">
        <v>600</v>
      </c>
      <c r="AP3" s="520"/>
      <c r="AQ3" s="521"/>
      <c r="AR3" s="522"/>
      <c r="AS3" s="502" t="s">
        <v>581</v>
      </c>
      <c r="AT3" s="520"/>
    </row>
    <row r="4" spans="1:46" ht="51.65" customHeight="1" x14ac:dyDescent="0.35">
      <c r="A4" s="1477"/>
      <c r="B4" s="472">
        <v>2</v>
      </c>
      <c r="C4" s="493"/>
      <c r="D4" s="494"/>
      <c r="E4" s="494"/>
      <c r="F4" s="495"/>
      <c r="G4" s="566"/>
      <c r="H4" s="514"/>
      <c r="I4" s="515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/>
      <c r="X4" s="508"/>
      <c r="Y4" s="469"/>
      <c r="Z4" s="6"/>
      <c r="AA4" s="579"/>
      <c r="AB4" s="603"/>
      <c r="AC4" s="66"/>
      <c r="AD4" s="470"/>
      <c r="AE4" s="6"/>
      <c r="AF4" s="6"/>
      <c r="AG4" s="508"/>
      <c r="AH4" s="509"/>
      <c r="AI4" s="6"/>
      <c r="AJ4" s="6"/>
      <c r="AK4" s="508"/>
      <c r="AM4" s="470"/>
      <c r="AN4" s="6"/>
      <c r="AO4" s="6">
        <v>420</v>
      </c>
      <c r="AP4" s="508"/>
      <c r="AQ4" s="509"/>
      <c r="AR4" s="6"/>
      <c r="AS4" s="502" t="s">
        <v>479</v>
      </c>
      <c r="AT4" s="508"/>
    </row>
    <row r="5" spans="1:46" ht="28.95" customHeight="1" x14ac:dyDescent="0.35">
      <c r="A5" s="1478">
        <v>44959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579"/>
      <c r="AB5" s="604"/>
      <c r="AC5" s="66"/>
      <c r="AD5" s="470"/>
      <c r="AE5" s="6"/>
      <c r="AF5" s="6"/>
      <c r="AG5" s="508"/>
      <c r="AH5" s="509"/>
      <c r="AI5" s="6"/>
      <c r="AJ5" s="6"/>
      <c r="AK5" s="508"/>
      <c r="AM5" s="470"/>
      <c r="AN5" s="6"/>
      <c r="AO5" s="6"/>
      <c r="AP5" s="508"/>
      <c r="AQ5" s="509"/>
      <c r="AR5" s="6"/>
      <c r="AS5" s="502"/>
      <c r="AT5" s="508"/>
    </row>
    <row r="6" spans="1:46" ht="52.2" customHeight="1" x14ac:dyDescent="0.35">
      <c r="A6" s="1477"/>
      <c r="B6" s="472">
        <v>2</v>
      </c>
      <c r="C6" s="493"/>
      <c r="D6" s="494"/>
      <c r="E6" s="494"/>
      <c r="F6" s="495"/>
      <c r="G6" s="565"/>
      <c r="H6" s="514"/>
      <c r="I6" s="515"/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>
        <v>32</v>
      </c>
      <c r="X6" s="508"/>
      <c r="Y6" s="469"/>
      <c r="Z6" s="6"/>
      <c r="AA6" s="579" t="s">
        <v>152</v>
      </c>
      <c r="AB6" s="508"/>
      <c r="AC6" s="66"/>
      <c r="AD6" s="470"/>
      <c r="AE6" s="6"/>
      <c r="AF6" s="6"/>
      <c r="AG6" s="508"/>
      <c r="AH6" s="509"/>
      <c r="AI6" s="6"/>
      <c r="AJ6" s="515"/>
      <c r="AK6" s="508"/>
      <c r="AM6" s="470"/>
      <c r="AN6" s="6"/>
      <c r="AO6" s="6">
        <v>100</v>
      </c>
      <c r="AP6" s="508"/>
      <c r="AQ6" s="509"/>
      <c r="AR6" s="6"/>
      <c r="AS6" s="502" t="s">
        <v>232</v>
      </c>
      <c r="AT6" s="508"/>
    </row>
    <row r="7" spans="1:46" ht="33" customHeight="1" x14ac:dyDescent="0.35">
      <c r="A7" s="1478">
        <v>44960</v>
      </c>
      <c r="B7" s="472">
        <v>1</v>
      </c>
      <c r="C7" s="493"/>
      <c r="D7" s="494"/>
      <c r="E7" s="494">
        <v>119</v>
      </c>
      <c r="F7" s="495"/>
      <c r="G7" s="566"/>
      <c r="H7" s="515"/>
      <c r="I7" s="515" t="s">
        <v>582</v>
      </c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6"/>
      <c r="W7" s="6">
        <v>28</v>
      </c>
      <c r="X7" s="508"/>
      <c r="Y7" s="509"/>
      <c r="Z7" s="6"/>
      <c r="AA7" s="515" t="s">
        <v>383</v>
      </c>
      <c r="AB7" s="508"/>
      <c r="AC7" s="66"/>
      <c r="AD7" s="470"/>
      <c r="AE7" s="6"/>
      <c r="AF7" s="6">
        <v>26</v>
      </c>
      <c r="AG7" s="508"/>
      <c r="AH7" s="509"/>
      <c r="AI7" s="6"/>
      <c r="AJ7" s="515" t="s">
        <v>383</v>
      </c>
      <c r="AK7" s="508"/>
      <c r="AM7" s="470"/>
      <c r="AN7" s="6"/>
      <c r="AO7" s="6"/>
      <c r="AP7" s="508"/>
      <c r="AQ7" s="509"/>
      <c r="AR7" s="6"/>
      <c r="AS7" s="515"/>
      <c r="AT7" s="508"/>
    </row>
    <row r="8" spans="1:46" ht="55.2" customHeight="1" x14ac:dyDescent="0.35">
      <c r="A8" s="1477"/>
      <c r="B8" s="472">
        <v>2</v>
      </c>
      <c r="C8" s="493">
        <v>531</v>
      </c>
      <c r="D8" s="494"/>
      <c r="E8" s="494"/>
      <c r="F8" s="495"/>
      <c r="G8" s="565" t="s">
        <v>583</v>
      </c>
      <c r="H8" s="515"/>
      <c r="I8" s="515"/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6">
        <v>23</v>
      </c>
      <c r="X8" s="508"/>
      <c r="Y8" s="465"/>
      <c r="Z8" s="469"/>
      <c r="AA8" s="6" t="s">
        <v>152</v>
      </c>
      <c r="AB8" s="527"/>
      <c r="AC8" s="66"/>
      <c r="AD8" s="470"/>
      <c r="AE8" s="6"/>
      <c r="AF8" s="6"/>
      <c r="AG8" s="508"/>
      <c r="AH8" s="509"/>
      <c r="AI8" s="502"/>
      <c r="AJ8" s="502"/>
      <c r="AK8" s="527"/>
      <c r="AM8" s="470"/>
      <c r="AN8" s="6"/>
      <c r="AO8" s="6"/>
      <c r="AP8" s="508"/>
      <c r="AQ8" s="509"/>
      <c r="AR8" s="6"/>
      <c r="AS8" s="6"/>
      <c r="AT8" s="527"/>
    </row>
    <row r="9" spans="1:46" ht="36" customHeight="1" x14ac:dyDescent="0.35">
      <c r="A9" s="1478">
        <v>44961</v>
      </c>
      <c r="B9" s="472">
        <v>1</v>
      </c>
      <c r="C9" s="493"/>
      <c r="D9" s="494"/>
      <c r="E9" s="494"/>
      <c r="F9" s="495"/>
      <c r="G9" s="565"/>
      <c r="H9" s="514"/>
      <c r="I9" s="514"/>
      <c r="J9" s="527"/>
      <c r="K9" s="66"/>
      <c r="L9" s="470"/>
      <c r="M9" s="6"/>
      <c r="N9" s="6"/>
      <c r="O9" s="508"/>
      <c r="P9" s="469"/>
      <c r="Q9" s="515"/>
      <c r="R9" s="502"/>
      <c r="S9" s="527"/>
      <c r="T9" s="66"/>
      <c r="U9" s="470"/>
      <c r="V9" s="6"/>
      <c r="W9" s="6">
        <v>118</v>
      </c>
      <c r="X9" s="508"/>
      <c r="Y9" s="509"/>
      <c r="Z9" s="6"/>
      <c r="AA9" s="515" t="s">
        <v>582</v>
      </c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508"/>
      <c r="AQ9" s="509"/>
      <c r="AR9" s="6"/>
      <c r="AS9" s="6"/>
      <c r="AT9" s="527"/>
    </row>
    <row r="10" spans="1:46" ht="98.5" customHeight="1" x14ac:dyDescent="0.35">
      <c r="A10" s="1477"/>
      <c r="B10" s="472">
        <v>2</v>
      </c>
      <c r="C10" s="493"/>
      <c r="D10" s="494"/>
      <c r="E10" s="494"/>
      <c r="F10" s="495"/>
      <c r="G10" s="566"/>
      <c r="H10" s="514"/>
      <c r="I10" s="515"/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>
        <v>470</v>
      </c>
      <c r="V10" s="6"/>
      <c r="W10" s="6"/>
      <c r="X10" s="508"/>
      <c r="Y10" s="465" t="s">
        <v>583</v>
      </c>
      <c r="Z10" s="469"/>
      <c r="AA10" s="6"/>
      <c r="AB10" s="527"/>
      <c r="AC10" s="66"/>
      <c r="AD10" s="470"/>
      <c r="AE10" s="6">
        <v>23</v>
      </c>
      <c r="AF10" s="6"/>
      <c r="AG10" s="508"/>
      <c r="AH10" s="469"/>
      <c r="AI10" s="502" t="s">
        <v>550</v>
      </c>
      <c r="AJ10" s="6"/>
      <c r="AK10" s="527"/>
      <c r="AM10" s="470"/>
      <c r="AN10" s="6"/>
      <c r="AO10" s="6"/>
      <c r="AP10" s="508"/>
      <c r="AQ10" s="509"/>
      <c r="AR10" s="6"/>
      <c r="AS10" s="6"/>
      <c r="AT10" s="527"/>
    </row>
    <row r="11" spans="1:46" ht="30.75" customHeight="1" x14ac:dyDescent="0.35">
      <c r="A11" s="1478">
        <v>44962</v>
      </c>
      <c r="B11" s="472">
        <v>1</v>
      </c>
      <c r="C11" s="493"/>
      <c r="D11" s="494">
        <v>23</v>
      </c>
      <c r="E11" s="494"/>
      <c r="F11" s="495"/>
      <c r="G11" s="565"/>
      <c r="H11" s="514" t="s">
        <v>276</v>
      </c>
      <c r="I11" s="515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>
        <v>100</v>
      </c>
      <c r="AG11" s="508"/>
      <c r="AH11" s="509"/>
      <c r="AI11" s="6"/>
      <c r="AJ11" s="6" t="s">
        <v>562</v>
      </c>
      <c r="AK11" s="508"/>
      <c r="AM11" s="470"/>
      <c r="AN11" s="6"/>
      <c r="AO11" s="6"/>
      <c r="AP11" s="508"/>
      <c r="AQ11" s="509"/>
      <c r="AR11" s="6"/>
      <c r="AS11" s="6"/>
      <c r="AT11" s="508"/>
    </row>
    <row r="12" spans="1:46" ht="36.65" customHeight="1" x14ac:dyDescent="0.35">
      <c r="A12" s="1477"/>
      <c r="B12" s="472">
        <v>2</v>
      </c>
      <c r="C12" s="493"/>
      <c r="D12" s="494">
        <v>147</v>
      </c>
      <c r="E12" s="494"/>
      <c r="F12" s="495"/>
      <c r="G12" s="566"/>
      <c r="H12" s="515" t="s">
        <v>584</v>
      </c>
      <c r="I12" s="515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509"/>
      <c r="Z12" s="6"/>
      <c r="AA12" s="602"/>
      <c r="AB12" s="527"/>
      <c r="AC12" s="66"/>
      <c r="AD12" s="470">
        <v>270</v>
      </c>
      <c r="AE12" s="6"/>
      <c r="AF12" s="6"/>
      <c r="AG12" s="508"/>
      <c r="AH12" s="509" t="s">
        <v>583</v>
      </c>
      <c r="AI12" s="6"/>
      <c r="AJ12" s="6"/>
      <c r="AK12" s="527"/>
      <c r="AM12" s="470"/>
      <c r="AN12" s="6"/>
      <c r="AO12" s="6"/>
      <c r="AP12" s="508"/>
      <c r="AQ12" s="509"/>
      <c r="AR12" s="6"/>
      <c r="AS12" s="6"/>
      <c r="AT12" s="527"/>
    </row>
    <row r="13" spans="1:46" ht="34.950000000000003" customHeight="1" x14ac:dyDescent="0.35">
      <c r="A13" s="1478">
        <v>44963</v>
      </c>
      <c r="B13" s="472">
        <v>1</v>
      </c>
      <c r="C13" s="493"/>
      <c r="D13" s="494"/>
      <c r="E13" s="494"/>
      <c r="F13" s="495"/>
      <c r="G13" s="566"/>
      <c r="H13" s="514"/>
      <c r="I13" s="515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/>
      <c r="X13" s="495"/>
      <c r="Y13" s="469"/>
      <c r="Z13" s="502"/>
      <c r="AA13" s="6"/>
      <c r="AB13" s="527"/>
      <c r="AC13" s="66"/>
      <c r="AD13" s="470"/>
      <c r="AE13" s="6"/>
      <c r="AF13" s="6">
        <v>35</v>
      </c>
      <c r="AG13" s="495"/>
      <c r="AH13" s="509"/>
      <c r="AI13" s="6"/>
      <c r="AJ13" s="502" t="s">
        <v>585</v>
      </c>
      <c r="AK13" s="527"/>
      <c r="AM13" s="470"/>
      <c r="AN13" s="6"/>
      <c r="AO13" s="6">
        <v>101</v>
      </c>
      <c r="AP13" s="495"/>
      <c r="AQ13" s="509"/>
      <c r="AR13" s="6"/>
      <c r="AS13" s="6" t="s">
        <v>152</v>
      </c>
      <c r="AT13" s="527"/>
    </row>
    <row r="14" spans="1:46" ht="27.65" customHeight="1" x14ac:dyDescent="0.35">
      <c r="A14" s="1477"/>
      <c r="B14" s="472">
        <v>2</v>
      </c>
      <c r="C14" s="493"/>
      <c r="D14" s="494"/>
      <c r="E14" s="494"/>
      <c r="F14" s="495"/>
      <c r="G14" s="566"/>
      <c r="H14" s="515"/>
      <c r="I14" s="515"/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02"/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/>
      <c r="AN14" s="6"/>
      <c r="AO14" s="6"/>
      <c r="AP14" s="495"/>
      <c r="AQ14" s="469"/>
      <c r="AR14" s="6"/>
      <c r="AS14" s="6"/>
      <c r="AT14" s="527"/>
    </row>
    <row r="15" spans="1:46" ht="48" customHeight="1" x14ac:dyDescent="0.35">
      <c r="A15" s="1478">
        <v>44964</v>
      </c>
      <c r="B15" s="472">
        <v>1</v>
      </c>
      <c r="C15" s="493"/>
      <c r="D15" s="494"/>
      <c r="E15" s="6"/>
      <c r="F15" s="495"/>
      <c r="G15" s="566"/>
      <c r="H15" s="515"/>
      <c r="I15" s="515"/>
      <c r="J15" s="527"/>
      <c r="K15" s="66"/>
      <c r="L15" s="470"/>
      <c r="M15" s="6"/>
      <c r="N15" s="6"/>
      <c r="O15" s="495"/>
      <c r="P15" s="470"/>
      <c r="Q15" s="515"/>
      <c r="R15" s="6"/>
      <c r="S15" s="527"/>
      <c r="T15" s="66"/>
      <c r="U15" s="470"/>
      <c r="V15" s="6"/>
      <c r="W15" s="6"/>
      <c r="X15" s="495"/>
      <c r="Y15" s="470"/>
      <c r="Z15" s="515"/>
      <c r="AA15" s="609"/>
      <c r="AB15" s="527"/>
      <c r="AC15" s="66"/>
      <c r="AD15" s="470"/>
      <c r="AE15" s="6"/>
      <c r="AF15" s="66"/>
      <c r="AG15" s="495"/>
      <c r="AI15" s="573"/>
      <c r="AJ15" s="6"/>
      <c r="AK15" s="527"/>
      <c r="AM15" s="470"/>
      <c r="AN15" s="6"/>
      <c r="AO15" s="66"/>
      <c r="AP15" s="495"/>
      <c r="AR15" s="573"/>
      <c r="AS15" s="6"/>
      <c r="AT15" s="527"/>
    </row>
    <row r="16" spans="1:46" ht="31.95" customHeight="1" x14ac:dyDescent="0.35">
      <c r="A16" s="1477"/>
      <c r="B16" s="472">
        <v>2</v>
      </c>
      <c r="C16" s="493"/>
      <c r="D16" s="494"/>
      <c r="E16" s="494"/>
      <c r="F16" s="495"/>
      <c r="G16" s="565"/>
      <c r="H16" s="638"/>
      <c r="I16" s="515"/>
      <c r="J16" s="527"/>
      <c r="K16" s="66"/>
      <c r="L16" s="470"/>
      <c r="M16" s="6"/>
      <c r="N16" s="6"/>
      <c r="O16" s="495"/>
      <c r="P16" s="470"/>
      <c r="Q16" s="6"/>
      <c r="R16" s="6"/>
      <c r="S16" s="527"/>
      <c r="T16" s="66"/>
      <c r="U16" s="470"/>
      <c r="V16" s="6"/>
      <c r="W16" s="6"/>
      <c r="X16" s="495"/>
      <c r="Y16" s="514"/>
      <c r="Z16" s="514"/>
      <c r="AA16" s="6"/>
      <c r="AB16" s="527"/>
      <c r="AC16" s="66"/>
      <c r="AD16" s="470"/>
      <c r="AE16" s="6"/>
      <c r="AF16" s="6"/>
      <c r="AG16" s="495"/>
      <c r="AH16" s="470"/>
      <c r="AI16" s="6"/>
      <c r="AJ16" s="6"/>
      <c r="AK16" s="527"/>
      <c r="AM16" s="470"/>
      <c r="AN16" s="6"/>
      <c r="AO16" s="6"/>
      <c r="AP16" s="495"/>
      <c r="AQ16" s="470"/>
      <c r="AR16" s="6"/>
      <c r="AS16" s="6"/>
      <c r="AT16" s="527"/>
    </row>
    <row r="17" spans="1:46" ht="39" customHeight="1" x14ac:dyDescent="0.35">
      <c r="A17" s="1478">
        <v>44965</v>
      </c>
      <c r="B17" s="534">
        <v>1</v>
      </c>
      <c r="C17" s="493"/>
      <c r="D17" s="494"/>
      <c r="E17" s="494"/>
      <c r="F17" s="495"/>
      <c r="G17" s="566"/>
      <c r="H17" s="514"/>
      <c r="I17" s="515"/>
      <c r="J17" s="527"/>
      <c r="K17" s="66"/>
      <c r="L17" s="470"/>
      <c r="M17" s="6"/>
      <c r="N17" s="6"/>
      <c r="O17" s="495"/>
      <c r="P17" s="470"/>
      <c r="Q17" s="6"/>
      <c r="R17" s="6"/>
      <c r="S17" s="527"/>
      <c r="T17" s="66"/>
      <c r="U17" s="470"/>
      <c r="V17" s="6"/>
      <c r="W17" s="6"/>
      <c r="X17" s="495"/>
      <c r="Y17" s="514"/>
      <c r="Z17" s="514"/>
      <c r="AA17" s="6"/>
      <c r="AB17" s="527"/>
      <c r="AC17" s="66"/>
      <c r="AD17" s="470"/>
      <c r="AE17" s="6"/>
      <c r="AF17" s="6"/>
      <c r="AG17" s="495"/>
      <c r="AH17" s="470"/>
      <c r="AI17" s="6"/>
      <c r="AJ17" s="502"/>
      <c r="AK17" s="527"/>
      <c r="AM17" s="470"/>
      <c r="AN17" s="6"/>
      <c r="AO17" s="6"/>
      <c r="AP17" s="495"/>
      <c r="AQ17" s="470"/>
      <c r="AR17" s="6"/>
      <c r="AS17" s="502"/>
      <c r="AT17" s="527"/>
    </row>
    <row r="18" spans="1:46" ht="54" customHeight="1" x14ac:dyDescent="0.35">
      <c r="A18" s="1477"/>
      <c r="B18" s="472">
        <v>2</v>
      </c>
      <c r="C18" s="493"/>
      <c r="D18" s="494"/>
      <c r="E18" s="494">
        <v>33</v>
      </c>
      <c r="F18" s="495"/>
      <c r="G18" s="565"/>
      <c r="H18" s="515"/>
      <c r="I18" s="515" t="s">
        <v>567</v>
      </c>
      <c r="J18" s="527"/>
      <c r="K18" s="66"/>
      <c r="L18" s="470"/>
      <c r="M18" s="6"/>
      <c r="N18" s="6"/>
      <c r="O18" s="495"/>
      <c r="P18" s="470"/>
      <c r="Q18" s="6"/>
      <c r="R18" s="6"/>
      <c r="S18" s="527"/>
      <c r="T18" s="66"/>
      <c r="U18" s="470"/>
      <c r="V18" s="6"/>
      <c r="W18" s="6"/>
      <c r="X18" s="495"/>
      <c r="Y18" s="465"/>
      <c r="Z18" s="6"/>
      <c r="AA18" s="502"/>
      <c r="AB18" s="527"/>
      <c r="AC18" s="66"/>
      <c r="AD18" s="470"/>
      <c r="AE18" s="6"/>
      <c r="AF18" s="6"/>
      <c r="AG18" s="495"/>
      <c r="AH18" s="470"/>
      <c r="AI18" s="6"/>
      <c r="AJ18" s="502"/>
      <c r="AK18" s="527"/>
      <c r="AM18" s="470"/>
      <c r="AN18" s="6"/>
      <c r="AO18" s="6"/>
      <c r="AP18" s="495"/>
      <c r="AQ18" s="470"/>
      <c r="AR18" s="6"/>
      <c r="AS18" s="502"/>
      <c r="AT18" s="527"/>
    </row>
    <row r="19" spans="1:46" ht="33.65" customHeight="1" x14ac:dyDescent="0.35">
      <c r="A19" s="1478">
        <v>44966</v>
      </c>
      <c r="B19" s="472">
        <v>1</v>
      </c>
      <c r="C19" s="66"/>
      <c r="D19" s="494"/>
      <c r="E19" s="494"/>
      <c r="F19" s="495"/>
      <c r="G19" s="470"/>
      <c r="H19" s="6"/>
      <c r="I19" s="6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502"/>
      <c r="AB19" s="527"/>
      <c r="AC19" s="66"/>
      <c r="AD19" s="470"/>
      <c r="AE19" s="6"/>
      <c r="AF19" s="6"/>
      <c r="AG19" s="495"/>
      <c r="AH19" s="470"/>
      <c r="AI19" s="6"/>
      <c r="AJ19" s="6"/>
      <c r="AK19" s="527"/>
      <c r="AM19" s="470"/>
      <c r="AN19" s="6"/>
      <c r="AO19" s="6"/>
      <c r="AP19" s="495"/>
      <c r="AQ19" s="470"/>
      <c r="AR19" s="6"/>
      <c r="AS19" s="6"/>
      <c r="AT19" s="527"/>
    </row>
    <row r="20" spans="1:46" ht="31.2" customHeight="1" x14ac:dyDescent="0.35">
      <c r="A20" s="1477"/>
      <c r="B20" s="472">
        <v>2</v>
      </c>
      <c r="C20" s="493"/>
      <c r="D20" s="494"/>
      <c r="E20" s="494"/>
      <c r="F20" s="495"/>
      <c r="G20" s="470"/>
      <c r="H20" s="502"/>
      <c r="I20" s="605"/>
      <c r="J20" s="527"/>
      <c r="K20" s="66"/>
      <c r="L20" s="470"/>
      <c r="M20" s="6"/>
      <c r="N20" s="6"/>
      <c r="O20" s="495"/>
      <c r="P20" s="470"/>
      <c r="Q20" s="502"/>
      <c r="R20" s="605"/>
      <c r="S20" s="527"/>
      <c r="T20" s="66"/>
      <c r="U20" s="470"/>
      <c r="V20" s="214"/>
      <c r="W20" s="6">
        <v>15</v>
      </c>
      <c r="X20" s="495"/>
      <c r="Y20" s="470"/>
      <c r="Z20" s="6"/>
      <c r="AA20" s="502" t="s">
        <v>325</v>
      </c>
      <c r="AB20" s="527"/>
      <c r="AC20" s="66"/>
      <c r="AD20" s="470"/>
      <c r="AE20" s="6"/>
      <c r="AF20" s="6"/>
      <c r="AG20" s="495"/>
      <c r="AH20" s="470"/>
      <c r="AI20" s="502"/>
      <c r="AJ20" s="605"/>
      <c r="AK20" s="527"/>
      <c r="AM20" s="470"/>
      <c r="AN20" s="6"/>
      <c r="AO20" s="6">
        <v>35</v>
      </c>
      <c r="AP20" s="495"/>
      <c r="AQ20" s="470"/>
      <c r="AR20" s="502"/>
      <c r="AS20" s="605" t="s">
        <v>325</v>
      </c>
      <c r="AT20" s="527"/>
    </row>
    <row r="21" spans="1:46" ht="39.65" customHeight="1" x14ac:dyDescent="0.35">
      <c r="A21" s="1478">
        <v>44967</v>
      </c>
      <c r="B21" s="472">
        <v>1</v>
      </c>
      <c r="C21" s="493"/>
      <c r="D21" s="494"/>
      <c r="E21" s="494">
        <v>24</v>
      </c>
      <c r="F21" s="495"/>
      <c r="G21" s="569"/>
      <c r="H21" s="514"/>
      <c r="I21" s="514" t="s">
        <v>97</v>
      </c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70"/>
      <c r="Z21" s="6"/>
      <c r="AA21" s="502"/>
      <c r="AB21" s="527"/>
      <c r="AC21" s="66"/>
      <c r="AD21" s="470"/>
      <c r="AE21" s="6"/>
      <c r="AF21" s="6"/>
      <c r="AG21" s="495"/>
      <c r="AH21" s="470"/>
      <c r="AI21" s="6"/>
      <c r="AJ21" s="6"/>
      <c r="AK21" s="607"/>
      <c r="AM21" s="470"/>
      <c r="AN21" s="6"/>
      <c r="AO21" s="6">
        <v>25</v>
      </c>
      <c r="AP21" s="495"/>
      <c r="AQ21" s="470"/>
      <c r="AR21" s="502"/>
      <c r="AS21" s="47" t="s">
        <v>325</v>
      </c>
      <c r="AT21" s="527"/>
    </row>
    <row r="22" spans="1:46" ht="31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515"/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>
        <v>27</v>
      </c>
      <c r="X22" s="495"/>
      <c r="Y22" s="470"/>
      <c r="Z22" s="6"/>
      <c r="AA22" s="502" t="s">
        <v>325</v>
      </c>
      <c r="AB22" s="527"/>
      <c r="AC22" s="66"/>
      <c r="AD22" s="470"/>
      <c r="AE22" s="6"/>
      <c r="AF22" s="6"/>
      <c r="AG22" s="495"/>
      <c r="AH22" s="465"/>
      <c r="AI22" s="6"/>
      <c r="AJ22" s="6"/>
      <c r="AK22" s="607"/>
      <c r="AM22" s="470"/>
      <c r="AN22" s="6"/>
      <c r="AO22" s="6">
        <v>40</v>
      </c>
      <c r="AP22" s="495"/>
      <c r="AQ22" s="470"/>
      <c r="AR22" s="502"/>
      <c r="AS22" s="47" t="s">
        <v>152</v>
      </c>
      <c r="AT22" s="527"/>
    </row>
    <row r="23" spans="1:46" ht="37.950000000000003" customHeight="1" x14ac:dyDescent="0.35">
      <c r="A23" s="1478">
        <v>44968</v>
      </c>
      <c r="B23" s="534">
        <v>1</v>
      </c>
      <c r="C23" s="493"/>
      <c r="D23" s="494"/>
      <c r="E23" s="494"/>
      <c r="F23" s="495"/>
      <c r="G23" s="566"/>
      <c r="H23" s="514"/>
      <c r="I23" s="515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565"/>
      <c r="Z23" s="514"/>
      <c r="AA23" s="515"/>
      <c r="AB23" s="527"/>
      <c r="AC23" s="66"/>
      <c r="AD23" s="470"/>
      <c r="AE23" s="6"/>
      <c r="AF23" s="6"/>
      <c r="AG23" s="495"/>
      <c r="AH23" s="6"/>
      <c r="AI23" s="514"/>
      <c r="AJ23" s="515"/>
      <c r="AK23" s="607"/>
      <c r="AM23" s="470"/>
      <c r="AN23" s="6"/>
      <c r="AO23" s="6"/>
      <c r="AP23" s="495"/>
      <c r="AQ23" s="6"/>
      <c r="AR23" s="514"/>
      <c r="AS23" s="573"/>
      <c r="AT23" s="527"/>
    </row>
    <row r="24" spans="1:46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4"/>
      <c r="I24" s="515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>
        <v>83</v>
      </c>
      <c r="W24" s="6"/>
      <c r="X24" s="495"/>
      <c r="Y24" s="566"/>
      <c r="Z24" s="515" t="s">
        <v>586</v>
      </c>
      <c r="AA24" s="515"/>
      <c r="AB24" s="527"/>
      <c r="AC24" s="66"/>
      <c r="AD24" s="470"/>
      <c r="AE24" s="6"/>
      <c r="AF24" s="6"/>
      <c r="AG24" s="495"/>
      <c r="AH24" s="6"/>
      <c r="AI24" s="514"/>
      <c r="AJ24" s="6"/>
      <c r="AK24" s="607"/>
      <c r="AM24" s="470"/>
      <c r="AN24" s="6"/>
      <c r="AO24" s="6"/>
      <c r="AP24" s="495"/>
      <c r="AQ24" s="6"/>
      <c r="AR24" s="514"/>
      <c r="AS24" s="636"/>
      <c r="AT24" s="527"/>
    </row>
    <row r="25" spans="1:46" ht="46.2" customHeight="1" x14ac:dyDescent="0.35">
      <c r="A25" s="1478">
        <v>44969</v>
      </c>
      <c r="B25" s="472">
        <v>1</v>
      </c>
      <c r="C25" s="493"/>
      <c r="D25" s="494"/>
      <c r="E25" s="494"/>
      <c r="F25" s="495"/>
      <c r="G25" s="566"/>
      <c r="H25" s="514"/>
      <c r="I25" s="515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70"/>
      <c r="Z25" s="502"/>
      <c r="AA25" s="502"/>
      <c r="AB25" s="527"/>
      <c r="AC25" s="66"/>
      <c r="AD25" s="470"/>
      <c r="AE25" s="6"/>
      <c r="AF25" s="6"/>
      <c r="AG25" s="495"/>
      <c r="AH25" s="6"/>
      <c r="AI25" s="6"/>
      <c r="AJ25" s="6"/>
      <c r="AK25" s="607"/>
      <c r="AM25" s="470"/>
      <c r="AN25" s="6"/>
      <c r="AO25" s="6"/>
      <c r="AP25" s="495"/>
      <c r="AQ25" s="6"/>
      <c r="AR25" s="6"/>
      <c r="AS25" s="47"/>
      <c r="AT25" s="527"/>
    </row>
    <row r="26" spans="1:46" ht="42" customHeight="1" x14ac:dyDescent="0.35">
      <c r="A26" s="1477"/>
      <c r="B26" s="472">
        <v>2</v>
      </c>
      <c r="C26" s="493"/>
      <c r="D26" s="494"/>
      <c r="E26" s="494">
        <v>80</v>
      </c>
      <c r="F26" s="495"/>
      <c r="G26" s="566"/>
      <c r="H26" s="515" t="s">
        <v>587</v>
      </c>
      <c r="I26" s="573"/>
      <c r="J26" s="527"/>
      <c r="K26" s="66"/>
      <c r="L26" s="470"/>
      <c r="M26" s="6"/>
      <c r="N26" s="6"/>
      <c r="O26" s="495"/>
      <c r="P26" s="566"/>
      <c r="Q26" s="515"/>
      <c r="R26" s="515"/>
      <c r="S26" s="527"/>
      <c r="T26" s="66"/>
      <c r="U26" s="470"/>
      <c r="V26" s="494"/>
      <c r="W26" s="6"/>
      <c r="X26" s="495"/>
      <c r="Y26" s="566"/>
      <c r="Z26" s="515"/>
      <c r="AA26" s="515"/>
      <c r="AB26" s="527"/>
      <c r="AC26" s="66"/>
      <c r="AD26" s="470"/>
      <c r="AE26" s="494"/>
      <c r="AF26" s="6"/>
      <c r="AG26" s="495"/>
      <c r="AH26" s="6"/>
      <c r="AI26" s="6"/>
      <c r="AJ26" s="6"/>
      <c r="AK26" s="607"/>
      <c r="AM26" s="470"/>
      <c r="AN26" s="494"/>
      <c r="AO26" s="6"/>
      <c r="AP26" s="495"/>
      <c r="AQ26" s="6"/>
      <c r="AR26" s="6"/>
      <c r="AS26" s="47"/>
      <c r="AT26" s="527"/>
    </row>
    <row r="27" spans="1:46" ht="49.95" customHeight="1" x14ac:dyDescent="0.35">
      <c r="A27" s="1478">
        <v>44970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/>
      <c r="X27" s="508"/>
      <c r="Y27" s="566"/>
      <c r="Z27" s="514"/>
      <c r="AA27" s="515"/>
      <c r="AB27" s="527"/>
      <c r="AC27" s="66"/>
      <c r="AD27" s="470"/>
      <c r="AE27" s="6"/>
      <c r="AF27" s="6"/>
      <c r="AG27" s="508"/>
      <c r="AH27" s="6"/>
      <c r="AI27" s="6"/>
      <c r="AJ27" s="515"/>
      <c r="AK27" s="607"/>
      <c r="AM27" s="470"/>
      <c r="AN27" s="6"/>
      <c r="AO27" s="6"/>
      <c r="AP27" s="508"/>
      <c r="AQ27" s="6"/>
      <c r="AR27" s="6"/>
      <c r="AS27" s="573"/>
      <c r="AT27" s="527"/>
    </row>
    <row r="28" spans="1:46" ht="49.2" customHeight="1" x14ac:dyDescent="0.35">
      <c r="A28" s="1477"/>
      <c r="B28" s="472">
        <v>2</v>
      </c>
      <c r="C28" s="493"/>
      <c r="D28" s="494"/>
      <c r="E28" s="494"/>
      <c r="F28" s="495"/>
      <c r="G28" s="515"/>
      <c r="H28" s="515"/>
      <c r="I28" s="573"/>
      <c r="J28" s="527"/>
      <c r="K28" s="66"/>
      <c r="L28" s="470"/>
      <c r="M28" s="6"/>
      <c r="N28" s="6"/>
      <c r="O28" s="495"/>
      <c r="P28" s="515"/>
      <c r="Q28" s="515"/>
      <c r="R28" s="515"/>
      <c r="S28" s="526"/>
      <c r="T28" s="66"/>
      <c r="U28" s="470"/>
      <c r="V28" s="6"/>
      <c r="W28" s="66"/>
      <c r="X28" s="495"/>
      <c r="Y28" s="515"/>
      <c r="Z28" s="6"/>
      <c r="AA28" s="573"/>
      <c r="AB28" s="527"/>
      <c r="AC28" s="66"/>
      <c r="AD28" s="470"/>
      <c r="AE28" s="6"/>
      <c r="AF28" s="6"/>
      <c r="AG28" s="495"/>
      <c r="AH28" s="502"/>
      <c r="AI28" s="6"/>
      <c r="AJ28" s="573"/>
      <c r="AK28" s="526"/>
      <c r="AM28" s="470"/>
      <c r="AN28" s="6"/>
      <c r="AO28" s="6"/>
      <c r="AP28" s="495"/>
      <c r="AQ28" s="502"/>
      <c r="AR28" s="6"/>
      <c r="AS28" s="573"/>
      <c r="AT28" s="526"/>
    </row>
    <row r="29" spans="1:46" ht="45" customHeight="1" x14ac:dyDescent="0.35">
      <c r="A29" s="1478">
        <v>44971</v>
      </c>
      <c r="B29" s="472">
        <v>1</v>
      </c>
      <c r="C29" s="493"/>
      <c r="D29" s="494"/>
      <c r="E29" s="494"/>
      <c r="F29" s="495"/>
      <c r="G29" s="565"/>
      <c r="H29" s="514"/>
      <c r="I29" s="573"/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/>
      <c r="X29" s="495"/>
      <c r="Y29" s="566"/>
      <c r="Z29" s="514"/>
      <c r="AA29" s="573"/>
      <c r="AB29" s="527"/>
      <c r="AC29" s="66"/>
      <c r="AD29" s="470"/>
      <c r="AE29" s="6"/>
      <c r="AF29" s="6"/>
      <c r="AG29" s="495"/>
      <c r="AH29" s="566"/>
      <c r="AI29" s="515"/>
      <c r="AJ29" s="515"/>
      <c r="AK29" s="508"/>
      <c r="AM29" s="470"/>
      <c r="AN29" s="6"/>
      <c r="AO29" s="6"/>
      <c r="AP29" s="495"/>
      <c r="AQ29" s="566"/>
      <c r="AR29" s="514"/>
      <c r="AS29" s="515"/>
      <c r="AT29" s="508"/>
    </row>
    <row r="30" spans="1:46" ht="30.6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4"/>
      <c r="I30" s="515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>
        <v>133</v>
      </c>
      <c r="V30" s="6"/>
      <c r="W30" s="6"/>
      <c r="X30" s="495"/>
      <c r="Y30" s="565" t="s">
        <v>588</v>
      </c>
      <c r="Z30" s="514"/>
      <c r="AA30" s="515"/>
      <c r="AB30" s="508"/>
      <c r="AC30" s="66"/>
      <c r="AD30" s="470"/>
      <c r="AE30" s="6"/>
      <c r="AF30" s="6"/>
      <c r="AG30" s="495"/>
      <c r="AH30" s="566"/>
      <c r="AI30" s="514"/>
      <c r="AJ30" s="515"/>
      <c r="AK30" s="508"/>
      <c r="AM30" s="470"/>
      <c r="AN30" s="6"/>
      <c r="AO30" s="6"/>
      <c r="AP30" s="495"/>
      <c r="AQ30" s="566"/>
      <c r="AR30" s="514"/>
      <c r="AS30" s="515"/>
      <c r="AT30" s="508"/>
    </row>
    <row r="31" spans="1:46" ht="39.65" customHeight="1" x14ac:dyDescent="0.35">
      <c r="A31" s="1478">
        <v>44972</v>
      </c>
      <c r="B31" s="472">
        <v>1</v>
      </c>
      <c r="C31" s="493"/>
      <c r="D31" s="494">
        <v>12</v>
      </c>
      <c r="E31" s="494"/>
      <c r="F31" s="495"/>
      <c r="G31" s="566"/>
      <c r="H31" s="514" t="s">
        <v>276</v>
      </c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469"/>
      <c r="Z31" s="6"/>
      <c r="AA31" s="6"/>
      <c r="AB31" s="527"/>
      <c r="AC31" s="66"/>
      <c r="AD31" s="470"/>
      <c r="AE31" s="6"/>
      <c r="AF31" s="6"/>
      <c r="AG31" s="495"/>
      <c r="AH31" s="509"/>
      <c r="AI31" s="6"/>
      <c r="AJ31" s="6"/>
      <c r="AK31" s="527"/>
      <c r="AM31" s="470"/>
      <c r="AN31" s="6"/>
      <c r="AO31" s="6"/>
      <c r="AP31" s="495"/>
      <c r="AQ31" s="509"/>
      <c r="AR31" s="6"/>
      <c r="AS31" s="6"/>
      <c r="AT31" s="527"/>
    </row>
    <row r="32" spans="1:46" ht="28.2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14"/>
      <c r="I32" s="573"/>
      <c r="J32" s="568"/>
      <c r="K32" s="66"/>
      <c r="L32" s="470"/>
      <c r="M32" s="6"/>
      <c r="N32" s="6"/>
      <c r="O32" s="508"/>
      <c r="P32" s="509"/>
      <c r="Q32" s="6"/>
      <c r="R32" s="6"/>
      <c r="S32" s="627"/>
      <c r="T32" s="66"/>
      <c r="U32" s="470"/>
      <c r="V32" s="6"/>
      <c r="W32" s="6"/>
      <c r="X32" s="508"/>
      <c r="Y32" s="509"/>
      <c r="Z32" s="502"/>
      <c r="AA32" s="573"/>
      <c r="AB32" s="527"/>
      <c r="AC32" s="66"/>
      <c r="AD32" s="470"/>
      <c r="AE32" s="6"/>
      <c r="AF32" s="6"/>
      <c r="AG32" s="508"/>
      <c r="AH32" s="509"/>
      <c r="AI32" s="502"/>
      <c r="AJ32" s="6"/>
      <c r="AK32" s="508"/>
      <c r="AM32" s="470"/>
      <c r="AN32" s="6"/>
      <c r="AO32" s="6"/>
      <c r="AP32" s="508"/>
      <c r="AQ32" s="509"/>
      <c r="AR32" s="502"/>
      <c r="AS32" s="6"/>
      <c r="AT32" s="508"/>
    </row>
    <row r="33" spans="1:46" ht="43.2" customHeight="1" x14ac:dyDescent="0.35">
      <c r="A33" s="1478">
        <v>44973</v>
      </c>
      <c r="B33" s="472">
        <v>1</v>
      </c>
      <c r="C33" s="493"/>
      <c r="D33" s="494"/>
      <c r="E33" s="494"/>
      <c r="F33" s="495"/>
      <c r="G33" s="566"/>
      <c r="H33" s="514"/>
      <c r="I33" s="573"/>
      <c r="J33" s="568"/>
      <c r="K33" s="66"/>
      <c r="L33" s="470"/>
      <c r="M33" s="6"/>
      <c r="N33" s="6"/>
      <c r="O33" s="508"/>
      <c r="P33" s="509"/>
      <c r="Q33" s="6"/>
      <c r="R33" s="6"/>
      <c r="S33" s="508"/>
      <c r="T33" s="66"/>
      <c r="U33" s="470"/>
      <c r="V33" s="6"/>
      <c r="W33" s="6"/>
      <c r="X33" s="508"/>
      <c r="Y33" s="509"/>
      <c r="Z33" s="6"/>
      <c r="AA33" s="502"/>
      <c r="AB33" s="508"/>
      <c r="AC33" s="66"/>
      <c r="AD33" s="470">
        <v>26</v>
      </c>
      <c r="AE33" s="6"/>
      <c r="AF33" s="6"/>
      <c r="AG33" s="508"/>
      <c r="AH33" s="509" t="s">
        <v>142</v>
      </c>
      <c r="AI33" s="502"/>
      <c r="AJ33" s="6"/>
      <c r="AK33" s="508"/>
      <c r="AM33" s="470"/>
      <c r="AN33" s="6"/>
      <c r="AO33" s="6"/>
      <c r="AP33" s="508"/>
      <c r="AQ33" s="509"/>
      <c r="AR33" s="502"/>
      <c r="AS33" s="6"/>
      <c r="AT33" s="508"/>
    </row>
    <row r="34" spans="1:46" ht="37.200000000000003" customHeight="1" x14ac:dyDescent="0.35">
      <c r="A34" s="1477"/>
      <c r="B34" s="534">
        <v>2</v>
      </c>
      <c r="C34" s="494"/>
      <c r="D34" s="494"/>
      <c r="E34" s="494"/>
      <c r="F34" s="637"/>
      <c r="G34" s="566"/>
      <c r="H34" s="515"/>
      <c r="I34" s="515"/>
      <c r="J34" s="568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>
        <v>61</v>
      </c>
      <c r="V34" s="6"/>
      <c r="W34" s="6"/>
      <c r="X34" s="508"/>
      <c r="Y34" s="6" t="s">
        <v>142</v>
      </c>
      <c r="Z34" s="502"/>
      <c r="AA34" s="515"/>
      <c r="AB34" s="527"/>
      <c r="AC34" s="66"/>
      <c r="AD34" s="470"/>
      <c r="AE34" s="6"/>
      <c r="AF34" s="6">
        <v>40</v>
      </c>
      <c r="AG34" s="508"/>
      <c r="AH34" s="509"/>
      <c r="AI34" s="6"/>
      <c r="AJ34" s="6" t="s">
        <v>589</v>
      </c>
      <c r="AK34" s="508"/>
      <c r="AM34" s="470"/>
      <c r="AN34" s="6"/>
      <c r="AO34" s="6">
        <v>50</v>
      </c>
      <c r="AP34" s="508"/>
      <c r="AQ34" s="509"/>
      <c r="AR34" s="6"/>
      <c r="AS34" s="47" t="s">
        <v>152</v>
      </c>
      <c r="AT34" s="508"/>
    </row>
    <row r="35" spans="1:46" ht="37.950000000000003" customHeight="1" x14ac:dyDescent="0.35">
      <c r="A35" s="1478">
        <v>44974</v>
      </c>
      <c r="B35" s="472">
        <v>1</v>
      </c>
      <c r="C35" s="494"/>
      <c r="D35" s="494"/>
      <c r="E35" s="47"/>
      <c r="F35" s="636"/>
      <c r="G35" s="465"/>
      <c r="H35" s="509"/>
      <c r="I35" s="502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/>
      <c r="X35" s="526"/>
      <c r="Y35" s="465"/>
      <c r="Z35" s="6"/>
      <c r="AA35" s="502"/>
      <c r="AB35" s="508"/>
      <c r="AC35" s="66"/>
      <c r="AD35" s="470"/>
      <c r="AE35" s="6"/>
      <c r="AF35" s="6"/>
      <c r="AG35" s="469"/>
      <c r="AH35" s="465"/>
      <c r="AI35" s="6"/>
      <c r="AJ35" s="502"/>
      <c r="AK35" s="508"/>
      <c r="AM35" s="470"/>
      <c r="AN35" s="6"/>
      <c r="AO35" s="47"/>
      <c r="AP35" s="526"/>
      <c r="AQ35" s="465"/>
      <c r="AR35" s="6"/>
      <c r="AS35" s="502"/>
      <c r="AT35" s="508"/>
    </row>
    <row r="36" spans="1:46" ht="41.5" customHeight="1" x14ac:dyDescent="0.35">
      <c r="A36" s="1477"/>
      <c r="B36" s="472">
        <v>2</v>
      </c>
      <c r="C36" s="6"/>
      <c r="D36" s="6"/>
      <c r="E36" s="47"/>
      <c r="F36" s="636"/>
      <c r="G36" s="465"/>
      <c r="H36" s="469"/>
      <c r="I36" s="502"/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/>
      <c r="W36" s="6"/>
      <c r="X36" s="469"/>
      <c r="Y36" s="465"/>
      <c r="Z36" s="502"/>
      <c r="AA36" s="502"/>
      <c r="AB36" s="508"/>
      <c r="AC36" s="66"/>
      <c r="AD36" s="470"/>
      <c r="AE36" s="6"/>
      <c r="AF36" s="47"/>
      <c r="AG36" s="526"/>
      <c r="AH36" s="465"/>
      <c r="AI36" s="502"/>
      <c r="AJ36" s="502"/>
      <c r="AK36" s="508"/>
      <c r="AM36" s="470"/>
      <c r="AN36" s="6"/>
      <c r="AO36" s="6"/>
      <c r="AP36" s="469"/>
      <c r="AQ36" s="465"/>
      <c r="AR36" s="502"/>
      <c r="AS36" s="502"/>
      <c r="AT36" s="508"/>
    </row>
    <row r="37" spans="1:46" ht="38.5" customHeight="1" x14ac:dyDescent="0.35">
      <c r="A37" s="1478">
        <v>44975</v>
      </c>
      <c r="B37" s="534">
        <v>1</v>
      </c>
      <c r="C37" s="494"/>
      <c r="D37" s="494"/>
      <c r="E37" s="6"/>
      <c r="F37" s="47"/>
      <c r="G37" s="635"/>
      <c r="H37" s="469"/>
      <c r="I37" s="502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/>
      <c r="X37" s="508"/>
      <c r="Y37" s="509"/>
      <c r="Z37" s="502"/>
      <c r="AA37" s="502"/>
      <c r="AB37" s="527"/>
      <c r="AC37" s="66"/>
      <c r="AD37" s="470"/>
      <c r="AE37" s="6"/>
      <c r="AF37" s="6"/>
      <c r="AG37" s="508"/>
      <c r="AH37" s="509"/>
      <c r="AI37" s="6"/>
      <c r="AJ37" s="6"/>
      <c r="AK37" s="508"/>
      <c r="AM37" s="470"/>
      <c r="AN37" s="6"/>
      <c r="AO37" s="6"/>
      <c r="AP37" s="508"/>
      <c r="AQ37" s="509"/>
      <c r="AR37" s="6"/>
      <c r="AS37" s="6"/>
      <c r="AT37" s="508"/>
    </row>
    <row r="38" spans="1:46" ht="36" customHeight="1" x14ac:dyDescent="0.35">
      <c r="A38" s="1477"/>
      <c r="B38" s="472">
        <v>2</v>
      </c>
      <c r="C38" s="493"/>
      <c r="D38" s="494"/>
      <c r="E38" s="494">
        <v>55</v>
      </c>
      <c r="F38" s="637"/>
      <c r="G38" s="566"/>
      <c r="H38" s="469" t="s">
        <v>97</v>
      </c>
      <c r="I38" s="502"/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/>
      <c r="V38" s="6"/>
      <c r="W38" s="6"/>
      <c r="X38" s="508"/>
      <c r="Y38" s="509"/>
      <c r="Z38" s="502"/>
      <c r="AA38" s="6"/>
      <c r="AB38" s="527"/>
      <c r="AC38" s="66"/>
      <c r="AD38" s="470"/>
      <c r="AE38" s="6"/>
      <c r="AF38" s="6"/>
      <c r="AG38" s="508"/>
      <c r="AH38" s="469"/>
      <c r="AI38" s="6"/>
      <c r="AJ38" s="502"/>
      <c r="AK38" s="527"/>
      <c r="AM38" s="470"/>
      <c r="AN38" s="6">
        <v>65</v>
      </c>
      <c r="AO38" s="6"/>
      <c r="AP38" s="508"/>
      <c r="AQ38" s="509"/>
      <c r="AR38" s="6" t="s">
        <v>590</v>
      </c>
      <c r="AS38" s="502"/>
      <c r="AT38" s="527"/>
    </row>
    <row r="39" spans="1:46" ht="39" customHeight="1" x14ac:dyDescent="0.35">
      <c r="A39" s="1478">
        <v>44976</v>
      </c>
      <c r="B39" s="472">
        <v>1</v>
      </c>
      <c r="C39" s="493"/>
      <c r="D39" s="494"/>
      <c r="E39" s="494"/>
      <c r="F39" s="495"/>
      <c r="G39" s="566"/>
      <c r="H39" s="514"/>
      <c r="I39" s="573"/>
      <c r="J39" s="568"/>
      <c r="K39" s="66"/>
      <c r="L39" s="470"/>
      <c r="M39" s="6"/>
      <c r="N39" s="6"/>
      <c r="O39" s="508"/>
      <c r="P39" s="509"/>
      <c r="Q39" s="514"/>
      <c r="R39" s="6"/>
      <c r="S39" s="508"/>
      <c r="T39" s="66"/>
      <c r="U39" s="470"/>
      <c r="V39" s="6"/>
      <c r="W39" s="6"/>
      <c r="X39" s="508"/>
      <c r="Y39" s="509"/>
      <c r="Z39" s="502"/>
      <c r="AA39" s="502"/>
      <c r="AB39" s="527"/>
      <c r="AC39" s="66"/>
      <c r="AD39" s="470"/>
      <c r="AE39" s="6"/>
      <c r="AF39" s="6"/>
      <c r="AG39" s="508"/>
      <c r="AH39" s="509"/>
      <c r="AI39" s="6"/>
      <c r="AJ39" s="6"/>
      <c r="AK39" s="508"/>
      <c r="AM39" s="470"/>
      <c r="AN39" s="6"/>
      <c r="AO39" s="6"/>
      <c r="AP39" s="508"/>
      <c r="AQ39" s="509"/>
      <c r="AR39" s="6"/>
      <c r="AS39" s="6"/>
      <c r="AT39" s="508"/>
    </row>
    <row r="40" spans="1:46" ht="35.5" customHeight="1" x14ac:dyDescent="0.35">
      <c r="A40" s="1477"/>
      <c r="B40" s="472">
        <v>2</v>
      </c>
      <c r="C40" s="493"/>
      <c r="D40" s="494"/>
      <c r="E40" s="494">
        <v>20</v>
      </c>
      <c r="F40" s="508"/>
      <c r="G40" s="566"/>
      <c r="H40" s="514"/>
      <c r="I40" s="573" t="s">
        <v>325</v>
      </c>
      <c r="J40" s="527"/>
      <c r="K40" s="66"/>
      <c r="L40" s="470"/>
      <c r="M40" s="6"/>
      <c r="N40" s="6"/>
      <c r="O40" s="508"/>
      <c r="P40" s="509"/>
      <c r="Q40" s="6"/>
      <c r="R40" s="6"/>
      <c r="S40" s="527"/>
      <c r="T40" s="66"/>
      <c r="U40" s="470">
        <v>35</v>
      </c>
      <c r="V40" s="6"/>
      <c r="W40" s="6">
        <v>30</v>
      </c>
      <c r="X40" s="508"/>
      <c r="Y40" s="509" t="s">
        <v>591</v>
      </c>
      <c r="Z40" s="502"/>
      <c r="AA40" s="502" t="s">
        <v>592</v>
      </c>
      <c r="AB40" s="527"/>
      <c r="AC40" s="66"/>
      <c r="AD40" s="470"/>
      <c r="AE40" s="6"/>
      <c r="AF40" s="6">
        <v>31</v>
      </c>
      <c r="AG40" s="508"/>
      <c r="AH40" s="509"/>
      <c r="AI40" s="6"/>
      <c r="AJ40" s="502" t="s">
        <v>593</v>
      </c>
      <c r="AK40" s="527"/>
      <c r="AM40" s="470"/>
      <c r="AN40" s="6"/>
      <c r="AO40" s="6"/>
      <c r="AP40" s="508"/>
      <c r="AQ40" s="509"/>
      <c r="AR40" s="6"/>
      <c r="AS40" s="6"/>
      <c r="AT40" s="527"/>
    </row>
    <row r="41" spans="1:46" ht="39.65" customHeight="1" x14ac:dyDescent="0.35">
      <c r="A41" s="1478">
        <v>44977</v>
      </c>
      <c r="B41" s="472">
        <v>1</v>
      </c>
      <c r="C41" s="493"/>
      <c r="D41" s="494"/>
      <c r="E41" s="494"/>
      <c r="F41" s="508"/>
      <c r="G41" s="566"/>
      <c r="H41" s="515"/>
      <c r="I41" s="573"/>
      <c r="J41" s="568"/>
      <c r="K41" s="66"/>
      <c r="L41" s="470"/>
      <c r="M41" s="6"/>
      <c r="N41" s="6"/>
      <c r="O41" s="508"/>
      <c r="P41" s="509"/>
      <c r="Q41" s="6"/>
      <c r="R41" s="6"/>
      <c r="S41" s="527"/>
      <c r="T41" s="66"/>
      <c r="U41" s="470"/>
      <c r="V41" s="6"/>
      <c r="W41" s="6"/>
      <c r="X41" s="508"/>
      <c r="Y41" s="509"/>
      <c r="Z41" s="502"/>
      <c r="AA41" s="502"/>
      <c r="AB41" s="508"/>
      <c r="AC41" s="66"/>
      <c r="AD41" s="470"/>
      <c r="AE41" s="6"/>
      <c r="AF41" s="6"/>
      <c r="AG41" s="508"/>
      <c r="AH41" s="509"/>
      <c r="AI41" s="502"/>
      <c r="AJ41" s="6"/>
      <c r="AK41" s="508"/>
      <c r="AM41" s="470"/>
      <c r="AN41" s="6"/>
      <c r="AO41" s="6"/>
      <c r="AP41" s="508"/>
      <c r="AQ41" s="509"/>
      <c r="AR41" s="502"/>
      <c r="AS41" s="6"/>
      <c r="AT41" s="508"/>
    </row>
    <row r="42" spans="1:46" ht="33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4"/>
      <c r="I42" s="573"/>
      <c r="J42" s="568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/>
      <c r="X42" s="508"/>
      <c r="Y42" s="469"/>
      <c r="Z42" s="6"/>
      <c r="AA42" s="502"/>
      <c r="AB42" s="527"/>
      <c r="AC42" s="66"/>
      <c r="AD42" s="470">
        <v>25</v>
      </c>
      <c r="AE42" s="6"/>
      <c r="AF42" s="6">
        <v>13</v>
      </c>
      <c r="AG42" s="508"/>
      <c r="AH42" s="509" t="s">
        <v>113</v>
      </c>
      <c r="AI42" s="6"/>
      <c r="AJ42" s="502" t="s">
        <v>594</v>
      </c>
      <c r="AK42" s="508"/>
      <c r="AM42" s="470"/>
      <c r="AN42" s="6"/>
      <c r="AO42" s="6"/>
      <c r="AP42" s="508"/>
      <c r="AQ42" s="509"/>
      <c r="AR42" s="6"/>
      <c r="AS42" s="6"/>
      <c r="AT42" s="508"/>
    </row>
    <row r="43" spans="1:46" ht="33.65" customHeight="1" x14ac:dyDescent="0.35">
      <c r="A43" s="1478">
        <v>44978</v>
      </c>
      <c r="B43" s="472">
        <v>1</v>
      </c>
      <c r="C43" s="494"/>
      <c r="D43" s="494"/>
      <c r="E43" s="494">
        <v>10</v>
      </c>
      <c r="F43" s="495"/>
      <c r="G43" s="514"/>
      <c r="H43" s="514"/>
      <c r="I43" s="515" t="s">
        <v>509</v>
      </c>
      <c r="J43" s="527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/>
      <c r="W43" s="6"/>
      <c r="X43" s="508"/>
      <c r="Y43" s="509"/>
      <c r="Z43" s="6"/>
      <c r="AA43" s="515"/>
      <c r="AB43" s="508"/>
      <c r="AC43" s="66"/>
      <c r="AD43" s="470"/>
      <c r="AE43" s="6"/>
      <c r="AF43" s="6"/>
      <c r="AG43" s="508"/>
      <c r="AH43" s="502"/>
      <c r="AI43" s="515"/>
      <c r="AJ43" s="6"/>
      <c r="AK43" s="508"/>
      <c r="AM43" s="470"/>
      <c r="AN43" s="6"/>
      <c r="AO43" s="6"/>
      <c r="AP43" s="508"/>
      <c r="AQ43" s="502"/>
      <c r="AR43" s="515"/>
      <c r="AS43" s="6"/>
      <c r="AT43" s="508"/>
    </row>
    <row r="44" spans="1:46" ht="36" customHeight="1" x14ac:dyDescent="0.35">
      <c r="A44" s="1477"/>
      <c r="B44" s="472">
        <v>2</v>
      </c>
      <c r="C44" s="494">
        <v>110</v>
      </c>
      <c r="D44" s="494">
        <v>110</v>
      </c>
      <c r="E44" s="494">
        <v>20</v>
      </c>
      <c r="F44" s="495"/>
      <c r="G44" s="514" t="s">
        <v>596</v>
      </c>
      <c r="H44" s="514" t="s">
        <v>513</v>
      </c>
      <c r="I44" s="573" t="s">
        <v>595</v>
      </c>
      <c r="J44" s="527"/>
      <c r="K44" s="66"/>
      <c r="L44" s="470"/>
      <c r="M44" s="6"/>
      <c r="N44" s="6"/>
      <c r="O44" s="508"/>
      <c r="P44" s="509"/>
      <c r="Q44" s="6"/>
      <c r="R44" s="502"/>
      <c r="S44" s="627"/>
      <c r="T44" s="66"/>
      <c r="U44" s="470"/>
      <c r="V44" s="6"/>
      <c r="W44" s="494"/>
      <c r="X44" s="495"/>
      <c r="Y44" s="514"/>
      <c r="Z44" s="514"/>
      <c r="AA44" s="502"/>
      <c r="AB44" s="527"/>
      <c r="AC44" s="66"/>
      <c r="AD44" s="470"/>
      <c r="AE44" s="6"/>
      <c r="AF44" s="6"/>
      <c r="AG44" s="508"/>
      <c r="AH44" s="509"/>
      <c r="AI44" s="502"/>
      <c r="AJ44" s="502"/>
      <c r="AK44" s="508"/>
      <c r="AM44" s="470"/>
      <c r="AN44" s="6"/>
      <c r="AO44" s="6"/>
      <c r="AP44" s="508"/>
      <c r="AQ44" s="509"/>
      <c r="AR44" s="502"/>
      <c r="AS44" s="502"/>
      <c r="AT44" s="508"/>
    </row>
    <row r="45" spans="1:46" ht="36" customHeight="1" x14ac:dyDescent="0.35">
      <c r="A45" s="1478">
        <v>44979</v>
      </c>
      <c r="B45" s="472">
        <v>1</v>
      </c>
      <c r="C45" s="494"/>
      <c r="D45" s="494"/>
      <c r="E45" s="494">
        <v>29</v>
      </c>
      <c r="F45" s="495"/>
      <c r="G45" s="514"/>
      <c r="H45" s="514"/>
      <c r="I45" s="515" t="s">
        <v>597</v>
      </c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14"/>
      <c r="Z45" s="6"/>
      <c r="AA45" s="502"/>
      <c r="AB45" s="508"/>
      <c r="AC45" s="66"/>
      <c r="AD45" s="470"/>
      <c r="AE45" s="6"/>
      <c r="AF45" s="6"/>
      <c r="AG45" s="508"/>
      <c r="AH45" s="509"/>
      <c r="AI45" s="502"/>
      <c r="AJ45" s="6"/>
      <c r="AK45" s="508"/>
      <c r="AM45" s="470"/>
      <c r="AN45" s="6"/>
      <c r="AO45" s="6"/>
      <c r="AP45" s="508"/>
      <c r="AQ45" s="509"/>
      <c r="AR45" s="502"/>
      <c r="AS45" s="6"/>
      <c r="AT45" s="508"/>
    </row>
    <row r="46" spans="1:46" ht="34.200000000000003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515"/>
      <c r="J46" s="527"/>
      <c r="K46" s="66"/>
      <c r="L46" s="470"/>
      <c r="M46" s="6"/>
      <c r="N46" s="6"/>
      <c r="O46" s="633"/>
      <c r="P46" s="509"/>
      <c r="Q46" s="515"/>
      <c r="R46" s="6"/>
      <c r="S46" s="527"/>
      <c r="T46" s="66"/>
      <c r="U46" s="470"/>
      <c r="V46" s="6"/>
      <c r="W46" s="6"/>
      <c r="X46" s="508"/>
      <c r="Y46" s="509"/>
      <c r="Z46" s="6"/>
      <c r="AA46" s="502"/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/>
      <c r="AO46" s="6"/>
      <c r="AP46" s="508"/>
      <c r="AQ46" s="469"/>
      <c r="AR46" s="6"/>
      <c r="AS46" s="6"/>
      <c r="AT46" s="527"/>
    </row>
    <row r="47" spans="1:46" ht="36" customHeight="1" x14ac:dyDescent="0.35">
      <c r="A47" s="1478">
        <v>44980</v>
      </c>
      <c r="B47" s="472">
        <v>1</v>
      </c>
      <c r="C47" s="494"/>
      <c r="D47" s="494"/>
      <c r="E47" s="494"/>
      <c r="F47" s="495"/>
      <c r="G47" s="515"/>
      <c r="H47" s="514"/>
      <c r="I47" s="573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09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6"/>
      <c r="AK47" s="508"/>
      <c r="AM47" s="470"/>
      <c r="AN47" s="6"/>
      <c r="AO47" s="6"/>
      <c r="AP47" s="508"/>
      <c r="AQ47" s="469"/>
      <c r="AR47" s="515"/>
      <c r="AS47" s="6"/>
      <c r="AT47" s="508"/>
    </row>
    <row r="48" spans="1:46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/>
      <c r="X48" s="508"/>
      <c r="Y48" s="469"/>
      <c r="Z48" s="6"/>
      <c r="AA48" s="502"/>
      <c r="AB48" s="508"/>
      <c r="AC48" s="66"/>
      <c r="AD48" s="470"/>
      <c r="AE48" s="6"/>
      <c r="AF48" s="6"/>
      <c r="AG48" s="508"/>
      <c r="AH48" s="509"/>
      <c r="AI48" s="502"/>
      <c r="AJ48" s="6"/>
      <c r="AK48" s="508"/>
      <c r="AM48" s="470"/>
      <c r="AN48" s="6"/>
      <c r="AO48" s="6"/>
      <c r="AP48" s="508"/>
      <c r="AQ48" s="509"/>
      <c r="AR48" s="502"/>
      <c r="AS48" s="6"/>
      <c r="AT48" s="508"/>
    </row>
    <row r="49" spans="1:46" ht="36" customHeight="1" x14ac:dyDescent="0.35">
      <c r="A49" s="1478">
        <v>44981</v>
      </c>
      <c r="B49" s="472">
        <v>1</v>
      </c>
      <c r="C49" s="494"/>
      <c r="D49" s="494"/>
      <c r="E49" s="494"/>
      <c r="F49" s="495"/>
      <c r="G49" s="515"/>
      <c r="H49" s="514"/>
      <c r="I49" s="573"/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/>
      <c r="X49" s="508"/>
      <c r="Y49" s="509"/>
      <c r="Z49" s="502"/>
      <c r="AA49" s="502"/>
      <c r="AB49" s="527"/>
      <c r="AC49" s="66"/>
      <c r="AD49" s="470"/>
      <c r="AE49" s="6"/>
      <c r="AF49" s="6"/>
      <c r="AG49" s="508"/>
      <c r="AH49" s="509"/>
      <c r="AI49" s="502"/>
      <c r="AJ49" s="6"/>
      <c r="AK49" s="508"/>
      <c r="AM49" s="470"/>
      <c r="AN49" s="6"/>
      <c r="AO49" s="6"/>
      <c r="AP49" s="508"/>
      <c r="AQ49" s="509"/>
      <c r="AR49" s="502"/>
      <c r="AS49" s="6"/>
      <c r="AT49" s="508"/>
    </row>
    <row r="50" spans="1:46" ht="33" customHeight="1" x14ac:dyDescent="0.35">
      <c r="A50" s="1477"/>
      <c r="B50" s="472">
        <v>2</v>
      </c>
      <c r="C50" s="494"/>
      <c r="D50" s="494"/>
      <c r="E50" s="494"/>
      <c r="F50" s="495">
        <v>201</v>
      </c>
      <c r="G50" s="514"/>
      <c r="H50" s="514"/>
      <c r="I50" s="573"/>
      <c r="J50" s="527" t="s">
        <v>598</v>
      </c>
      <c r="K50" s="66"/>
      <c r="L50" s="470"/>
      <c r="M50" s="6"/>
      <c r="N50" s="6"/>
      <c r="O50" s="495">
        <v>201</v>
      </c>
      <c r="P50" s="514"/>
      <c r="Q50" s="514"/>
      <c r="R50" s="573"/>
      <c r="S50" s="527" t="s">
        <v>598</v>
      </c>
      <c r="T50" s="66"/>
      <c r="U50" s="470"/>
      <c r="V50" s="6"/>
      <c r="W50" s="6"/>
      <c r="X50" s="495">
        <v>201</v>
      </c>
      <c r="Y50" s="514"/>
      <c r="Z50" s="514"/>
      <c r="AA50" s="573"/>
      <c r="AB50" s="527" t="s">
        <v>598</v>
      </c>
      <c r="AC50" s="66"/>
      <c r="AD50" s="470"/>
      <c r="AE50" s="6"/>
      <c r="AF50" s="6"/>
      <c r="AG50" s="495">
        <v>201</v>
      </c>
      <c r="AH50" s="514"/>
      <c r="AI50" s="514"/>
      <c r="AJ50" s="573"/>
      <c r="AK50" s="527" t="s">
        <v>598</v>
      </c>
      <c r="AM50" s="470"/>
      <c r="AN50" s="6"/>
      <c r="AO50" s="6"/>
      <c r="AP50" s="495">
        <v>201</v>
      </c>
      <c r="AQ50" s="514"/>
      <c r="AR50" s="514"/>
      <c r="AS50" s="573"/>
      <c r="AT50" s="527" t="s">
        <v>598</v>
      </c>
    </row>
    <row r="51" spans="1:46" ht="34.950000000000003" customHeight="1" x14ac:dyDescent="0.35">
      <c r="A51" s="1478">
        <v>44982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  <c r="AM51" s="470"/>
      <c r="AN51" s="6"/>
      <c r="AO51" s="6"/>
      <c r="AP51" s="508"/>
      <c r="AQ51" s="509"/>
      <c r="AR51" s="6"/>
      <c r="AS51" s="6"/>
      <c r="AT51" s="508"/>
    </row>
    <row r="52" spans="1:46" ht="31.95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573"/>
      <c r="J52" s="527"/>
      <c r="K52" s="66"/>
      <c r="L52" s="470"/>
      <c r="M52" s="6"/>
      <c r="N52" s="6"/>
      <c r="O52" s="508"/>
      <c r="P52" s="509"/>
      <c r="Q52" s="6"/>
      <c r="R52" s="6"/>
      <c r="S52" s="527"/>
      <c r="T52" s="66"/>
      <c r="U52" s="470"/>
      <c r="V52" s="6"/>
      <c r="W52" s="6"/>
      <c r="X52" s="508"/>
      <c r="Y52" s="469"/>
      <c r="Z52" s="502"/>
      <c r="AA52" s="502"/>
      <c r="AB52" s="527"/>
      <c r="AC52" s="66"/>
      <c r="AD52" s="470"/>
      <c r="AE52" s="6"/>
      <c r="AF52" s="6"/>
      <c r="AG52" s="508"/>
      <c r="AH52" s="509"/>
      <c r="AI52" s="6"/>
      <c r="AJ52" s="6"/>
      <c r="AK52" s="508"/>
      <c r="AM52" s="470">
        <v>469</v>
      </c>
      <c r="AN52" s="508"/>
      <c r="AO52" s="508"/>
      <c r="AP52" s="508"/>
      <c r="AQ52" s="469" t="s">
        <v>599</v>
      </c>
      <c r="AR52" s="508"/>
      <c r="AS52" s="6"/>
      <c r="AT52" s="508"/>
    </row>
    <row r="53" spans="1:46" ht="40.200000000000003" customHeight="1" x14ac:dyDescent="0.35">
      <c r="A53" s="1478">
        <v>44983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/>
      <c r="AP53" s="508"/>
      <c r="AQ53" s="509"/>
      <c r="AR53" s="502"/>
      <c r="AS53" s="502"/>
      <c r="AT53" s="508"/>
    </row>
    <row r="54" spans="1:46" ht="39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4"/>
      <c r="I54" s="573"/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/>
      <c r="X54" s="495"/>
      <c r="Y54" s="514"/>
      <c r="Z54" s="515"/>
      <c r="AA54" s="502"/>
      <c r="AB54" s="527"/>
      <c r="AC54" s="66"/>
      <c r="AD54" s="470"/>
      <c r="AE54" s="6"/>
      <c r="AF54" s="6"/>
      <c r="AG54" s="495"/>
      <c r="AH54" s="514"/>
      <c r="AI54" s="514"/>
      <c r="AJ54" s="6"/>
      <c r="AK54" s="527"/>
      <c r="AM54" s="470"/>
      <c r="AN54" s="6"/>
      <c r="AO54" s="6">
        <v>37</v>
      </c>
      <c r="AP54" s="495"/>
      <c r="AQ54" s="514"/>
      <c r="AR54" s="514"/>
      <c r="AS54" s="515" t="s">
        <v>521</v>
      </c>
      <c r="AT54" s="527"/>
    </row>
    <row r="55" spans="1:46" ht="39.65" customHeight="1" x14ac:dyDescent="0.35">
      <c r="A55" s="1478">
        <v>44984</v>
      </c>
      <c r="B55" s="472">
        <v>1</v>
      </c>
      <c r="C55" s="493"/>
      <c r="D55" s="494"/>
      <c r="E55" s="494">
        <v>10</v>
      </c>
      <c r="F55" s="495"/>
      <c r="G55" s="514"/>
      <c r="H55" s="514"/>
      <c r="I55" s="515" t="s">
        <v>97</v>
      </c>
      <c r="J55" s="56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>
        <v>18</v>
      </c>
      <c r="X55" s="508"/>
      <c r="Y55" s="509"/>
      <c r="Z55" s="514"/>
      <c r="AA55" s="515" t="s">
        <v>97</v>
      </c>
      <c r="AB55" s="527"/>
      <c r="AC55" s="66"/>
      <c r="AD55" s="470"/>
      <c r="AE55" s="6"/>
      <c r="AF55" s="6"/>
      <c r="AG55" s="508"/>
      <c r="AH55" s="509"/>
      <c r="AI55" s="6"/>
      <c r="AJ55" s="502"/>
      <c r="AK55" s="508"/>
      <c r="AM55" s="470"/>
      <c r="AN55" s="6"/>
      <c r="AO55" s="6"/>
      <c r="AP55" s="508"/>
      <c r="AQ55" s="509"/>
      <c r="AR55" s="6"/>
      <c r="AS55" s="502"/>
      <c r="AT55" s="508"/>
    </row>
    <row r="56" spans="1:46" ht="40.950000000000003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4"/>
      <c r="I56" s="515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>
        <v>205</v>
      </c>
      <c r="V56" s="6">
        <v>205</v>
      </c>
      <c r="W56" s="6">
        <v>205</v>
      </c>
      <c r="X56" s="495"/>
      <c r="Y56" s="515" t="s">
        <v>583</v>
      </c>
      <c r="Z56" s="514" t="s">
        <v>583</v>
      </c>
      <c r="AA56" s="515" t="s">
        <v>583</v>
      </c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95"/>
      <c r="AQ56" s="515"/>
      <c r="AR56" s="514"/>
      <c r="AS56" s="515"/>
      <c r="AT56" s="527"/>
    </row>
    <row r="57" spans="1:46" ht="37.950000000000003" customHeight="1" x14ac:dyDescent="0.35">
      <c r="A57" s="1478">
        <v>44985</v>
      </c>
      <c r="B57" s="472">
        <v>1</v>
      </c>
      <c r="C57" s="493"/>
      <c r="D57" s="494"/>
      <c r="E57" s="494"/>
      <c r="F57" s="495"/>
      <c r="G57" s="515"/>
      <c r="H57" s="514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>
        <v>41</v>
      </c>
      <c r="X57" s="495"/>
      <c r="Y57" s="515"/>
      <c r="Z57" s="514"/>
      <c r="AA57" s="515" t="s">
        <v>600</v>
      </c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95"/>
      <c r="AQ57" s="515"/>
      <c r="AR57" s="514"/>
      <c r="AS57" s="515"/>
      <c r="AT57" s="527"/>
    </row>
    <row r="58" spans="1:46" ht="35.5" customHeight="1" x14ac:dyDescent="0.35">
      <c r="A58" s="1477"/>
      <c r="B58" s="500">
        <v>2</v>
      </c>
      <c r="C58" s="493">
        <v>174</v>
      </c>
      <c r="D58" s="494">
        <v>174</v>
      </c>
      <c r="E58" s="494">
        <v>174</v>
      </c>
      <c r="F58" s="495"/>
      <c r="G58" s="515" t="s">
        <v>583</v>
      </c>
      <c r="H58" s="514" t="s">
        <v>583</v>
      </c>
      <c r="I58" s="515" t="s">
        <v>583</v>
      </c>
      <c r="J58" s="527"/>
      <c r="K58" s="66"/>
      <c r="L58" s="470"/>
      <c r="M58" s="6"/>
      <c r="N58" s="6"/>
      <c r="O58" s="508"/>
      <c r="P58" s="509"/>
      <c r="Q58" s="6"/>
      <c r="R58" s="6"/>
      <c r="S58" s="527"/>
      <c r="T58" s="66"/>
      <c r="U58" s="470"/>
      <c r="V58" s="6"/>
      <c r="W58" s="6"/>
      <c r="X58" s="508"/>
      <c r="Y58" s="509"/>
      <c r="Z58" s="502"/>
      <c r="AA58" s="515"/>
      <c r="AB58" s="508"/>
      <c r="AC58" s="66"/>
      <c r="AD58" s="470"/>
      <c r="AE58" s="6"/>
      <c r="AF58" s="6"/>
      <c r="AG58" s="508"/>
      <c r="AH58" s="509"/>
      <c r="AI58" s="6"/>
      <c r="AJ58" s="6"/>
      <c r="AK58" s="508"/>
      <c r="AM58" s="470"/>
      <c r="AN58" s="6"/>
      <c r="AO58" s="6"/>
      <c r="AP58" s="508"/>
      <c r="AQ58" s="509"/>
      <c r="AR58" s="6"/>
      <c r="AS58" s="6"/>
      <c r="AT58" s="508"/>
    </row>
    <row r="59" spans="1:46" ht="34.200000000000003" customHeight="1" x14ac:dyDescent="0.35">
      <c r="A59" s="1478"/>
      <c r="B59" s="472">
        <v>1</v>
      </c>
      <c r="C59" s="493"/>
      <c r="D59" s="494"/>
      <c r="E59" s="494"/>
      <c r="F59" s="495"/>
      <c r="G59" s="514"/>
      <c r="H59" s="514"/>
      <c r="I59" s="573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02"/>
      <c r="AB59" s="508"/>
      <c r="AC59" s="66"/>
      <c r="AD59" s="470"/>
      <c r="AE59" s="6"/>
      <c r="AF59" s="6"/>
      <c r="AG59" s="508"/>
      <c r="AH59" s="469"/>
      <c r="AI59" s="6"/>
      <c r="AJ59" s="515"/>
      <c r="AK59" s="508"/>
      <c r="AM59" s="470"/>
      <c r="AN59" s="6"/>
      <c r="AO59" s="6"/>
      <c r="AP59" s="508"/>
      <c r="AQ59" s="469"/>
      <c r="AR59" s="6"/>
      <c r="AS59" s="515"/>
      <c r="AT59" s="508"/>
    </row>
    <row r="60" spans="1:46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573"/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502"/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508"/>
      <c r="AQ60" s="509"/>
      <c r="AR60" s="6"/>
      <c r="AS60" s="502"/>
      <c r="AT60" s="527"/>
    </row>
    <row r="61" spans="1:46" ht="32.5" customHeight="1" x14ac:dyDescent="0.35">
      <c r="A61" s="1478"/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508"/>
      <c r="AQ61" s="509"/>
      <c r="AR61" s="6"/>
      <c r="AS61" s="502"/>
      <c r="AT61" s="624"/>
    </row>
    <row r="62" spans="1:46" ht="33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508"/>
      <c r="AQ62" s="509"/>
      <c r="AR62" s="6"/>
      <c r="AS62" s="502"/>
      <c r="AT62" s="624"/>
    </row>
    <row r="63" spans="1:46" ht="33.65" customHeight="1" x14ac:dyDescent="0.35">
      <c r="A63" s="1478"/>
      <c r="B63" s="472">
        <v>1</v>
      </c>
      <c r="C63" s="587"/>
      <c r="D63" s="588"/>
      <c r="E63" s="588"/>
      <c r="F63" s="589"/>
      <c r="G63" s="598"/>
      <c r="H63" s="590"/>
      <c r="I63" s="515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6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30.6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528"/>
      <c r="AQ64" s="529"/>
      <c r="AR64" s="530"/>
      <c r="AS64" s="530"/>
      <c r="AT64" s="594"/>
    </row>
    <row r="65" spans="1:42" ht="23.5" customHeight="1" x14ac:dyDescent="0.35">
      <c r="A65" s="423" t="s">
        <v>225</v>
      </c>
      <c r="C65" s="631">
        <f>SUM(C3:C64)</f>
        <v>815</v>
      </c>
      <c r="D65" s="65">
        <f>SUM(D3:D64)</f>
        <v>466</v>
      </c>
      <c r="E65" s="631">
        <f>SUM(E3:E64)</f>
        <v>624</v>
      </c>
      <c r="F65" s="65">
        <f>SUM(F3:F64)</f>
        <v>201</v>
      </c>
      <c r="L65" s="65">
        <f>SUM(L3:L64)</f>
        <v>0</v>
      </c>
      <c r="M65" s="65">
        <f>SUM(M3:M64)</f>
        <v>0</v>
      </c>
      <c r="N65" s="65">
        <f>SUM(N3:N64)</f>
        <v>0</v>
      </c>
      <c r="O65" s="65">
        <f>SUM(O3:O64)</f>
        <v>201</v>
      </c>
      <c r="U65" s="65">
        <f>SUM(U3:U64)</f>
        <v>904</v>
      </c>
      <c r="V65" s="65">
        <f>SUM(V3:V64)</f>
        <v>288</v>
      </c>
      <c r="W65" s="65">
        <f>SUM(W3:W64)</f>
        <v>547</v>
      </c>
      <c r="X65" s="65">
        <f>SUM(X3:X64)</f>
        <v>201</v>
      </c>
      <c r="AD65" s="65">
        <f>SUM(AD3:AD64)</f>
        <v>321</v>
      </c>
      <c r="AE65" s="65">
        <f>SUM(AE3:AE64)</f>
        <v>23</v>
      </c>
      <c r="AF65" s="65">
        <f>SUM(AF3:AF64)</f>
        <v>245</v>
      </c>
      <c r="AG65" s="65">
        <f>SUM(AG3:AG64)</f>
        <v>201</v>
      </c>
      <c r="AM65" s="65">
        <f>SUM(AM3:AM64)</f>
        <v>469</v>
      </c>
      <c r="AN65" s="65">
        <f>SUM(AN3:AN64)</f>
        <v>65</v>
      </c>
      <c r="AO65" s="65">
        <f>SUM(AO3:AO64)</f>
        <v>1408</v>
      </c>
      <c r="AP65" s="65">
        <f>SUM(AP3:AP64)</f>
        <v>201</v>
      </c>
    </row>
    <row r="73" spans="1:42" ht="14.6" thickBot="1" x14ac:dyDescent="0.4"/>
    <row r="74" spans="1:42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21.75" customHeight="1" x14ac:dyDescent="0.4">
      <c r="B76" s="541" t="s">
        <v>218</v>
      </c>
      <c r="C76" s="542">
        <f>C65</f>
        <v>815</v>
      </c>
      <c r="D76" s="543">
        <f>C76/60</f>
        <v>13.583333333333334</v>
      </c>
      <c r="E76" s="542">
        <f>D65</f>
        <v>466</v>
      </c>
      <c r="F76" s="544">
        <f>E76/60</f>
        <v>7.7666666666666666</v>
      </c>
      <c r="G76" s="542">
        <f>E65</f>
        <v>624</v>
      </c>
      <c r="H76" s="543">
        <f>G76/60</f>
        <v>10.4</v>
      </c>
      <c r="I76" s="542">
        <f>F65</f>
        <v>201</v>
      </c>
      <c r="J76" s="543">
        <f>I76/60</f>
        <v>3.35</v>
      </c>
    </row>
    <row r="77" spans="1:42" ht="19.5" customHeight="1" x14ac:dyDescent="0.4">
      <c r="B77" s="541" t="s">
        <v>219</v>
      </c>
      <c r="C77" s="545">
        <f>L65</f>
        <v>0</v>
      </c>
      <c r="D77" s="546">
        <f t="shared" ref="D77:F79" si="0">C77/60</f>
        <v>0</v>
      </c>
      <c r="E77" s="545">
        <f>M65</f>
        <v>0</v>
      </c>
      <c r="F77" s="547">
        <f t="shared" si="0"/>
        <v>0</v>
      </c>
      <c r="G77" s="545">
        <f>N65</f>
        <v>0</v>
      </c>
      <c r="H77" s="546">
        <f t="shared" ref="H77:J79" si="1">G77/60</f>
        <v>0</v>
      </c>
      <c r="I77" s="545">
        <f>O65</f>
        <v>201</v>
      </c>
      <c r="J77" s="546">
        <f t="shared" si="1"/>
        <v>3.35</v>
      </c>
    </row>
    <row r="78" spans="1:42" ht="20.25" customHeight="1" x14ac:dyDescent="0.4">
      <c r="B78" s="541" t="s">
        <v>220</v>
      </c>
      <c r="C78" s="545">
        <f>U65</f>
        <v>904</v>
      </c>
      <c r="D78" s="546">
        <f t="shared" si="0"/>
        <v>15.066666666666666</v>
      </c>
      <c r="E78" s="545">
        <f>V65</f>
        <v>288</v>
      </c>
      <c r="F78" s="547">
        <f t="shared" si="0"/>
        <v>4.8</v>
      </c>
      <c r="G78" s="545">
        <f>W65</f>
        <v>547</v>
      </c>
      <c r="H78" s="546">
        <f>G78/60</f>
        <v>9.1166666666666671</v>
      </c>
      <c r="I78" s="545">
        <f>X65</f>
        <v>201</v>
      </c>
      <c r="J78" s="546">
        <f t="shared" si="1"/>
        <v>3.35</v>
      </c>
    </row>
    <row r="79" spans="1:42" ht="22.5" customHeight="1" thickBot="1" x14ac:dyDescent="0.45">
      <c r="B79" s="541" t="s">
        <v>221</v>
      </c>
      <c r="C79" s="548">
        <f>AD65</f>
        <v>321</v>
      </c>
      <c r="D79" s="549">
        <f t="shared" si="0"/>
        <v>5.35</v>
      </c>
      <c r="E79" s="548">
        <f>AE65</f>
        <v>23</v>
      </c>
      <c r="F79" s="550">
        <f t="shared" si="0"/>
        <v>0.38333333333333336</v>
      </c>
      <c r="G79" s="548">
        <f>AF65</f>
        <v>245</v>
      </c>
      <c r="H79" s="549">
        <f t="shared" si="1"/>
        <v>4.083333333333333</v>
      </c>
      <c r="I79" s="548">
        <f>AG65</f>
        <v>201</v>
      </c>
      <c r="J79" s="549">
        <f t="shared" si="1"/>
        <v>3.35</v>
      </c>
    </row>
    <row r="80" spans="1:42" ht="22.5" customHeight="1" thickBot="1" x14ac:dyDescent="0.45">
      <c r="B80" s="541" t="s">
        <v>488</v>
      </c>
      <c r="C80" s="643">
        <f>AM65</f>
        <v>469</v>
      </c>
      <c r="D80" s="642">
        <f>C80/60</f>
        <v>7.8166666666666664</v>
      </c>
      <c r="E80" s="643">
        <f>AN65</f>
        <v>65</v>
      </c>
      <c r="F80" s="644">
        <f>E80/60</f>
        <v>1.0833333333333333</v>
      </c>
      <c r="G80" s="643">
        <f>AO65</f>
        <v>1408</v>
      </c>
      <c r="H80" s="642">
        <f>G80/60</f>
        <v>23.466666666666665</v>
      </c>
      <c r="I80" s="643">
        <f>AP65</f>
        <v>201</v>
      </c>
      <c r="J80" s="642">
        <f>I80/60</f>
        <v>3.35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41.816666666666663</v>
      </c>
      <c r="E82" s="556"/>
      <c r="F82" s="557">
        <f>SUM(F76:F80)</f>
        <v>14.033333333333333</v>
      </c>
      <c r="G82" s="556"/>
      <c r="H82" s="557">
        <f>SUM(H76:H80)</f>
        <v>47.066666666666663</v>
      </c>
      <c r="I82" s="556"/>
      <c r="J82" s="558">
        <f>AVERAGE(J76:J80)</f>
        <v>3.35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P1"/>
    <mergeCell ref="AQ1:AT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T82"/>
  <sheetViews>
    <sheetView zoomScale="55" zoomScaleNormal="55" workbookViewId="0">
      <pane xSplit="2" ySplit="2" topLeftCell="C39" activePane="bottomRight" state="frozen"/>
      <selection pane="topRight" activeCell="C1" sqref="C1"/>
      <selection pane="bottomLeft" activeCell="A3" sqref="A3"/>
      <selection pane="bottomRight" activeCell="J88" sqref="J88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21.15234375" style="423" customWidth="1"/>
    <col min="8" max="8" width="27.3046875" style="423" customWidth="1"/>
    <col min="9" max="9" width="22" style="423" customWidth="1"/>
    <col min="10" max="10" width="26.3046875" style="423" customWidth="1"/>
    <col min="11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3.8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28.69140625" style="423" customWidth="1"/>
    <col min="35" max="35" width="18.53515625" style="423" customWidth="1"/>
    <col min="36" max="36" width="17" style="423" customWidth="1"/>
    <col min="37" max="37" width="26" style="423" customWidth="1"/>
    <col min="38" max="38" width="8.84375" style="423"/>
    <col min="39" max="42" width="10.69140625" style="423" customWidth="1"/>
    <col min="43" max="43" width="16.84375" style="423" customWidth="1"/>
    <col min="44" max="44" width="15.15234375" style="423" customWidth="1"/>
    <col min="45" max="45" width="17.53515625" style="423" customWidth="1"/>
    <col min="46" max="46" width="24.69140625" style="423" customWidth="1"/>
    <col min="47" max="16384" width="8.84375" style="423"/>
  </cols>
  <sheetData>
    <row r="1" spans="1:46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4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5</v>
      </c>
      <c r="AE1" s="1471"/>
      <c r="AF1" s="1471"/>
      <c r="AG1" s="1471"/>
      <c r="AH1" s="1473" t="s">
        <v>206</v>
      </c>
      <c r="AI1" s="1473"/>
      <c r="AJ1" s="1473"/>
      <c r="AK1" s="1474"/>
      <c r="AM1" s="1471" t="s">
        <v>482</v>
      </c>
      <c r="AN1" s="1471"/>
      <c r="AO1" s="1471"/>
      <c r="AP1" s="1471"/>
      <c r="AQ1" s="1473" t="s">
        <v>206</v>
      </c>
      <c r="AR1" s="1473"/>
      <c r="AS1" s="1473"/>
      <c r="AT1" s="1474"/>
    </row>
    <row r="2" spans="1:46" ht="42.65" customHeight="1" x14ac:dyDescent="0.35">
      <c r="A2" s="634" t="s">
        <v>0</v>
      </c>
      <c r="B2" s="426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  <c r="AM2" s="424" t="s">
        <v>199</v>
      </c>
      <c r="AN2" s="424" t="s">
        <v>200</v>
      </c>
      <c r="AO2" s="424" t="s">
        <v>201</v>
      </c>
      <c r="AP2" s="424" t="s">
        <v>204</v>
      </c>
      <c r="AQ2" s="425" t="s">
        <v>199</v>
      </c>
      <c r="AR2" s="424" t="s">
        <v>200</v>
      </c>
      <c r="AS2" s="424" t="s">
        <v>201</v>
      </c>
      <c r="AT2" s="424" t="s">
        <v>204</v>
      </c>
    </row>
    <row r="3" spans="1:46" ht="30" customHeight="1" x14ac:dyDescent="0.35">
      <c r="A3" s="1478">
        <v>44986</v>
      </c>
      <c r="B3" s="501">
        <v>1</v>
      </c>
      <c r="C3" s="490"/>
      <c r="D3" s="491"/>
      <c r="E3" s="640"/>
      <c r="F3" s="492"/>
      <c r="G3" s="566"/>
      <c r="H3" s="514"/>
      <c r="I3" s="641"/>
      <c r="J3" s="567"/>
      <c r="K3" s="66"/>
      <c r="L3" s="507"/>
      <c r="M3" s="522"/>
      <c r="N3" s="522"/>
      <c r="O3" s="520"/>
      <c r="P3" s="521"/>
      <c r="Q3" s="580"/>
      <c r="R3" s="581"/>
      <c r="S3" s="520"/>
      <c r="T3" s="66"/>
      <c r="U3" s="507"/>
      <c r="V3" s="522">
        <v>18</v>
      </c>
      <c r="W3" s="522"/>
      <c r="X3" s="508"/>
      <c r="Y3" s="469"/>
      <c r="Z3" s="521" t="s">
        <v>601</v>
      </c>
      <c r="AA3" s="600"/>
      <c r="AB3" s="601"/>
      <c r="AC3" s="66"/>
      <c r="AD3" s="507"/>
      <c r="AE3" s="522"/>
      <c r="AF3" s="6">
        <v>21</v>
      </c>
      <c r="AG3" s="520"/>
      <c r="AH3" s="521"/>
      <c r="AI3" s="521" t="s">
        <v>601</v>
      </c>
      <c r="AJ3" s="502"/>
      <c r="AK3" s="520"/>
      <c r="AM3" s="507"/>
      <c r="AN3" s="522"/>
      <c r="AO3" s="6"/>
      <c r="AP3" s="520"/>
      <c r="AQ3" s="521"/>
      <c r="AR3" s="522"/>
      <c r="AS3" s="6"/>
      <c r="AT3" s="520"/>
    </row>
    <row r="4" spans="1:46" ht="36.65" customHeight="1" x14ac:dyDescent="0.35">
      <c r="A4" s="1477"/>
      <c r="B4" s="472">
        <v>2</v>
      </c>
      <c r="C4" s="493"/>
      <c r="D4" s="494"/>
      <c r="E4" s="494"/>
      <c r="F4" s="495"/>
      <c r="G4" s="566"/>
      <c r="H4" s="514"/>
      <c r="I4" s="515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/>
      <c r="X4" s="508"/>
      <c r="Y4" s="469"/>
      <c r="Z4" s="6"/>
      <c r="AA4" s="579"/>
      <c r="AB4" s="603"/>
      <c r="AC4" s="66"/>
      <c r="AD4" s="470"/>
      <c r="AE4" s="6"/>
      <c r="AF4" s="6"/>
      <c r="AG4" s="508"/>
      <c r="AH4" s="509"/>
      <c r="AI4" s="6"/>
      <c r="AJ4" s="6"/>
      <c r="AK4" s="508"/>
      <c r="AM4" s="470"/>
      <c r="AN4" s="6"/>
      <c r="AO4" s="6">
        <v>18</v>
      </c>
      <c r="AP4" s="508"/>
      <c r="AQ4" s="509"/>
      <c r="AR4" s="6"/>
      <c r="AS4" s="6" t="s">
        <v>97</v>
      </c>
      <c r="AT4" s="508"/>
    </row>
    <row r="5" spans="1:46" ht="28.95" customHeight="1" x14ac:dyDescent="0.35">
      <c r="A5" s="1478">
        <v>44987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579"/>
      <c r="AB5" s="604"/>
      <c r="AC5" s="66"/>
      <c r="AD5" s="470"/>
      <c r="AE5" s="6"/>
      <c r="AF5" s="6"/>
      <c r="AG5" s="508"/>
      <c r="AH5" s="509"/>
      <c r="AI5" s="6"/>
      <c r="AJ5" s="6"/>
      <c r="AK5" s="508"/>
      <c r="AM5" s="470"/>
      <c r="AN5" s="6"/>
      <c r="AO5" s="6"/>
      <c r="AP5" s="508"/>
      <c r="AQ5" s="509"/>
      <c r="AR5" s="6"/>
      <c r="AS5" s="502"/>
      <c r="AT5" s="508"/>
    </row>
    <row r="6" spans="1:46" ht="52.2" customHeight="1" x14ac:dyDescent="0.35">
      <c r="A6" s="1477"/>
      <c r="B6" s="472">
        <v>2</v>
      </c>
      <c r="C6" s="493"/>
      <c r="D6" s="494"/>
      <c r="E6" s="494"/>
      <c r="F6" s="495"/>
      <c r="G6" s="565"/>
      <c r="H6" s="514"/>
      <c r="I6" s="515"/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>
        <v>18</v>
      </c>
      <c r="X6" s="508"/>
      <c r="Y6" s="469"/>
      <c r="Z6" s="6"/>
      <c r="AA6" s="579" t="s">
        <v>325</v>
      </c>
      <c r="AB6" s="508"/>
      <c r="AC6" s="66"/>
      <c r="AD6" s="470"/>
      <c r="AE6" s="6"/>
      <c r="AF6" s="6"/>
      <c r="AG6" s="508"/>
      <c r="AH6" s="509"/>
      <c r="AI6" s="6"/>
      <c r="AJ6" s="515"/>
      <c r="AK6" s="508"/>
      <c r="AM6" s="470"/>
      <c r="AN6" s="6"/>
      <c r="AO6" s="6"/>
      <c r="AP6" s="508"/>
      <c r="AQ6" s="509"/>
      <c r="AR6" s="6"/>
      <c r="AS6" s="502"/>
      <c r="AT6" s="508"/>
    </row>
    <row r="7" spans="1:46" ht="33" customHeight="1" x14ac:dyDescent="0.35">
      <c r="A7" s="1478">
        <v>44988</v>
      </c>
      <c r="B7" s="472">
        <v>1</v>
      </c>
      <c r="C7" s="493"/>
      <c r="D7" s="494"/>
      <c r="E7" s="494"/>
      <c r="F7" s="495"/>
      <c r="G7" s="566"/>
      <c r="H7" s="515"/>
      <c r="I7" s="515"/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6"/>
      <c r="W7" s="6">
        <v>5</v>
      </c>
      <c r="X7" s="508"/>
      <c r="Y7" s="509"/>
      <c r="Z7" s="6"/>
      <c r="AA7" s="579" t="s">
        <v>325</v>
      </c>
      <c r="AB7" s="508"/>
      <c r="AC7" s="66"/>
      <c r="AD7" s="470"/>
      <c r="AE7" s="6"/>
      <c r="AF7" s="6"/>
      <c r="AG7" s="508"/>
      <c r="AH7" s="509"/>
      <c r="AI7" s="6"/>
      <c r="AJ7" s="515"/>
      <c r="AK7" s="508"/>
      <c r="AM7" s="470"/>
      <c r="AN7" s="6"/>
      <c r="AO7" s="6"/>
      <c r="AP7" s="508"/>
      <c r="AQ7" s="509"/>
      <c r="AR7" s="6"/>
      <c r="AS7" s="515"/>
      <c r="AT7" s="508"/>
    </row>
    <row r="8" spans="1:46" ht="55.2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515"/>
      <c r="J8" s="527"/>
      <c r="K8" s="66"/>
      <c r="L8" s="470">
        <v>122</v>
      </c>
      <c r="M8" s="6"/>
      <c r="N8" s="6"/>
      <c r="O8" s="508"/>
      <c r="P8" s="469" t="s">
        <v>602</v>
      </c>
      <c r="Q8" s="502"/>
      <c r="R8" s="502"/>
      <c r="S8" s="527"/>
      <c r="T8" s="66"/>
      <c r="U8" s="470"/>
      <c r="V8" s="639"/>
      <c r="W8" s="509"/>
      <c r="X8" s="508"/>
      <c r="Y8" s="469"/>
      <c r="Z8" s="6"/>
      <c r="AA8" s="6"/>
      <c r="AB8" s="527"/>
      <c r="AC8" s="66"/>
      <c r="AD8" s="470"/>
      <c r="AE8" s="6"/>
      <c r="AF8" s="6"/>
      <c r="AG8" s="508"/>
      <c r="AH8" s="509"/>
      <c r="AI8" s="502"/>
      <c r="AJ8" s="502"/>
      <c r="AK8" s="527"/>
      <c r="AM8" s="470"/>
      <c r="AN8" s="6"/>
      <c r="AO8" s="6"/>
      <c r="AP8" s="508"/>
      <c r="AQ8" s="509"/>
      <c r="AR8" s="6"/>
      <c r="AS8" s="6"/>
      <c r="AT8" s="527"/>
    </row>
    <row r="9" spans="1:46" ht="40.950000000000003" customHeight="1" x14ac:dyDescent="0.35">
      <c r="A9" s="1478">
        <v>44989</v>
      </c>
      <c r="B9" s="472">
        <v>1</v>
      </c>
      <c r="C9" s="493"/>
      <c r="D9" s="494"/>
      <c r="E9" s="494"/>
      <c r="F9" s="495"/>
      <c r="G9" s="565"/>
      <c r="H9" s="514"/>
      <c r="I9" s="514"/>
      <c r="J9" s="527"/>
      <c r="K9" s="66"/>
      <c r="L9" s="470"/>
      <c r="M9" s="6"/>
      <c r="N9" s="6"/>
      <c r="O9" s="508"/>
      <c r="P9" s="469"/>
      <c r="Q9" s="515"/>
      <c r="R9" s="502"/>
      <c r="S9" s="527"/>
      <c r="T9" s="66"/>
      <c r="U9" s="470"/>
      <c r="V9" s="6"/>
      <c r="W9" s="6"/>
      <c r="X9" s="508"/>
      <c r="Y9" s="509"/>
      <c r="Z9" s="6"/>
      <c r="AA9" s="515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508"/>
      <c r="AQ9" s="509"/>
      <c r="AR9" s="6"/>
      <c r="AS9" s="6"/>
      <c r="AT9" s="527"/>
    </row>
    <row r="10" spans="1:46" ht="28.2" customHeight="1" x14ac:dyDescent="0.35">
      <c r="A10" s="1477"/>
      <c r="B10" s="472">
        <v>2</v>
      </c>
      <c r="C10" s="493"/>
      <c r="D10" s="494"/>
      <c r="E10" s="494"/>
      <c r="F10" s="495"/>
      <c r="G10" s="566"/>
      <c r="H10" s="514"/>
      <c r="I10" s="515"/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/>
      <c r="V10" s="6"/>
      <c r="W10" s="6"/>
      <c r="X10" s="508"/>
      <c r="Y10" s="465"/>
      <c r="Z10" s="469"/>
      <c r="AA10" s="6"/>
      <c r="AB10" s="527"/>
      <c r="AC10" s="66"/>
      <c r="AD10" s="470"/>
      <c r="AE10" s="6"/>
      <c r="AF10" s="6"/>
      <c r="AG10" s="508"/>
      <c r="AH10" s="469"/>
      <c r="AI10" s="6"/>
      <c r="AJ10" s="6"/>
      <c r="AK10" s="527"/>
      <c r="AM10" s="470"/>
      <c r="AN10" s="6"/>
      <c r="AO10" s="6"/>
      <c r="AP10" s="508"/>
      <c r="AQ10" s="509"/>
      <c r="AR10" s="6"/>
      <c r="AS10" s="6"/>
      <c r="AT10" s="527"/>
    </row>
    <row r="11" spans="1:46" ht="30.75" customHeight="1" x14ac:dyDescent="0.35">
      <c r="A11" s="1478">
        <v>44990</v>
      </c>
      <c r="B11" s="472">
        <v>1</v>
      </c>
      <c r="C11" s="493"/>
      <c r="D11" s="494"/>
      <c r="E11" s="494"/>
      <c r="F11" s="495"/>
      <c r="G11" s="565"/>
      <c r="H11" s="514"/>
      <c r="I11" s="515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  <c r="AM11" s="470"/>
      <c r="AN11" s="6"/>
      <c r="AO11" s="6"/>
      <c r="AP11" s="508"/>
      <c r="AQ11" s="509"/>
      <c r="AR11" s="6"/>
      <c r="AS11" s="6"/>
      <c r="AT11" s="508"/>
    </row>
    <row r="12" spans="1:46" ht="36.65" customHeight="1" x14ac:dyDescent="0.35">
      <c r="A12" s="1477"/>
      <c r="B12" s="472">
        <v>2</v>
      </c>
      <c r="C12" s="493"/>
      <c r="D12" s="494"/>
      <c r="E12" s="494"/>
      <c r="F12" s="495"/>
      <c r="G12" s="566"/>
      <c r="H12" s="514"/>
      <c r="I12" s="515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509"/>
      <c r="Z12" s="6"/>
      <c r="AA12" s="602"/>
      <c r="AB12" s="527"/>
      <c r="AC12" s="66"/>
      <c r="AD12" s="470"/>
      <c r="AE12" s="6"/>
      <c r="AF12" s="6"/>
      <c r="AG12" s="508"/>
      <c r="AH12" s="509"/>
      <c r="AI12" s="6"/>
      <c r="AJ12" s="6"/>
      <c r="AK12" s="527"/>
      <c r="AM12" s="470"/>
      <c r="AN12" s="6"/>
      <c r="AO12" s="6"/>
      <c r="AP12" s="508"/>
      <c r="AQ12" s="509"/>
      <c r="AR12" s="6"/>
      <c r="AS12" s="6"/>
      <c r="AT12" s="527"/>
    </row>
    <row r="13" spans="1:46" ht="34.950000000000003" customHeight="1" x14ac:dyDescent="0.35">
      <c r="A13" s="1478">
        <v>44991</v>
      </c>
      <c r="B13" s="472">
        <v>1</v>
      </c>
      <c r="C13" s="493"/>
      <c r="D13" s="494"/>
      <c r="E13" s="494"/>
      <c r="F13" s="495"/>
      <c r="G13" s="566"/>
      <c r="H13" s="514"/>
      <c r="I13" s="515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/>
      <c r="X13" s="495"/>
      <c r="Y13" s="469"/>
      <c r="Z13" s="502"/>
      <c r="AA13" s="6"/>
      <c r="AB13" s="527"/>
      <c r="AC13" s="66"/>
      <c r="AD13" s="470"/>
      <c r="AE13" s="6"/>
      <c r="AF13" s="6"/>
      <c r="AG13" s="495"/>
      <c r="AH13" s="509"/>
      <c r="AI13" s="6"/>
      <c r="AJ13" s="6"/>
      <c r="AK13" s="527"/>
      <c r="AM13" s="470"/>
      <c r="AN13" s="6"/>
      <c r="AO13" s="6"/>
      <c r="AP13" s="495"/>
      <c r="AQ13" s="509"/>
      <c r="AR13" s="6"/>
      <c r="AS13" s="6"/>
      <c r="AT13" s="527"/>
    </row>
    <row r="14" spans="1:46" ht="27.65" customHeight="1" x14ac:dyDescent="0.35">
      <c r="A14" s="1477"/>
      <c r="B14" s="472">
        <v>2</v>
      </c>
      <c r="C14" s="493"/>
      <c r="D14" s="494"/>
      <c r="E14" s="494"/>
      <c r="F14" s="495"/>
      <c r="G14" s="566"/>
      <c r="H14" s="515"/>
      <c r="I14" s="515"/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02"/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/>
      <c r="AN14" s="6"/>
      <c r="AO14" s="6"/>
      <c r="AP14" s="495"/>
      <c r="AQ14" s="469"/>
      <c r="AR14" s="6"/>
      <c r="AS14" s="6"/>
      <c r="AT14" s="527"/>
    </row>
    <row r="15" spans="1:46" ht="48" customHeight="1" x14ac:dyDescent="0.35">
      <c r="A15" s="1478">
        <v>44992</v>
      </c>
      <c r="B15" s="472">
        <v>1</v>
      </c>
      <c r="C15" s="493"/>
      <c r="D15" s="494"/>
      <c r="E15" s="6"/>
      <c r="F15" s="495"/>
      <c r="G15" s="566"/>
      <c r="H15" s="515"/>
      <c r="I15" s="515"/>
      <c r="J15" s="527"/>
      <c r="K15" s="66"/>
      <c r="L15" s="470"/>
      <c r="M15" s="6"/>
      <c r="N15" s="6"/>
      <c r="O15" s="495"/>
      <c r="P15" s="470"/>
      <c r="Q15" s="515"/>
      <c r="R15" s="6"/>
      <c r="S15" s="527"/>
      <c r="T15" s="66"/>
      <c r="U15" s="470"/>
      <c r="V15" s="6"/>
      <c r="W15" s="6"/>
      <c r="X15" s="495"/>
      <c r="Y15" s="470"/>
      <c r="Z15" s="515"/>
      <c r="AA15" s="609"/>
      <c r="AB15" s="527"/>
      <c r="AC15" s="66"/>
      <c r="AD15" s="470">
        <v>39</v>
      </c>
      <c r="AE15" s="6"/>
      <c r="AF15" s="66"/>
      <c r="AG15" s="495"/>
      <c r="AH15" s="645" t="s">
        <v>603</v>
      </c>
      <c r="AI15" s="573"/>
      <c r="AJ15" s="6"/>
      <c r="AK15" s="527"/>
      <c r="AM15" s="470"/>
      <c r="AN15" s="6"/>
      <c r="AO15" s="66"/>
      <c r="AP15" s="495"/>
      <c r="AR15" s="573"/>
      <c r="AS15" s="6"/>
      <c r="AT15" s="527"/>
    </row>
    <row r="16" spans="1:46" ht="54.65" customHeight="1" x14ac:dyDescent="0.35">
      <c r="A16" s="1477"/>
      <c r="B16" s="472">
        <v>2</v>
      </c>
      <c r="C16" s="493"/>
      <c r="D16" s="494"/>
      <c r="E16" s="494">
        <v>21</v>
      </c>
      <c r="F16" s="495">
        <v>100</v>
      </c>
      <c r="G16" s="565"/>
      <c r="H16" s="638"/>
      <c r="I16" s="515" t="s">
        <v>152</v>
      </c>
      <c r="J16" s="527" t="s">
        <v>604</v>
      </c>
      <c r="K16" s="66"/>
      <c r="L16" s="470">
        <v>35</v>
      </c>
      <c r="M16" s="6"/>
      <c r="N16" s="6"/>
      <c r="O16" s="495">
        <v>100</v>
      </c>
      <c r="P16" s="565" t="s">
        <v>605</v>
      </c>
      <c r="Q16" s="638"/>
      <c r="R16" s="515"/>
      <c r="S16" s="527" t="s">
        <v>604</v>
      </c>
      <c r="T16" s="66"/>
      <c r="U16" s="470"/>
      <c r="V16" s="6"/>
      <c r="W16" s="6"/>
      <c r="X16" s="495">
        <v>100</v>
      </c>
      <c r="Y16" s="565"/>
      <c r="Z16" s="638"/>
      <c r="AA16" s="515"/>
      <c r="AB16" s="527" t="s">
        <v>604</v>
      </c>
      <c r="AC16" s="66"/>
      <c r="AD16" s="470"/>
      <c r="AE16" s="6"/>
      <c r="AF16" s="6"/>
      <c r="AG16" s="495">
        <v>100</v>
      </c>
      <c r="AH16" s="565"/>
      <c r="AI16" s="638"/>
      <c r="AJ16" s="515"/>
      <c r="AK16" s="527" t="s">
        <v>604</v>
      </c>
      <c r="AM16" s="470"/>
      <c r="AN16" s="6"/>
      <c r="AO16" s="6"/>
      <c r="AP16" s="495">
        <v>100</v>
      </c>
      <c r="AQ16" s="565"/>
      <c r="AR16" s="638"/>
      <c r="AS16" s="515"/>
      <c r="AT16" s="527" t="s">
        <v>604</v>
      </c>
    </row>
    <row r="17" spans="1:46" ht="66" customHeight="1" x14ac:dyDescent="0.35">
      <c r="A17" s="1478">
        <v>44993</v>
      </c>
      <c r="B17" s="534">
        <v>1</v>
      </c>
      <c r="C17" s="493"/>
      <c r="D17" s="494"/>
      <c r="E17" s="494"/>
      <c r="F17" s="495">
        <v>425</v>
      </c>
      <c r="G17" s="566"/>
      <c r="H17" s="514"/>
      <c r="I17" s="515"/>
      <c r="J17" s="527" t="s">
        <v>606</v>
      </c>
      <c r="K17" s="66"/>
      <c r="L17" s="470"/>
      <c r="M17" s="6"/>
      <c r="N17" s="6"/>
      <c r="O17" s="495">
        <v>425</v>
      </c>
      <c r="P17" s="566"/>
      <c r="Q17" s="514"/>
      <c r="R17" s="515"/>
      <c r="S17" s="527" t="s">
        <v>606</v>
      </c>
      <c r="T17" s="66"/>
      <c r="U17" s="470"/>
      <c r="V17" s="6"/>
      <c r="W17" s="6"/>
      <c r="X17" s="495">
        <v>425</v>
      </c>
      <c r="Y17" s="566"/>
      <c r="Z17" s="514"/>
      <c r="AA17" s="515"/>
      <c r="AB17" s="527" t="s">
        <v>606</v>
      </c>
      <c r="AC17" s="66"/>
      <c r="AD17" s="470"/>
      <c r="AE17" s="6"/>
      <c r="AF17" s="6"/>
      <c r="AG17" s="495">
        <v>425</v>
      </c>
      <c r="AH17" s="566"/>
      <c r="AI17" s="514"/>
      <c r="AJ17" s="515"/>
      <c r="AK17" s="527" t="s">
        <v>606</v>
      </c>
      <c r="AM17" s="470"/>
      <c r="AN17" s="6"/>
      <c r="AO17" s="6"/>
      <c r="AP17" s="495">
        <v>425</v>
      </c>
      <c r="AQ17" s="566"/>
      <c r="AR17" s="514"/>
      <c r="AS17" s="515"/>
      <c r="AT17" s="527" t="s">
        <v>606</v>
      </c>
    </row>
    <row r="18" spans="1:46" ht="68.5" customHeight="1" x14ac:dyDescent="0.35">
      <c r="A18" s="1477"/>
      <c r="B18" s="472">
        <v>2</v>
      </c>
      <c r="C18" s="493"/>
      <c r="D18" s="494"/>
      <c r="E18" s="494"/>
      <c r="F18" s="495">
        <v>300</v>
      </c>
      <c r="G18" s="565"/>
      <c r="H18" s="515"/>
      <c r="I18" s="514"/>
      <c r="J18" s="527" t="s">
        <v>606</v>
      </c>
      <c r="K18" s="66"/>
      <c r="L18" s="470"/>
      <c r="M18" s="6"/>
      <c r="N18" s="6"/>
      <c r="O18" s="495">
        <v>300</v>
      </c>
      <c r="P18" s="565"/>
      <c r="Q18" s="515"/>
      <c r="R18" s="514"/>
      <c r="S18" s="527" t="s">
        <v>606</v>
      </c>
      <c r="T18" s="66"/>
      <c r="U18" s="470"/>
      <c r="V18" s="6"/>
      <c r="W18" s="6"/>
      <c r="X18" s="495">
        <v>300</v>
      </c>
      <c r="Y18" s="565"/>
      <c r="Z18" s="515"/>
      <c r="AA18" s="514"/>
      <c r="AB18" s="527" t="s">
        <v>606</v>
      </c>
      <c r="AC18" s="66"/>
      <c r="AD18" s="470"/>
      <c r="AE18" s="6"/>
      <c r="AF18" s="6"/>
      <c r="AG18" s="495">
        <v>300</v>
      </c>
      <c r="AH18" s="565"/>
      <c r="AI18" s="515"/>
      <c r="AJ18" s="514"/>
      <c r="AK18" s="527" t="s">
        <v>606</v>
      </c>
      <c r="AM18" s="470"/>
      <c r="AN18" s="6"/>
      <c r="AO18" s="6"/>
      <c r="AP18" s="495">
        <v>300</v>
      </c>
      <c r="AQ18" s="565"/>
      <c r="AR18" s="515"/>
      <c r="AS18" s="514"/>
      <c r="AT18" s="527" t="s">
        <v>606</v>
      </c>
    </row>
    <row r="19" spans="1:46" ht="33.65" customHeight="1" x14ac:dyDescent="0.35">
      <c r="A19" s="1478">
        <v>44994</v>
      </c>
      <c r="B19" s="472">
        <v>1</v>
      </c>
      <c r="C19" s="66"/>
      <c r="D19" s="494"/>
      <c r="E19" s="494"/>
      <c r="F19" s="495"/>
      <c r="G19" s="470"/>
      <c r="H19" s="6"/>
      <c r="I19" s="6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502"/>
      <c r="AB19" s="527"/>
      <c r="AC19" s="66"/>
      <c r="AD19" s="470"/>
      <c r="AE19" s="6"/>
      <c r="AF19" s="6"/>
      <c r="AG19" s="495"/>
      <c r="AH19" s="470"/>
      <c r="AI19" s="6"/>
      <c r="AJ19" s="6"/>
      <c r="AK19" s="527"/>
      <c r="AM19" s="470"/>
      <c r="AN19" s="6"/>
      <c r="AO19" s="6"/>
      <c r="AP19" s="495"/>
      <c r="AQ19" s="470"/>
      <c r="AR19" s="6"/>
      <c r="AS19" s="6"/>
      <c r="AT19" s="527"/>
    </row>
    <row r="20" spans="1:46" ht="31.2" customHeight="1" x14ac:dyDescent="0.35">
      <c r="A20" s="1477"/>
      <c r="B20" s="472">
        <v>2</v>
      </c>
      <c r="C20" s="493"/>
      <c r="D20" s="494"/>
      <c r="E20" s="494"/>
      <c r="F20" s="495"/>
      <c r="G20" s="470"/>
      <c r="H20" s="502"/>
      <c r="I20" s="605"/>
      <c r="J20" s="527"/>
      <c r="K20" s="66"/>
      <c r="L20" s="470"/>
      <c r="M20" s="6"/>
      <c r="N20" s="6"/>
      <c r="O20" s="495"/>
      <c r="P20" s="470"/>
      <c r="Q20" s="502"/>
      <c r="R20" s="605"/>
      <c r="S20" s="527"/>
      <c r="T20" s="66"/>
      <c r="U20" s="470"/>
      <c r="V20" s="214"/>
      <c r="W20" s="6">
        <v>13</v>
      </c>
      <c r="X20" s="495"/>
      <c r="Y20" s="470"/>
      <c r="Z20" s="502"/>
      <c r="AA20" s="605" t="s">
        <v>152</v>
      </c>
      <c r="AB20" s="527"/>
      <c r="AC20" s="66"/>
      <c r="AD20" s="470"/>
      <c r="AE20" s="6"/>
      <c r="AF20" s="6"/>
      <c r="AG20" s="495"/>
      <c r="AH20" s="470"/>
      <c r="AI20" s="502"/>
      <c r="AJ20" s="605"/>
      <c r="AK20" s="527"/>
      <c r="AM20" s="470"/>
      <c r="AN20" s="6"/>
      <c r="AO20" s="6"/>
      <c r="AP20" s="495"/>
      <c r="AQ20" s="470"/>
      <c r="AR20" s="502"/>
      <c r="AS20" s="605"/>
      <c r="AT20" s="527"/>
    </row>
    <row r="21" spans="1:46" ht="39.65" customHeight="1" x14ac:dyDescent="0.35">
      <c r="A21" s="1478">
        <v>44995</v>
      </c>
      <c r="B21" s="472">
        <v>1</v>
      </c>
      <c r="C21" s="493"/>
      <c r="D21" s="494"/>
      <c r="E21" s="494"/>
      <c r="F21" s="495"/>
      <c r="G21" s="569"/>
      <c r="H21" s="514"/>
      <c r="I21" s="515"/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70"/>
      <c r="Z21" s="6"/>
      <c r="AA21" s="502"/>
      <c r="AB21" s="527"/>
      <c r="AC21" s="66"/>
      <c r="AD21" s="470"/>
      <c r="AE21" s="6"/>
      <c r="AF21" s="6"/>
      <c r="AG21" s="495"/>
      <c r="AH21" s="470"/>
      <c r="AI21" s="6"/>
      <c r="AJ21" s="6"/>
      <c r="AK21" s="607"/>
      <c r="AM21" s="470"/>
      <c r="AN21" s="6"/>
      <c r="AO21" s="6"/>
      <c r="AP21" s="495"/>
      <c r="AQ21" s="470"/>
      <c r="AR21" s="502"/>
      <c r="AS21" s="47"/>
      <c r="AT21" s="527"/>
    </row>
    <row r="22" spans="1:46" ht="31.95" customHeight="1" x14ac:dyDescent="0.35">
      <c r="A22" s="1477"/>
      <c r="B22" s="472">
        <v>2</v>
      </c>
      <c r="C22" s="493"/>
      <c r="D22" s="494">
        <v>25</v>
      </c>
      <c r="E22" s="494"/>
      <c r="F22" s="495"/>
      <c r="G22" s="562"/>
      <c r="H22" s="515" t="s">
        <v>607</v>
      </c>
      <c r="I22" s="515"/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/>
      <c r="X22" s="495"/>
      <c r="Y22" s="470"/>
      <c r="Z22" s="6"/>
      <c r="AA22" s="502"/>
      <c r="AB22" s="527"/>
      <c r="AC22" s="66"/>
      <c r="AD22" s="470"/>
      <c r="AE22" s="6"/>
      <c r="AF22" s="6"/>
      <c r="AG22" s="495"/>
      <c r="AH22" s="465"/>
      <c r="AI22" s="6"/>
      <c r="AJ22" s="6"/>
      <c r="AK22" s="607"/>
      <c r="AM22" s="470"/>
      <c r="AN22" s="6"/>
      <c r="AO22" s="6"/>
      <c r="AP22" s="495"/>
      <c r="AQ22" s="470"/>
      <c r="AR22" s="502"/>
      <c r="AS22" s="47"/>
      <c r="AT22" s="527"/>
    </row>
    <row r="23" spans="1:46" ht="37.950000000000003" customHeight="1" x14ac:dyDescent="0.35">
      <c r="A23" s="1478">
        <v>44996</v>
      </c>
      <c r="B23" s="534">
        <v>1</v>
      </c>
      <c r="C23" s="493"/>
      <c r="D23" s="494"/>
      <c r="E23" s="494"/>
      <c r="F23" s="495"/>
      <c r="G23" s="566"/>
      <c r="H23" s="514"/>
      <c r="I23" s="515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>
        <v>80</v>
      </c>
      <c r="V23" s="6"/>
      <c r="W23" s="6"/>
      <c r="X23" s="495"/>
      <c r="Y23" s="565" t="s">
        <v>608</v>
      </c>
      <c r="Z23" s="514"/>
      <c r="AA23" s="515"/>
      <c r="AB23" s="527"/>
      <c r="AC23" s="66"/>
      <c r="AD23" s="470"/>
      <c r="AE23" s="6"/>
      <c r="AF23" s="6"/>
      <c r="AG23" s="495"/>
      <c r="AH23" s="6"/>
      <c r="AI23" s="514"/>
      <c r="AJ23" s="515"/>
      <c r="AK23" s="607"/>
      <c r="AM23" s="470"/>
      <c r="AN23" s="6"/>
      <c r="AO23" s="6"/>
      <c r="AP23" s="495"/>
      <c r="AQ23" s="6"/>
      <c r="AR23" s="514"/>
      <c r="AS23" s="573"/>
      <c r="AT23" s="527"/>
    </row>
    <row r="24" spans="1:46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4"/>
      <c r="I24" s="515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/>
      <c r="X24" s="495"/>
      <c r="Y24" s="566"/>
      <c r="Z24" s="514"/>
      <c r="AA24" s="515"/>
      <c r="AB24" s="527"/>
      <c r="AC24" s="66"/>
      <c r="AD24" s="470"/>
      <c r="AE24" s="6"/>
      <c r="AF24" s="6"/>
      <c r="AG24" s="495"/>
      <c r="AH24" s="6"/>
      <c r="AI24" s="514"/>
      <c r="AJ24" s="6"/>
      <c r="AK24" s="607"/>
      <c r="AM24" s="470"/>
      <c r="AN24" s="6"/>
      <c r="AO24" s="6"/>
      <c r="AP24" s="495"/>
      <c r="AQ24" s="6"/>
      <c r="AR24" s="514"/>
      <c r="AS24" s="636"/>
      <c r="AT24" s="527"/>
    </row>
    <row r="25" spans="1:46" ht="46.2" customHeight="1" x14ac:dyDescent="0.35">
      <c r="A25" s="1478">
        <v>44997</v>
      </c>
      <c r="B25" s="472">
        <v>1</v>
      </c>
      <c r="C25" s="493"/>
      <c r="D25" s="494"/>
      <c r="E25" s="494"/>
      <c r="F25" s="495"/>
      <c r="G25" s="566"/>
      <c r="H25" s="514"/>
      <c r="I25" s="515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70"/>
      <c r="Z25" s="502"/>
      <c r="AA25" s="502"/>
      <c r="AB25" s="527"/>
      <c r="AC25" s="66"/>
      <c r="AD25" s="470"/>
      <c r="AE25" s="6"/>
      <c r="AF25" s="6"/>
      <c r="AG25" s="495"/>
      <c r="AH25" s="6"/>
      <c r="AI25" s="6"/>
      <c r="AJ25" s="6"/>
      <c r="AK25" s="607"/>
      <c r="AM25" s="470"/>
      <c r="AN25" s="6"/>
      <c r="AO25" s="6"/>
      <c r="AP25" s="495"/>
      <c r="AQ25" s="6"/>
      <c r="AR25" s="6"/>
      <c r="AS25" s="47"/>
      <c r="AT25" s="527"/>
    </row>
    <row r="26" spans="1:46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573"/>
      <c r="J26" s="527"/>
      <c r="K26" s="66"/>
      <c r="L26" s="470"/>
      <c r="M26" s="6"/>
      <c r="N26" s="6"/>
      <c r="O26" s="495"/>
      <c r="P26" s="566"/>
      <c r="Q26" s="515"/>
      <c r="R26" s="515"/>
      <c r="S26" s="527"/>
      <c r="T26" s="66"/>
      <c r="U26" s="470"/>
      <c r="V26" s="494"/>
      <c r="W26" s="6"/>
      <c r="X26" s="495"/>
      <c r="Y26" s="566"/>
      <c r="Z26" s="515"/>
      <c r="AA26" s="515"/>
      <c r="AB26" s="527"/>
      <c r="AC26" s="66"/>
      <c r="AD26" s="470"/>
      <c r="AE26" s="494"/>
      <c r="AF26" s="6"/>
      <c r="AG26" s="495"/>
      <c r="AH26" s="6"/>
      <c r="AI26" s="6"/>
      <c r="AJ26" s="6"/>
      <c r="AK26" s="607"/>
      <c r="AM26" s="470"/>
      <c r="AN26" s="494"/>
      <c r="AO26" s="6"/>
      <c r="AP26" s="495"/>
      <c r="AQ26" s="6"/>
      <c r="AR26" s="6"/>
      <c r="AS26" s="47"/>
      <c r="AT26" s="527"/>
    </row>
    <row r="27" spans="1:46" ht="49.95" customHeight="1" x14ac:dyDescent="0.35">
      <c r="A27" s="1478">
        <v>44998</v>
      </c>
      <c r="B27" s="534">
        <v>1</v>
      </c>
      <c r="C27" s="493"/>
      <c r="D27" s="494"/>
      <c r="E27" s="494">
        <v>13</v>
      </c>
      <c r="F27" s="495"/>
      <c r="G27" s="566"/>
      <c r="H27" s="514"/>
      <c r="I27" s="573" t="s">
        <v>152</v>
      </c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>
        <v>49</v>
      </c>
      <c r="X27" s="508"/>
      <c r="Y27" s="566"/>
      <c r="Z27" s="514"/>
      <c r="AA27" s="515" t="s">
        <v>609</v>
      </c>
      <c r="AB27" s="527"/>
      <c r="AC27" s="66"/>
      <c r="AD27" s="470"/>
      <c r="AE27" s="6"/>
      <c r="AF27" s="6"/>
      <c r="AG27" s="508"/>
      <c r="AH27" s="6"/>
      <c r="AI27" s="6"/>
      <c r="AJ27" s="515"/>
      <c r="AK27" s="607"/>
      <c r="AM27" s="470"/>
      <c r="AN27" s="6"/>
      <c r="AO27" s="6"/>
      <c r="AP27" s="508"/>
      <c r="AQ27" s="6"/>
      <c r="AR27" s="6"/>
      <c r="AS27" s="573"/>
      <c r="AT27" s="527"/>
    </row>
    <row r="28" spans="1:46" ht="49.2" customHeight="1" x14ac:dyDescent="0.35">
      <c r="A28" s="1477"/>
      <c r="B28" s="472">
        <v>2</v>
      </c>
      <c r="C28" s="493">
        <v>135</v>
      </c>
      <c r="D28" s="494"/>
      <c r="E28" s="494"/>
      <c r="F28" s="495"/>
      <c r="G28" s="515" t="s">
        <v>610</v>
      </c>
      <c r="H28" s="515"/>
      <c r="I28" s="573"/>
      <c r="J28" s="527"/>
      <c r="K28" s="66"/>
      <c r="L28" s="470"/>
      <c r="M28" s="6"/>
      <c r="N28" s="6"/>
      <c r="O28" s="495"/>
      <c r="P28" s="515"/>
      <c r="Q28" s="515"/>
      <c r="R28" s="515"/>
      <c r="S28" s="526"/>
      <c r="T28" s="66"/>
      <c r="U28" s="470"/>
      <c r="V28" s="6"/>
      <c r="W28" s="66"/>
      <c r="X28" s="495"/>
      <c r="Y28" s="515"/>
      <c r="Z28" s="6"/>
      <c r="AA28" s="573"/>
      <c r="AB28" s="527"/>
      <c r="AC28" s="66"/>
      <c r="AD28" s="470"/>
      <c r="AE28" s="6"/>
      <c r="AF28" s="6"/>
      <c r="AG28" s="495"/>
      <c r="AH28" s="502"/>
      <c r="AI28" s="6"/>
      <c r="AJ28" s="573"/>
      <c r="AK28" s="526"/>
      <c r="AM28" s="470"/>
      <c r="AN28" s="6"/>
      <c r="AO28" s="6"/>
      <c r="AP28" s="495"/>
      <c r="AQ28" s="502"/>
      <c r="AR28" s="6"/>
      <c r="AS28" s="573"/>
      <c r="AT28" s="526"/>
    </row>
    <row r="29" spans="1:46" ht="45" customHeight="1" x14ac:dyDescent="0.35">
      <c r="A29" s="1478">
        <v>44999</v>
      </c>
      <c r="B29" s="472">
        <v>1</v>
      </c>
      <c r="C29" s="493">
        <v>485</v>
      </c>
      <c r="D29" s="494"/>
      <c r="E29" s="494">
        <v>38</v>
      </c>
      <c r="F29" s="495"/>
      <c r="G29" s="515" t="s">
        <v>610</v>
      </c>
      <c r="H29" s="514"/>
      <c r="I29" s="573" t="s">
        <v>152</v>
      </c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>
        <v>11</v>
      </c>
      <c r="W29" s="6"/>
      <c r="X29" s="495"/>
      <c r="Y29" s="566"/>
      <c r="Z29" s="514" t="s">
        <v>601</v>
      </c>
      <c r="AA29" s="573"/>
      <c r="AB29" s="527"/>
      <c r="AC29" s="66"/>
      <c r="AD29" s="470"/>
      <c r="AE29" s="6">
        <v>80</v>
      </c>
      <c r="AF29" s="6"/>
      <c r="AG29" s="495"/>
      <c r="AH29" s="566"/>
      <c r="AI29" s="514" t="s">
        <v>601</v>
      </c>
      <c r="AJ29" s="515"/>
      <c r="AK29" s="508"/>
      <c r="AM29" s="470"/>
      <c r="AN29" s="6"/>
      <c r="AO29" s="6"/>
      <c r="AP29" s="495"/>
      <c r="AQ29" s="566"/>
      <c r="AR29" s="514"/>
      <c r="AS29" s="515"/>
      <c r="AT29" s="508"/>
    </row>
    <row r="30" spans="1:46" ht="30.6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4"/>
      <c r="I30" s="515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/>
      <c r="X30" s="495"/>
      <c r="Y30" s="566"/>
      <c r="Z30" s="514"/>
      <c r="AA30" s="515"/>
      <c r="AB30" s="508"/>
      <c r="AC30" s="66"/>
      <c r="AD30" s="470"/>
      <c r="AE30" s="6"/>
      <c r="AF30" s="6"/>
      <c r="AG30" s="495"/>
      <c r="AH30" s="566"/>
      <c r="AI30" s="514"/>
      <c r="AJ30" s="515"/>
      <c r="AK30" s="508"/>
      <c r="AM30" s="470"/>
      <c r="AN30" s="6"/>
      <c r="AO30" s="6"/>
      <c r="AP30" s="495"/>
      <c r="AQ30" s="566"/>
      <c r="AR30" s="514"/>
      <c r="AS30" s="515"/>
      <c r="AT30" s="508"/>
    </row>
    <row r="31" spans="1:46" ht="39.65" customHeight="1" x14ac:dyDescent="0.35">
      <c r="A31" s="1478">
        <v>45000</v>
      </c>
      <c r="B31" s="472">
        <v>1</v>
      </c>
      <c r="C31" s="493"/>
      <c r="D31" s="494"/>
      <c r="E31" s="494"/>
      <c r="F31" s="495"/>
      <c r="G31" s="566"/>
      <c r="H31" s="514"/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469"/>
      <c r="Z31" s="6"/>
      <c r="AA31" s="6"/>
      <c r="AB31" s="527"/>
      <c r="AC31" s="66"/>
      <c r="AD31" s="470"/>
      <c r="AE31" s="6"/>
      <c r="AF31" s="6"/>
      <c r="AG31" s="495"/>
      <c r="AH31" s="509"/>
      <c r="AI31" s="6"/>
      <c r="AJ31" s="6"/>
      <c r="AK31" s="527"/>
      <c r="AM31" s="470"/>
      <c r="AN31" s="6"/>
      <c r="AO31" s="6"/>
      <c r="AP31" s="495"/>
      <c r="AQ31" s="509"/>
      <c r="AR31" s="6"/>
      <c r="AS31" s="6"/>
      <c r="AT31" s="527"/>
    </row>
    <row r="32" spans="1:46" ht="28.2" customHeight="1" x14ac:dyDescent="0.35">
      <c r="A32" s="1477"/>
      <c r="B32" s="472">
        <v>2</v>
      </c>
      <c r="C32" s="493">
        <v>15</v>
      </c>
      <c r="D32" s="494">
        <v>15</v>
      </c>
      <c r="E32" s="494">
        <v>15</v>
      </c>
      <c r="F32" s="495"/>
      <c r="G32" s="566" t="s">
        <v>583</v>
      </c>
      <c r="H32" s="566" t="s">
        <v>583</v>
      </c>
      <c r="I32" s="566" t="s">
        <v>583</v>
      </c>
      <c r="J32" s="568"/>
      <c r="K32" s="66"/>
      <c r="L32" s="470"/>
      <c r="M32" s="6"/>
      <c r="N32" s="6"/>
      <c r="O32" s="508"/>
      <c r="P32" s="509"/>
      <c r="Q32" s="6"/>
      <c r="R32" s="6"/>
      <c r="S32" s="627"/>
      <c r="T32" s="66"/>
      <c r="U32" s="470"/>
      <c r="V32" s="6"/>
      <c r="W32" s="6"/>
      <c r="X32" s="508"/>
      <c r="Y32" s="509"/>
      <c r="Z32" s="502"/>
      <c r="AA32" s="573"/>
      <c r="AB32" s="527"/>
      <c r="AC32" s="66"/>
      <c r="AD32" s="470">
        <v>242</v>
      </c>
      <c r="AE32" s="6"/>
      <c r="AF32" s="6"/>
      <c r="AG32" s="508"/>
      <c r="AH32" s="509" t="s">
        <v>611</v>
      </c>
      <c r="AI32" s="502"/>
      <c r="AJ32" s="6"/>
      <c r="AK32" s="508"/>
      <c r="AM32" s="470"/>
      <c r="AN32" s="6"/>
      <c r="AO32" s="6"/>
      <c r="AP32" s="508"/>
      <c r="AQ32" s="509"/>
      <c r="AR32" s="502"/>
      <c r="AS32" s="6"/>
      <c r="AT32" s="508"/>
    </row>
    <row r="33" spans="1:46" ht="43.2" customHeight="1" x14ac:dyDescent="0.35">
      <c r="A33" s="1478">
        <v>45001</v>
      </c>
      <c r="B33" s="472">
        <v>1</v>
      </c>
      <c r="C33" s="493"/>
      <c r="D33" s="494"/>
      <c r="E33" s="494"/>
      <c r="F33" s="495"/>
      <c r="G33" s="566"/>
      <c r="H33" s="514"/>
      <c r="I33" s="573"/>
      <c r="J33" s="568"/>
      <c r="K33" s="66"/>
      <c r="L33" s="470"/>
      <c r="M33" s="6"/>
      <c r="N33" s="6"/>
      <c r="O33" s="508"/>
      <c r="P33" s="509"/>
      <c r="Q33" s="6"/>
      <c r="R33" s="6"/>
      <c r="S33" s="508"/>
      <c r="T33" s="66"/>
      <c r="U33" s="470"/>
      <c r="V33" s="6"/>
      <c r="W33" s="6"/>
      <c r="X33" s="508"/>
      <c r="Y33" s="509"/>
      <c r="Z33" s="6"/>
      <c r="AA33" s="502"/>
      <c r="AB33" s="508"/>
      <c r="AC33" s="66"/>
      <c r="AD33" s="470"/>
      <c r="AE33" s="6"/>
      <c r="AF33" s="6"/>
      <c r="AG33" s="508"/>
      <c r="AH33" s="509"/>
      <c r="AI33" s="502"/>
      <c r="AJ33" s="6"/>
      <c r="AK33" s="508"/>
      <c r="AM33" s="470"/>
      <c r="AN33" s="6"/>
      <c r="AO33" s="6"/>
      <c r="AP33" s="508"/>
      <c r="AQ33" s="509"/>
      <c r="AR33" s="502"/>
      <c r="AS33" s="6"/>
      <c r="AT33" s="508"/>
    </row>
    <row r="34" spans="1:46" ht="37.200000000000003" customHeight="1" x14ac:dyDescent="0.35">
      <c r="A34" s="1477"/>
      <c r="B34" s="534">
        <v>2</v>
      </c>
      <c r="C34" s="494"/>
      <c r="D34" s="494"/>
      <c r="E34" s="494"/>
      <c r="F34" s="637"/>
      <c r="G34" s="566"/>
      <c r="H34" s="515"/>
      <c r="I34" s="515"/>
      <c r="J34" s="568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/>
      <c r="X34" s="508"/>
      <c r="Y34" s="6"/>
      <c r="Z34" s="502"/>
      <c r="AA34" s="515"/>
      <c r="AB34" s="527"/>
      <c r="AC34" s="66"/>
      <c r="AD34" s="470"/>
      <c r="AE34" s="6"/>
      <c r="AF34" s="6"/>
      <c r="AG34" s="508"/>
      <c r="AH34" s="509"/>
      <c r="AI34" s="6"/>
      <c r="AJ34" s="6"/>
      <c r="AK34" s="508"/>
      <c r="AM34" s="470"/>
      <c r="AN34" s="6"/>
      <c r="AO34" s="6"/>
      <c r="AP34" s="508"/>
      <c r="AQ34" s="509"/>
      <c r="AR34" s="6"/>
      <c r="AS34" s="6"/>
      <c r="AT34" s="508"/>
    </row>
    <row r="35" spans="1:46" ht="37.950000000000003" customHeight="1" x14ac:dyDescent="0.35">
      <c r="A35" s="1478">
        <v>45002</v>
      </c>
      <c r="B35" s="472">
        <v>1</v>
      </c>
      <c r="C35" s="494"/>
      <c r="D35" s="494"/>
      <c r="E35" s="47"/>
      <c r="F35" s="636"/>
      <c r="G35" s="465"/>
      <c r="H35" s="509"/>
      <c r="I35" s="502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/>
      <c r="X35" s="526"/>
      <c r="Y35" s="465"/>
      <c r="Z35" s="6"/>
      <c r="AA35" s="502"/>
      <c r="AB35" s="508"/>
      <c r="AC35" s="66"/>
      <c r="AD35" s="470"/>
      <c r="AE35" s="6"/>
      <c r="AF35" s="6"/>
      <c r="AG35" s="469"/>
      <c r="AH35" s="465"/>
      <c r="AI35" s="6"/>
      <c r="AJ35" s="502"/>
      <c r="AK35" s="508"/>
      <c r="AM35" s="470"/>
      <c r="AN35" s="6"/>
      <c r="AO35" s="47"/>
      <c r="AP35" s="526"/>
      <c r="AQ35" s="465"/>
      <c r="AR35" s="6"/>
      <c r="AS35" s="502"/>
      <c r="AT35" s="508"/>
    </row>
    <row r="36" spans="1:46" ht="41.5" customHeight="1" x14ac:dyDescent="0.35">
      <c r="A36" s="1477"/>
      <c r="B36" s="472">
        <v>2</v>
      </c>
      <c r="C36" s="6"/>
      <c r="D36" s="6"/>
      <c r="E36" s="47">
        <v>25</v>
      </c>
      <c r="F36" s="636"/>
      <c r="G36" s="465"/>
      <c r="H36" s="469"/>
      <c r="I36" s="573" t="s">
        <v>152</v>
      </c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/>
      <c r="W36" s="6">
        <v>30</v>
      </c>
      <c r="X36" s="469"/>
      <c r="Y36" s="465"/>
      <c r="Z36" s="502"/>
      <c r="AA36" s="605" t="s">
        <v>152</v>
      </c>
      <c r="AB36" s="508"/>
      <c r="AC36" s="66"/>
      <c r="AD36" s="470"/>
      <c r="AE36" s="6"/>
      <c r="AF36" s="47"/>
      <c r="AG36" s="526"/>
      <c r="AH36" s="465"/>
      <c r="AI36" s="502"/>
      <c r="AJ36" s="502"/>
      <c r="AK36" s="508"/>
      <c r="AM36" s="470"/>
      <c r="AN36" s="6"/>
      <c r="AO36" s="6"/>
      <c r="AP36" s="469"/>
      <c r="AQ36" s="465"/>
      <c r="AR36" s="502"/>
      <c r="AS36" s="502"/>
      <c r="AT36" s="508"/>
    </row>
    <row r="37" spans="1:46" ht="38.5" customHeight="1" x14ac:dyDescent="0.35">
      <c r="A37" s="1478">
        <v>45003</v>
      </c>
      <c r="B37" s="534">
        <v>1</v>
      </c>
      <c r="C37" s="494"/>
      <c r="D37" s="494"/>
      <c r="E37" s="6"/>
      <c r="F37" s="47"/>
      <c r="G37" s="635"/>
      <c r="H37" s="469"/>
      <c r="I37" s="502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/>
      <c r="X37" s="508"/>
      <c r="Y37" s="509"/>
      <c r="Z37" s="502"/>
      <c r="AA37" s="502"/>
      <c r="AB37" s="527"/>
      <c r="AC37" s="66"/>
      <c r="AD37" s="470"/>
      <c r="AE37" s="6"/>
      <c r="AF37" s="6"/>
      <c r="AG37" s="508"/>
      <c r="AH37" s="509"/>
      <c r="AI37" s="6"/>
      <c r="AJ37" s="6"/>
      <c r="AK37" s="508"/>
      <c r="AM37" s="470"/>
      <c r="AN37" s="6"/>
      <c r="AO37" s="6"/>
      <c r="AP37" s="508"/>
      <c r="AQ37" s="509"/>
      <c r="AR37" s="6"/>
      <c r="AS37" s="6"/>
      <c r="AT37" s="508"/>
    </row>
    <row r="38" spans="1:46" ht="55.95" customHeight="1" x14ac:dyDescent="0.35">
      <c r="A38" s="1477"/>
      <c r="B38" s="472">
        <v>2</v>
      </c>
      <c r="C38" s="493"/>
      <c r="D38" s="494"/>
      <c r="E38" s="494"/>
      <c r="F38" s="637"/>
      <c r="G38" s="566"/>
      <c r="H38" s="469"/>
      <c r="I38" s="502"/>
      <c r="J38" s="527"/>
      <c r="K38" s="66"/>
      <c r="L38" s="470"/>
      <c r="M38" s="6">
        <v>72</v>
      </c>
      <c r="N38" s="6"/>
      <c r="O38" s="508"/>
      <c r="P38" s="469"/>
      <c r="Q38" s="469" t="s">
        <v>612</v>
      </c>
      <c r="R38" s="6"/>
      <c r="S38" s="527"/>
      <c r="T38" s="66"/>
      <c r="U38" s="470"/>
      <c r="V38" s="6"/>
      <c r="W38" s="6"/>
      <c r="X38" s="508"/>
      <c r="Y38" s="509"/>
      <c r="Z38" s="502"/>
      <c r="AA38" s="6"/>
      <c r="AB38" s="527"/>
      <c r="AC38" s="66"/>
      <c r="AD38" s="470"/>
      <c r="AE38" s="6"/>
      <c r="AF38" s="6"/>
      <c r="AG38" s="508"/>
      <c r="AH38" s="469"/>
      <c r="AI38" s="6"/>
      <c r="AJ38" s="502"/>
      <c r="AK38" s="527"/>
      <c r="AM38" s="470"/>
      <c r="AN38" s="6"/>
      <c r="AO38" s="6"/>
      <c r="AP38" s="508"/>
      <c r="AQ38" s="509"/>
      <c r="AR38" s="6"/>
      <c r="AS38" s="502"/>
      <c r="AT38" s="527"/>
    </row>
    <row r="39" spans="1:46" ht="39" customHeight="1" x14ac:dyDescent="0.35">
      <c r="A39" s="1478">
        <v>45004</v>
      </c>
      <c r="B39" s="472">
        <v>1</v>
      </c>
      <c r="C39" s="493"/>
      <c r="D39" s="494"/>
      <c r="E39" s="494"/>
      <c r="F39" s="495">
        <v>120</v>
      </c>
      <c r="G39" s="566"/>
      <c r="H39" s="514"/>
      <c r="I39" s="573"/>
      <c r="J39" s="568" t="s">
        <v>613</v>
      </c>
      <c r="K39" s="66"/>
      <c r="L39" s="470"/>
      <c r="M39" s="6"/>
      <c r="N39" s="6"/>
      <c r="O39" s="495">
        <v>120</v>
      </c>
      <c r="P39" s="566"/>
      <c r="Q39" s="514"/>
      <c r="R39" s="573"/>
      <c r="S39" s="568" t="s">
        <v>613</v>
      </c>
      <c r="T39" s="66"/>
      <c r="U39" s="470"/>
      <c r="V39" s="6"/>
      <c r="W39" s="6"/>
      <c r="X39" s="495">
        <v>120</v>
      </c>
      <c r="Y39" s="566"/>
      <c r="Z39" s="514"/>
      <c r="AA39" s="573"/>
      <c r="AB39" s="568" t="s">
        <v>613</v>
      </c>
      <c r="AC39" s="66"/>
      <c r="AD39" s="470"/>
      <c r="AE39" s="6"/>
      <c r="AF39" s="6"/>
      <c r="AG39" s="495">
        <v>120</v>
      </c>
      <c r="AH39" s="566"/>
      <c r="AI39" s="514"/>
      <c r="AJ39" s="573"/>
      <c r="AK39" s="568" t="s">
        <v>613</v>
      </c>
      <c r="AM39" s="470"/>
      <c r="AN39" s="6"/>
      <c r="AO39" s="6"/>
      <c r="AP39" s="495">
        <v>120</v>
      </c>
      <c r="AQ39" s="566"/>
      <c r="AR39" s="514"/>
      <c r="AS39" s="573"/>
      <c r="AT39" s="568" t="s">
        <v>613</v>
      </c>
    </row>
    <row r="40" spans="1:46" ht="72.650000000000006" customHeight="1" x14ac:dyDescent="0.35">
      <c r="A40" s="1477"/>
      <c r="B40" s="472">
        <v>2</v>
      </c>
      <c r="C40" s="493"/>
      <c r="D40" s="494">
        <v>358</v>
      </c>
      <c r="E40" s="494"/>
      <c r="F40" s="508">
        <v>123</v>
      </c>
      <c r="G40" s="566"/>
      <c r="H40" s="515" t="s">
        <v>614</v>
      </c>
      <c r="I40" s="573"/>
      <c r="J40" s="568" t="s">
        <v>613</v>
      </c>
      <c r="K40" s="66"/>
      <c r="L40" s="470"/>
      <c r="M40" s="6"/>
      <c r="N40" s="6"/>
      <c r="O40" s="508">
        <v>123</v>
      </c>
      <c r="P40" s="566"/>
      <c r="Q40" s="514"/>
      <c r="R40" s="573"/>
      <c r="S40" s="568" t="s">
        <v>613</v>
      </c>
      <c r="T40" s="66"/>
      <c r="U40" s="470"/>
      <c r="V40" s="6"/>
      <c r="W40" s="6"/>
      <c r="X40" s="508">
        <v>123</v>
      </c>
      <c r="Y40" s="566"/>
      <c r="Z40" s="514"/>
      <c r="AA40" s="573"/>
      <c r="AB40" s="568" t="s">
        <v>613</v>
      </c>
      <c r="AC40" s="66"/>
      <c r="AD40" s="470"/>
      <c r="AE40" s="6"/>
      <c r="AF40" s="6"/>
      <c r="AG40" s="508">
        <v>123</v>
      </c>
      <c r="AH40" s="566"/>
      <c r="AI40" s="514"/>
      <c r="AJ40" s="573"/>
      <c r="AK40" s="568" t="s">
        <v>613</v>
      </c>
      <c r="AM40" s="470"/>
      <c r="AN40" s="6"/>
      <c r="AO40" s="6"/>
      <c r="AP40" s="508">
        <v>123</v>
      </c>
      <c r="AQ40" s="566"/>
      <c r="AR40" s="514"/>
      <c r="AS40" s="573"/>
      <c r="AT40" s="568" t="s">
        <v>613</v>
      </c>
    </row>
    <row r="41" spans="1:46" ht="39.65" customHeight="1" x14ac:dyDescent="0.35">
      <c r="A41" s="1478">
        <v>45005</v>
      </c>
      <c r="B41" s="472">
        <v>1</v>
      </c>
      <c r="C41" s="493"/>
      <c r="D41" s="494"/>
      <c r="E41" s="494"/>
      <c r="F41" s="508"/>
      <c r="G41" s="566"/>
      <c r="H41" s="515"/>
      <c r="I41" s="573"/>
      <c r="J41" s="568"/>
      <c r="K41" s="66"/>
      <c r="L41" s="470"/>
      <c r="M41" s="6"/>
      <c r="N41" s="6"/>
      <c r="O41" s="508"/>
      <c r="P41" s="509"/>
      <c r="Q41" s="6"/>
      <c r="R41" s="6"/>
      <c r="S41" s="527"/>
      <c r="T41" s="66"/>
      <c r="U41" s="470"/>
      <c r="V41" s="6"/>
      <c r="W41" s="6"/>
      <c r="X41" s="508"/>
      <c r="Y41" s="509"/>
      <c r="Z41" s="502"/>
      <c r="AA41" s="502"/>
      <c r="AB41" s="508"/>
      <c r="AC41" s="66"/>
      <c r="AD41" s="470"/>
      <c r="AE41" s="6"/>
      <c r="AF41" s="6"/>
      <c r="AG41" s="508"/>
      <c r="AH41" s="509"/>
      <c r="AI41" s="502"/>
      <c r="AJ41" s="6"/>
      <c r="AK41" s="508"/>
      <c r="AM41" s="470"/>
      <c r="AN41" s="6"/>
      <c r="AO41" s="6"/>
      <c r="AP41" s="508"/>
      <c r="AQ41" s="509"/>
      <c r="AR41" s="502"/>
      <c r="AS41" s="6"/>
      <c r="AT41" s="508"/>
    </row>
    <row r="42" spans="1:46" ht="33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4"/>
      <c r="I42" s="573"/>
      <c r="J42" s="568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/>
      <c r="X42" s="508"/>
      <c r="Y42" s="469"/>
      <c r="Z42" s="6"/>
      <c r="AA42" s="502"/>
      <c r="AB42" s="527"/>
      <c r="AC42" s="66"/>
      <c r="AD42" s="470"/>
      <c r="AE42" s="6"/>
      <c r="AF42" s="6"/>
      <c r="AG42" s="508"/>
      <c r="AH42" s="509"/>
      <c r="AI42" s="6"/>
      <c r="AJ42" s="6"/>
      <c r="AK42" s="508"/>
      <c r="AM42" s="470"/>
      <c r="AN42" s="6"/>
      <c r="AO42" s="6"/>
      <c r="AP42" s="508"/>
      <c r="AQ42" s="509"/>
      <c r="AR42" s="6"/>
      <c r="AS42" s="6"/>
      <c r="AT42" s="508"/>
    </row>
    <row r="43" spans="1:46" ht="33.65" customHeight="1" x14ac:dyDescent="0.35">
      <c r="A43" s="1478">
        <v>45006</v>
      </c>
      <c r="B43" s="472">
        <v>1</v>
      </c>
      <c r="C43" s="494"/>
      <c r="D43" s="494"/>
      <c r="E43" s="494"/>
      <c r="F43" s="495"/>
      <c r="G43" s="514"/>
      <c r="H43" s="514"/>
      <c r="I43" s="515"/>
      <c r="J43" s="527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/>
      <c r="W43" s="6"/>
      <c r="X43" s="508"/>
      <c r="Y43" s="509"/>
      <c r="Z43" s="6"/>
      <c r="AA43" s="515"/>
      <c r="AB43" s="508"/>
      <c r="AC43" s="66"/>
      <c r="AD43" s="470"/>
      <c r="AE43" s="6"/>
      <c r="AF43" s="6"/>
      <c r="AG43" s="508"/>
      <c r="AH43" s="502"/>
      <c r="AI43" s="515"/>
      <c r="AJ43" s="6"/>
      <c r="AK43" s="508"/>
      <c r="AM43" s="470"/>
      <c r="AN43" s="6"/>
      <c r="AO43" s="6"/>
      <c r="AP43" s="508"/>
      <c r="AQ43" s="502"/>
      <c r="AR43" s="515"/>
      <c r="AS43" s="6"/>
      <c r="AT43" s="508"/>
    </row>
    <row r="44" spans="1:46" ht="36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514"/>
      <c r="I44" s="573"/>
      <c r="J44" s="527"/>
      <c r="K44" s="66"/>
      <c r="L44" s="470"/>
      <c r="M44" s="6"/>
      <c r="N44" s="6"/>
      <c r="O44" s="508"/>
      <c r="P44" s="509"/>
      <c r="Q44" s="6"/>
      <c r="R44" s="502"/>
      <c r="S44" s="627"/>
      <c r="T44" s="66"/>
      <c r="U44" s="470"/>
      <c r="V44" s="6"/>
      <c r="W44" s="494"/>
      <c r="X44" s="495"/>
      <c r="Y44" s="514"/>
      <c r="Z44" s="514"/>
      <c r="AA44" s="502"/>
      <c r="AB44" s="527"/>
      <c r="AC44" s="66"/>
      <c r="AD44" s="470"/>
      <c r="AE44" s="6"/>
      <c r="AF44" s="6"/>
      <c r="AG44" s="508"/>
      <c r="AH44" s="509"/>
      <c r="AI44" s="502"/>
      <c r="AJ44" s="502"/>
      <c r="AK44" s="508"/>
      <c r="AM44" s="470"/>
      <c r="AN44" s="6"/>
      <c r="AO44" s="6"/>
      <c r="AP44" s="508"/>
      <c r="AQ44" s="509"/>
      <c r="AR44" s="502"/>
      <c r="AS44" s="502"/>
      <c r="AT44" s="508"/>
    </row>
    <row r="45" spans="1:46" ht="36" customHeight="1" x14ac:dyDescent="0.35">
      <c r="A45" s="1478">
        <v>45007</v>
      </c>
      <c r="B45" s="472">
        <v>1</v>
      </c>
      <c r="C45" s="494"/>
      <c r="D45" s="494"/>
      <c r="E45" s="494"/>
      <c r="F45" s="495"/>
      <c r="G45" s="514"/>
      <c r="H45" s="514"/>
      <c r="I45" s="515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14"/>
      <c r="Z45" s="6"/>
      <c r="AA45" s="502"/>
      <c r="AB45" s="508"/>
      <c r="AC45" s="66"/>
      <c r="AD45" s="470"/>
      <c r="AE45" s="6"/>
      <c r="AF45" s="6"/>
      <c r="AG45" s="508"/>
      <c r="AH45" s="509"/>
      <c r="AI45" s="502"/>
      <c r="AJ45" s="6"/>
      <c r="AK45" s="508"/>
      <c r="AM45" s="470"/>
      <c r="AN45" s="6"/>
      <c r="AO45" s="6"/>
      <c r="AP45" s="508"/>
      <c r="AQ45" s="509"/>
      <c r="AR45" s="502"/>
      <c r="AS45" s="6"/>
      <c r="AT45" s="508"/>
    </row>
    <row r="46" spans="1:46" ht="34.200000000000003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515"/>
      <c r="J46" s="527"/>
      <c r="K46" s="66"/>
      <c r="L46" s="470"/>
      <c r="M46" s="6"/>
      <c r="N46" s="6"/>
      <c r="O46" s="633"/>
      <c r="P46" s="509"/>
      <c r="Q46" s="515"/>
      <c r="R46" s="6"/>
      <c r="S46" s="527"/>
      <c r="T46" s="66"/>
      <c r="U46" s="470"/>
      <c r="V46" s="6"/>
      <c r="W46" s="6"/>
      <c r="X46" s="508"/>
      <c r="Y46" s="509"/>
      <c r="Z46" s="6"/>
      <c r="AA46" s="502"/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/>
      <c r="AO46" s="6">
        <v>43</v>
      </c>
      <c r="AP46" s="508"/>
      <c r="AQ46" s="469"/>
      <c r="AR46" s="6"/>
      <c r="AS46" s="6" t="s">
        <v>97</v>
      </c>
      <c r="AT46" s="527"/>
    </row>
    <row r="47" spans="1:46" ht="36" customHeight="1" x14ac:dyDescent="0.35">
      <c r="A47" s="1478">
        <v>45008</v>
      </c>
      <c r="B47" s="472">
        <v>1</v>
      </c>
      <c r="C47" s="494">
        <v>129</v>
      </c>
      <c r="D47" s="494"/>
      <c r="E47" s="494"/>
      <c r="F47" s="495"/>
      <c r="G47" s="515" t="s">
        <v>615</v>
      </c>
      <c r="H47" s="514"/>
      <c r="I47" s="573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09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6"/>
      <c r="AK47" s="508"/>
      <c r="AM47" s="470"/>
      <c r="AN47" s="6"/>
      <c r="AO47" s="6"/>
      <c r="AP47" s="508"/>
      <c r="AQ47" s="469"/>
      <c r="AR47" s="515"/>
      <c r="AS47" s="6"/>
      <c r="AT47" s="508"/>
    </row>
    <row r="48" spans="1:46" ht="34.950000000000003" customHeight="1" x14ac:dyDescent="0.35">
      <c r="A48" s="1477"/>
      <c r="B48" s="472">
        <v>2</v>
      </c>
      <c r="C48" s="494"/>
      <c r="D48" s="494"/>
      <c r="E48" s="494">
        <v>20</v>
      </c>
      <c r="F48" s="495"/>
      <c r="G48" s="515"/>
      <c r="H48" s="515"/>
      <c r="I48" s="573" t="s">
        <v>152</v>
      </c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>
        <v>29</v>
      </c>
      <c r="X48" s="508"/>
      <c r="Y48" s="469"/>
      <c r="Z48" s="6"/>
      <c r="AA48" s="502" t="s">
        <v>97</v>
      </c>
      <c r="AB48" s="508"/>
      <c r="AC48" s="66"/>
      <c r="AD48" s="470"/>
      <c r="AE48" s="6"/>
      <c r="AF48" s="6"/>
      <c r="AG48" s="508"/>
      <c r="AH48" s="509"/>
      <c r="AI48" s="502"/>
      <c r="AJ48" s="6"/>
      <c r="AK48" s="508"/>
      <c r="AM48" s="470"/>
      <c r="AN48" s="6"/>
      <c r="AO48" s="6"/>
      <c r="AP48" s="508"/>
      <c r="AQ48" s="509"/>
      <c r="AR48" s="502"/>
      <c r="AS48" s="6"/>
      <c r="AT48" s="508"/>
    </row>
    <row r="49" spans="1:46" ht="36" customHeight="1" x14ac:dyDescent="0.35">
      <c r="A49" s="1478">
        <v>45009</v>
      </c>
      <c r="B49" s="472">
        <v>1</v>
      </c>
      <c r="C49" s="494"/>
      <c r="D49" s="494"/>
      <c r="E49" s="494"/>
      <c r="F49" s="495"/>
      <c r="G49" s="515"/>
      <c r="H49" s="514"/>
      <c r="I49" s="573"/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/>
      <c r="X49" s="508"/>
      <c r="Y49" s="509"/>
      <c r="Z49" s="502"/>
      <c r="AA49" s="502"/>
      <c r="AB49" s="527"/>
      <c r="AC49" s="66"/>
      <c r="AD49" s="470"/>
      <c r="AE49" s="6"/>
      <c r="AF49" s="6"/>
      <c r="AG49" s="508"/>
      <c r="AH49" s="509"/>
      <c r="AI49" s="502"/>
      <c r="AJ49" s="6"/>
      <c r="AK49" s="508"/>
      <c r="AM49" s="470"/>
      <c r="AN49" s="6"/>
      <c r="AO49" s="6"/>
      <c r="AP49" s="508"/>
      <c r="AQ49" s="509"/>
      <c r="AR49" s="502"/>
      <c r="AS49" s="6"/>
      <c r="AT49" s="508"/>
    </row>
    <row r="50" spans="1:46" ht="33" customHeight="1" x14ac:dyDescent="0.35">
      <c r="A50" s="1477"/>
      <c r="B50" s="472">
        <v>2</v>
      </c>
      <c r="C50" s="494"/>
      <c r="D50" s="494"/>
      <c r="E50" s="494"/>
      <c r="F50" s="495">
        <v>27</v>
      </c>
      <c r="G50" s="514"/>
      <c r="H50" s="514"/>
      <c r="I50" s="573"/>
      <c r="J50" s="527" t="s">
        <v>616</v>
      </c>
      <c r="K50" s="66"/>
      <c r="L50" s="470"/>
      <c r="M50" s="6"/>
      <c r="N50" s="6"/>
      <c r="O50" s="495">
        <v>27</v>
      </c>
      <c r="P50" s="514"/>
      <c r="Q50" s="514"/>
      <c r="R50" s="573"/>
      <c r="S50" s="527" t="s">
        <v>616</v>
      </c>
      <c r="T50" s="66"/>
      <c r="U50" s="470"/>
      <c r="V50" s="6"/>
      <c r="W50" s="6"/>
      <c r="X50" s="495">
        <v>27</v>
      </c>
      <c r="Y50" s="514"/>
      <c r="Z50" s="514"/>
      <c r="AA50" s="573"/>
      <c r="AB50" s="527" t="s">
        <v>616</v>
      </c>
      <c r="AC50" s="66"/>
      <c r="AD50" s="470"/>
      <c r="AE50" s="6"/>
      <c r="AF50" s="6"/>
      <c r="AG50" s="495">
        <v>27</v>
      </c>
      <c r="AH50" s="514"/>
      <c r="AI50" s="514"/>
      <c r="AJ50" s="573"/>
      <c r="AK50" s="527" t="s">
        <v>616</v>
      </c>
      <c r="AM50" s="470"/>
      <c r="AN50" s="6"/>
      <c r="AO50" s="6"/>
      <c r="AP50" s="495">
        <v>27</v>
      </c>
      <c r="AQ50" s="514"/>
      <c r="AR50" s="514"/>
      <c r="AS50" s="573"/>
      <c r="AT50" s="527" t="s">
        <v>616</v>
      </c>
    </row>
    <row r="51" spans="1:46" ht="34.950000000000003" customHeight="1" x14ac:dyDescent="0.35">
      <c r="A51" s="1478">
        <v>45010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  <c r="AM51" s="470"/>
      <c r="AN51" s="6"/>
      <c r="AO51" s="6"/>
      <c r="AP51" s="508"/>
      <c r="AQ51" s="509"/>
      <c r="AR51" s="6"/>
      <c r="AS51" s="6"/>
      <c r="AT51" s="508"/>
    </row>
    <row r="52" spans="1:46" ht="49.2" customHeight="1" x14ac:dyDescent="0.35">
      <c r="A52" s="1477"/>
      <c r="B52" s="472">
        <v>2</v>
      </c>
      <c r="C52" s="494"/>
      <c r="D52" s="494"/>
      <c r="E52" s="494"/>
      <c r="F52" s="495">
        <v>322</v>
      </c>
      <c r="G52" s="515"/>
      <c r="H52" s="515"/>
      <c r="I52" s="573"/>
      <c r="J52" s="527" t="s">
        <v>617</v>
      </c>
      <c r="K52" s="66"/>
      <c r="L52" s="470"/>
      <c r="M52" s="6"/>
      <c r="N52" s="6"/>
      <c r="O52" s="495">
        <v>322</v>
      </c>
      <c r="P52" s="515"/>
      <c r="Q52" s="515"/>
      <c r="R52" s="573"/>
      <c r="S52" s="527" t="s">
        <v>617</v>
      </c>
      <c r="T52" s="66"/>
      <c r="U52" s="470"/>
      <c r="V52" s="6"/>
      <c r="W52" s="6"/>
      <c r="X52" s="495">
        <v>322</v>
      </c>
      <c r="Y52" s="515"/>
      <c r="Z52" s="515"/>
      <c r="AA52" s="573"/>
      <c r="AB52" s="527" t="s">
        <v>617</v>
      </c>
      <c r="AC52" s="66"/>
      <c r="AD52" s="470"/>
      <c r="AE52" s="6"/>
      <c r="AF52" s="6"/>
      <c r="AG52" s="495">
        <v>322</v>
      </c>
      <c r="AH52" s="515"/>
      <c r="AI52" s="515"/>
      <c r="AJ52" s="573"/>
      <c r="AK52" s="527" t="s">
        <v>617</v>
      </c>
      <c r="AM52" s="470"/>
      <c r="AN52" s="508"/>
      <c r="AO52" s="508"/>
      <c r="AP52" s="508"/>
      <c r="AQ52" s="509"/>
      <c r="AR52" s="508"/>
      <c r="AS52" s="6"/>
      <c r="AT52" s="508"/>
    </row>
    <row r="53" spans="1:46" ht="40.200000000000003" customHeight="1" x14ac:dyDescent="0.35">
      <c r="A53" s="1478">
        <v>45011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>
        <v>11</v>
      </c>
      <c r="AP53" s="508"/>
      <c r="AQ53" s="509"/>
      <c r="AR53" s="502"/>
      <c r="AS53" s="6" t="s">
        <v>97</v>
      </c>
      <c r="AT53" s="508"/>
    </row>
    <row r="54" spans="1:46" ht="39.65" customHeight="1" x14ac:dyDescent="0.35">
      <c r="A54" s="1477"/>
      <c r="B54" s="500">
        <v>2</v>
      </c>
      <c r="C54" s="494"/>
      <c r="D54" s="494"/>
      <c r="E54" s="494">
        <v>28</v>
      </c>
      <c r="F54" s="495"/>
      <c r="G54" s="514"/>
      <c r="H54" s="514"/>
      <c r="I54" s="573" t="s">
        <v>618</v>
      </c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>
        <v>14</v>
      </c>
      <c r="W54" s="6">
        <v>19</v>
      </c>
      <c r="X54" s="508"/>
      <c r="Y54" s="509"/>
      <c r="Z54" s="514" t="s">
        <v>276</v>
      </c>
      <c r="AA54" s="515" t="s">
        <v>152</v>
      </c>
      <c r="AB54" s="527"/>
      <c r="AC54" s="66"/>
      <c r="AD54" s="470"/>
      <c r="AE54" s="6">
        <v>14</v>
      </c>
      <c r="AF54" s="6"/>
      <c r="AG54" s="508"/>
      <c r="AH54" s="509"/>
      <c r="AI54" s="514" t="s">
        <v>276</v>
      </c>
      <c r="AJ54" s="6"/>
      <c r="AK54" s="527"/>
      <c r="AM54" s="470"/>
      <c r="AN54" s="6"/>
      <c r="AO54" s="6"/>
      <c r="AP54" s="495"/>
      <c r="AQ54" s="514"/>
      <c r="AR54" s="514"/>
      <c r="AS54" s="514"/>
      <c r="AT54" s="527"/>
    </row>
    <row r="55" spans="1:46" ht="39.65" customHeight="1" x14ac:dyDescent="0.35">
      <c r="A55" s="1478">
        <v>45012</v>
      </c>
      <c r="B55" s="472">
        <v>1</v>
      </c>
      <c r="C55" s="493"/>
      <c r="D55" s="494"/>
      <c r="E55" s="494">
        <v>35</v>
      </c>
      <c r="F55" s="495"/>
      <c r="G55" s="514"/>
      <c r="H55" s="514"/>
      <c r="I55" s="573" t="s">
        <v>152</v>
      </c>
      <c r="J55" s="56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>
        <v>25</v>
      </c>
      <c r="X55" s="508"/>
      <c r="Y55" s="509"/>
      <c r="Z55" s="514"/>
      <c r="AA55" s="515" t="s">
        <v>152</v>
      </c>
      <c r="AB55" s="527"/>
      <c r="AC55" s="66"/>
      <c r="AD55" s="470"/>
      <c r="AE55" s="6"/>
      <c r="AF55" s="6"/>
      <c r="AG55" s="508"/>
      <c r="AH55" s="509"/>
      <c r="AI55" s="514"/>
      <c r="AJ55" s="502"/>
      <c r="AK55" s="508"/>
      <c r="AM55" s="470"/>
      <c r="AN55" s="6"/>
      <c r="AO55" s="6"/>
      <c r="AP55" s="508"/>
      <c r="AQ55" s="509"/>
      <c r="AR55" s="6"/>
      <c r="AS55" s="502"/>
      <c r="AT55" s="508"/>
    </row>
    <row r="56" spans="1:46" ht="51.65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4"/>
      <c r="I56" s="515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>
        <v>15</v>
      </c>
      <c r="X56" s="495"/>
      <c r="Y56" s="515"/>
      <c r="Z56" s="514"/>
      <c r="AA56" s="515" t="s">
        <v>152</v>
      </c>
      <c r="AB56" s="527"/>
      <c r="AC56" s="66"/>
      <c r="AD56" s="470"/>
      <c r="AE56" s="6"/>
      <c r="AF56" s="6">
        <v>30</v>
      </c>
      <c r="AG56" s="495"/>
      <c r="AH56" s="515"/>
      <c r="AI56" s="514"/>
      <c r="AJ56" s="515" t="s">
        <v>619</v>
      </c>
      <c r="AK56" s="527"/>
      <c r="AM56" s="470"/>
      <c r="AN56" s="6"/>
      <c r="AO56" s="6"/>
      <c r="AP56" s="495"/>
      <c r="AQ56" s="515"/>
      <c r="AR56" s="514"/>
      <c r="AS56" s="515"/>
      <c r="AT56" s="527"/>
    </row>
    <row r="57" spans="1:46" ht="37.950000000000003" customHeight="1" x14ac:dyDescent="0.35">
      <c r="A57" s="1478">
        <v>45013</v>
      </c>
      <c r="B57" s="472">
        <v>1</v>
      </c>
      <c r="C57" s="493"/>
      <c r="D57" s="494"/>
      <c r="E57" s="494"/>
      <c r="F57" s="495"/>
      <c r="G57" s="515"/>
      <c r="H57" s="514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15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95"/>
      <c r="AQ57" s="515"/>
      <c r="AR57" s="514"/>
      <c r="AS57" s="515"/>
      <c r="AT57" s="527"/>
    </row>
    <row r="58" spans="1:46" ht="35.5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515"/>
      <c r="J58" s="527"/>
      <c r="K58" s="66"/>
      <c r="L58" s="470"/>
      <c r="M58" s="6"/>
      <c r="N58" s="6"/>
      <c r="O58" s="508"/>
      <c r="P58" s="509"/>
      <c r="Q58" s="6"/>
      <c r="R58" s="6"/>
      <c r="S58" s="527"/>
      <c r="T58" s="66"/>
      <c r="U58" s="470"/>
      <c r="V58" s="6"/>
      <c r="W58" s="6"/>
      <c r="X58" s="508"/>
      <c r="Y58" s="509"/>
      <c r="Z58" s="502"/>
      <c r="AA58" s="515"/>
      <c r="AB58" s="508"/>
      <c r="AC58" s="66"/>
      <c r="AD58" s="470"/>
      <c r="AE58" s="6"/>
      <c r="AF58" s="6"/>
      <c r="AG58" s="508"/>
      <c r="AH58" s="509"/>
      <c r="AI58" s="6"/>
      <c r="AJ58" s="6"/>
      <c r="AK58" s="508"/>
      <c r="AM58" s="470"/>
      <c r="AN58" s="6"/>
      <c r="AO58" s="6"/>
      <c r="AP58" s="508"/>
      <c r="AQ58" s="509"/>
      <c r="AR58" s="6"/>
      <c r="AS58" s="6"/>
      <c r="AT58" s="508"/>
    </row>
    <row r="59" spans="1:46" ht="34.200000000000003" customHeight="1" x14ac:dyDescent="0.35">
      <c r="A59" s="1478">
        <v>45014</v>
      </c>
      <c r="B59" s="472">
        <v>1</v>
      </c>
      <c r="C59" s="493"/>
      <c r="D59" s="494"/>
      <c r="E59" s="494"/>
      <c r="F59" s="495"/>
      <c r="G59" s="514"/>
      <c r="H59" s="514"/>
      <c r="I59" s="573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02"/>
      <c r="AB59" s="508"/>
      <c r="AC59" s="66"/>
      <c r="AD59" s="470"/>
      <c r="AE59" s="6"/>
      <c r="AF59" s="6">
        <v>19</v>
      </c>
      <c r="AG59" s="508"/>
      <c r="AH59" s="469"/>
      <c r="AI59" s="6"/>
      <c r="AJ59" s="515" t="s">
        <v>97</v>
      </c>
      <c r="AK59" s="508"/>
      <c r="AM59" s="470"/>
      <c r="AN59" s="6"/>
      <c r="AO59" s="6"/>
      <c r="AP59" s="508"/>
      <c r="AQ59" s="469"/>
      <c r="AR59" s="6"/>
      <c r="AS59" s="515"/>
      <c r="AT59" s="508"/>
    </row>
    <row r="60" spans="1:46" ht="36" customHeight="1" x14ac:dyDescent="0.35">
      <c r="A60" s="1477"/>
      <c r="B60" s="500">
        <v>2</v>
      </c>
      <c r="C60" s="493"/>
      <c r="D60" s="494">
        <v>62</v>
      </c>
      <c r="E60" s="494"/>
      <c r="F60" s="495"/>
      <c r="G60" s="514"/>
      <c r="H60" s="515" t="s">
        <v>620</v>
      </c>
      <c r="I60" s="573"/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502"/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508"/>
      <c r="AQ60" s="509"/>
      <c r="AR60" s="6"/>
      <c r="AS60" s="502"/>
      <c r="AT60" s="527"/>
    </row>
    <row r="61" spans="1:46" ht="32.5" customHeight="1" x14ac:dyDescent="0.35">
      <c r="A61" s="1478">
        <v>45015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508"/>
      <c r="AQ61" s="509"/>
      <c r="AR61" s="6"/>
      <c r="AS61" s="502"/>
      <c r="AT61" s="624"/>
    </row>
    <row r="62" spans="1:46" ht="33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508"/>
      <c r="AQ62" s="509"/>
      <c r="AR62" s="6"/>
      <c r="AS62" s="502"/>
      <c r="AT62" s="624"/>
    </row>
    <row r="63" spans="1:46" ht="33.65" customHeight="1" x14ac:dyDescent="0.35">
      <c r="A63" s="1478">
        <v>45016</v>
      </c>
      <c r="B63" s="472">
        <v>1</v>
      </c>
      <c r="C63" s="587"/>
      <c r="D63" s="588"/>
      <c r="E63" s="588"/>
      <c r="F63" s="589"/>
      <c r="G63" s="598"/>
      <c r="H63" s="590"/>
      <c r="I63" s="515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>
        <v>23</v>
      </c>
      <c r="X63" s="495"/>
      <c r="Y63" s="566"/>
      <c r="Z63" s="514"/>
      <c r="AA63" s="6" t="s">
        <v>97</v>
      </c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30.6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528"/>
      <c r="AQ64" s="529"/>
      <c r="AR64" s="530"/>
      <c r="AS64" s="530"/>
      <c r="AT64" s="594"/>
    </row>
    <row r="65" spans="1:42" ht="23.5" customHeight="1" x14ac:dyDescent="0.35">
      <c r="A65" s="423" t="s">
        <v>225</v>
      </c>
      <c r="C65" s="631">
        <f>SUM(C3:C64)</f>
        <v>764</v>
      </c>
      <c r="D65" s="65">
        <f>SUM(D3:D64)</f>
        <v>460</v>
      </c>
      <c r="E65" s="631">
        <f>SUM(E3:E64)</f>
        <v>195</v>
      </c>
      <c r="F65" s="65">
        <f>SUM(F3:F64)</f>
        <v>1417</v>
      </c>
      <c r="L65" s="65">
        <f>SUM(L3:L64)</f>
        <v>157</v>
      </c>
      <c r="M65" s="65">
        <f>SUM(M3:M64)</f>
        <v>72</v>
      </c>
      <c r="N65" s="65">
        <f>SUM(N3:N64)</f>
        <v>0</v>
      </c>
      <c r="O65" s="65">
        <f>SUM(O3:O64)</f>
        <v>1417</v>
      </c>
      <c r="U65" s="65">
        <f>SUM(U3:U64)</f>
        <v>80</v>
      </c>
      <c r="V65" s="65">
        <f>SUM(V3:V64)</f>
        <v>43</v>
      </c>
      <c r="W65" s="65">
        <f>SUM(W3:W64)</f>
        <v>226</v>
      </c>
      <c r="X65" s="65">
        <f>SUM(X3:X64)</f>
        <v>1417</v>
      </c>
      <c r="AD65" s="65">
        <f>SUM(AD3:AD64)</f>
        <v>281</v>
      </c>
      <c r="AE65" s="65">
        <f>SUM(AE3:AE64)</f>
        <v>94</v>
      </c>
      <c r="AF65" s="65">
        <f>SUM(AF3:AF64)</f>
        <v>70</v>
      </c>
      <c r="AG65" s="65">
        <f>SUM(AG3:AG64)</f>
        <v>1417</v>
      </c>
      <c r="AM65" s="65">
        <f>SUM(AM3:AM64)</f>
        <v>0</v>
      </c>
      <c r="AN65" s="65">
        <f>SUM(AN3:AN64)</f>
        <v>0</v>
      </c>
      <c r="AO65" s="65">
        <f>SUM(AO3:AO64)</f>
        <v>72</v>
      </c>
      <c r="AP65" s="65">
        <f>SUM(AP3:AP64)</f>
        <v>1095</v>
      </c>
    </row>
    <row r="73" spans="1:42" ht="14.6" thickBot="1" x14ac:dyDescent="0.4"/>
    <row r="74" spans="1:42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21.75" customHeight="1" x14ac:dyDescent="0.4">
      <c r="B76" s="541" t="s">
        <v>218</v>
      </c>
      <c r="C76" s="542">
        <f>C65</f>
        <v>764</v>
      </c>
      <c r="D76" s="543">
        <f>C76/60</f>
        <v>12.733333333333333</v>
      </c>
      <c r="E76" s="542">
        <f>D65</f>
        <v>460</v>
      </c>
      <c r="F76" s="544">
        <f>E76/60</f>
        <v>7.666666666666667</v>
      </c>
      <c r="G76" s="542">
        <f>E65</f>
        <v>195</v>
      </c>
      <c r="H76" s="543">
        <f>G76/60</f>
        <v>3.25</v>
      </c>
      <c r="I76" s="542">
        <f>F65</f>
        <v>1417</v>
      </c>
      <c r="J76" s="543">
        <f>I76/60</f>
        <v>23.616666666666667</v>
      </c>
    </row>
    <row r="77" spans="1:42" ht="19.5" customHeight="1" x14ac:dyDescent="0.4">
      <c r="B77" s="541" t="s">
        <v>219</v>
      </c>
      <c r="C77" s="545">
        <f>L65</f>
        <v>157</v>
      </c>
      <c r="D77" s="546">
        <f t="shared" ref="D77:F79" si="0">C77/60</f>
        <v>2.6166666666666667</v>
      </c>
      <c r="E77" s="545">
        <f>M65</f>
        <v>72</v>
      </c>
      <c r="F77" s="547">
        <f t="shared" si="0"/>
        <v>1.2</v>
      </c>
      <c r="G77" s="545">
        <f>N65</f>
        <v>0</v>
      </c>
      <c r="H77" s="546">
        <f t="shared" ref="H77:J79" si="1">G77/60</f>
        <v>0</v>
      </c>
      <c r="I77" s="545">
        <f>O65</f>
        <v>1417</v>
      </c>
      <c r="J77" s="546">
        <f t="shared" si="1"/>
        <v>23.616666666666667</v>
      </c>
    </row>
    <row r="78" spans="1:42" ht="20.25" customHeight="1" x14ac:dyDescent="0.4">
      <c r="B78" s="541" t="s">
        <v>220</v>
      </c>
      <c r="C78" s="545">
        <f>U65</f>
        <v>80</v>
      </c>
      <c r="D78" s="546">
        <f t="shared" si="0"/>
        <v>1.3333333333333333</v>
      </c>
      <c r="E78" s="545">
        <f>V65</f>
        <v>43</v>
      </c>
      <c r="F78" s="547">
        <f t="shared" si="0"/>
        <v>0.71666666666666667</v>
      </c>
      <c r="G78" s="545">
        <f>W65</f>
        <v>226</v>
      </c>
      <c r="H78" s="546">
        <f t="shared" si="1"/>
        <v>3.7666666666666666</v>
      </c>
      <c r="I78" s="545">
        <f>X65</f>
        <v>1417</v>
      </c>
      <c r="J78" s="546">
        <f t="shared" si="1"/>
        <v>23.616666666666667</v>
      </c>
    </row>
    <row r="79" spans="1:42" ht="22.5" customHeight="1" thickBot="1" x14ac:dyDescent="0.45">
      <c r="B79" s="541" t="s">
        <v>221</v>
      </c>
      <c r="C79" s="548">
        <f>AD65</f>
        <v>281</v>
      </c>
      <c r="D79" s="549">
        <f t="shared" si="0"/>
        <v>4.6833333333333336</v>
      </c>
      <c r="E79" s="548">
        <f>AE65</f>
        <v>94</v>
      </c>
      <c r="F79" s="550">
        <f t="shared" si="0"/>
        <v>1.5666666666666667</v>
      </c>
      <c r="G79" s="548">
        <f>AF65</f>
        <v>70</v>
      </c>
      <c r="H79" s="549">
        <f t="shared" si="1"/>
        <v>1.1666666666666667</v>
      </c>
      <c r="I79" s="548">
        <f>AG65</f>
        <v>1417</v>
      </c>
      <c r="J79" s="549">
        <f t="shared" si="1"/>
        <v>23.616666666666667</v>
      </c>
    </row>
    <row r="80" spans="1:42" ht="22.5" customHeight="1" thickBot="1" x14ac:dyDescent="0.45">
      <c r="B80" s="541" t="s">
        <v>488</v>
      </c>
      <c r="C80" s="643">
        <f>AM65</f>
        <v>0</v>
      </c>
      <c r="D80" s="642">
        <f>C80/60</f>
        <v>0</v>
      </c>
      <c r="E80" s="643">
        <f>AN65</f>
        <v>0</v>
      </c>
      <c r="F80" s="644">
        <f>E80/60</f>
        <v>0</v>
      </c>
      <c r="G80" s="643">
        <f>AO65</f>
        <v>72</v>
      </c>
      <c r="H80" s="642">
        <f>G80/60</f>
        <v>1.2</v>
      </c>
      <c r="I80" s="643">
        <f>AP65</f>
        <v>1095</v>
      </c>
      <c r="J80" s="642">
        <f>I80/60</f>
        <v>18.25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21.366666666666667</v>
      </c>
      <c r="E82" s="556"/>
      <c r="F82" s="557">
        <f>SUM(F76:F80)</f>
        <v>11.15</v>
      </c>
      <c r="G82" s="556"/>
      <c r="H82" s="557">
        <f>SUM(H76:H80)</f>
        <v>9.3833333333333329</v>
      </c>
      <c r="I82" s="556"/>
      <c r="J82" s="558">
        <f>AVERAGE(J76:J80)</f>
        <v>22.543333333333333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P1"/>
    <mergeCell ref="AQ1:AT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T82"/>
  <sheetViews>
    <sheetView zoomScale="55" zoomScaleNormal="55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C36" sqref="C36:C40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21.15234375" style="423" customWidth="1"/>
    <col min="8" max="8" width="27.3046875" style="423" customWidth="1"/>
    <col min="9" max="9" width="22" style="423" customWidth="1"/>
    <col min="10" max="10" width="23.53515625" style="423" customWidth="1"/>
    <col min="11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3.8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28.6914062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42" width="10.69140625" style="423" customWidth="1"/>
    <col min="43" max="43" width="16.84375" style="423" customWidth="1"/>
    <col min="44" max="44" width="15.15234375" style="423" customWidth="1"/>
    <col min="45" max="45" width="24.3828125" style="423" customWidth="1"/>
    <col min="46" max="46" width="24.69140625" style="423" customWidth="1"/>
    <col min="47" max="16384" width="8.84375" style="423"/>
  </cols>
  <sheetData>
    <row r="1" spans="1:46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4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5</v>
      </c>
      <c r="AE1" s="1471"/>
      <c r="AF1" s="1471"/>
      <c r="AG1" s="1471"/>
      <c r="AH1" s="1473" t="s">
        <v>206</v>
      </c>
      <c r="AI1" s="1473"/>
      <c r="AJ1" s="1473"/>
      <c r="AK1" s="1474"/>
      <c r="AM1" s="1471" t="s">
        <v>482</v>
      </c>
      <c r="AN1" s="1471"/>
      <c r="AO1" s="1471"/>
      <c r="AP1" s="1471"/>
      <c r="AQ1" s="1473" t="s">
        <v>206</v>
      </c>
      <c r="AR1" s="1473"/>
      <c r="AS1" s="1473"/>
      <c r="AT1" s="1474"/>
    </row>
    <row r="2" spans="1:46" ht="42.65" customHeight="1" x14ac:dyDescent="0.35">
      <c r="A2" s="634" t="s">
        <v>0</v>
      </c>
      <c r="B2" s="426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  <c r="AM2" s="424" t="s">
        <v>199</v>
      </c>
      <c r="AN2" s="424" t="s">
        <v>200</v>
      </c>
      <c r="AO2" s="424" t="s">
        <v>201</v>
      </c>
      <c r="AP2" s="424" t="s">
        <v>204</v>
      </c>
      <c r="AQ2" s="425" t="s">
        <v>199</v>
      </c>
      <c r="AR2" s="424" t="s">
        <v>200</v>
      </c>
      <c r="AS2" s="424" t="s">
        <v>201</v>
      </c>
      <c r="AT2" s="424" t="s">
        <v>204</v>
      </c>
    </row>
    <row r="3" spans="1:46" ht="30" customHeight="1" x14ac:dyDescent="0.35">
      <c r="A3" s="1478">
        <v>45017</v>
      </c>
      <c r="B3" s="501">
        <v>1</v>
      </c>
      <c r="C3" s="490"/>
      <c r="D3" s="491"/>
      <c r="E3" s="640"/>
      <c r="F3" s="492"/>
      <c r="G3" s="566"/>
      <c r="H3" s="514"/>
      <c r="I3" s="641"/>
      <c r="J3" s="567"/>
      <c r="K3" s="66"/>
      <c r="L3" s="507"/>
      <c r="M3" s="522"/>
      <c r="N3" s="522"/>
      <c r="O3" s="520"/>
      <c r="P3" s="521"/>
      <c r="Q3" s="580"/>
      <c r="R3" s="581"/>
      <c r="S3" s="520"/>
      <c r="T3" s="66"/>
      <c r="U3" s="507"/>
      <c r="V3" s="522"/>
      <c r="W3" s="522"/>
      <c r="X3" s="508"/>
      <c r="Y3" s="469"/>
      <c r="Z3" s="521"/>
      <c r="AA3" s="600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520"/>
      <c r="AQ3" s="521"/>
      <c r="AR3" s="522"/>
      <c r="AS3" s="6"/>
      <c r="AT3" s="520"/>
    </row>
    <row r="4" spans="1:46" ht="36.65" customHeight="1" x14ac:dyDescent="0.35">
      <c r="A4" s="1477"/>
      <c r="B4" s="472">
        <v>2</v>
      </c>
      <c r="C4" s="493"/>
      <c r="D4" s="494"/>
      <c r="E4" s="494">
        <v>28</v>
      </c>
      <c r="F4" s="495"/>
      <c r="G4" s="566"/>
      <c r="H4" s="514"/>
      <c r="I4" s="515" t="s">
        <v>97</v>
      </c>
      <c r="J4" s="568"/>
      <c r="K4" s="66"/>
      <c r="L4" s="470"/>
      <c r="M4" s="6">
        <v>13</v>
      </c>
      <c r="N4" s="6"/>
      <c r="O4" s="508"/>
      <c r="P4" s="509"/>
      <c r="Q4" s="514" t="s">
        <v>601</v>
      </c>
      <c r="R4" s="28"/>
      <c r="S4" s="508"/>
      <c r="T4" s="66"/>
      <c r="U4" s="470"/>
      <c r="V4" s="502"/>
      <c r="W4" s="6"/>
      <c r="X4" s="508"/>
      <c r="Y4" s="469"/>
      <c r="Z4" s="6"/>
      <c r="AA4" s="579"/>
      <c r="AB4" s="603"/>
      <c r="AC4" s="66"/>
      <c r="AD4" s="470"/>
      <c r="AE4" s="6"/>
      <c r="AF4" s="6"/>
      <c r="AG4" s="508"/>
      <c r="AH4" s="509"/>
      <c r="AI4" s="6"/>
      <c r="AJ4" s="6"/>
      <c r="AK4" s="508"/>
      <c r="AM4" s="470"/>
      <c r="AN4" s="6"/>
      <c r="AO4" s="6">
        <v>17</v>
      </c>
      <c r="AP4" s="508"/>
      <c r="AQ4" s="509"/>
      <c r="AR4" s="6"/>
      <c r="AS4" s="6" t="s">
        <v>152</v>
      </c>
      <c r="AT4" s="508"/>
    </row>
    <row r="5" spans="1:46" ht="28.95" customHeight="1" x14ac:dyDescent="0.35">
      <c r="A5" s="1478">
        <v>45018</v>
      </c>
      <c r="B5" s="472">
        <v>1</v>
      </c>
      <c r="C5" s="493"/>
      <c r="D5" s="494"/>
      <c r="E5" s="494">
        <v>7</v>
      </c>
      <c r="F5" s="495"/>
      <c r="G5" s="566"/>
      <c r="H5" s="514"/>
      <c r="I5" s="515" t="s">
        <v>152</v>
      </c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579"/>
      <c r="AB5" s="604"/>
      <c r="AC5" s="66"/>
      <c r="AD5" s="470"/>
      <c r="AE5" s="6"/>
      <c r="AF5" s="6"/>
      <c r="AG5" s="508"/>
      <c r="AH5" s="509"/>
      <c r="AI5" s="6"/>
      <c r="AJ5" s="6"/>
      <c r="AK5" s="508"/>
      <c r="AM5" s="470"/>
      <c r="AN5" s="6"/>
      <c r="AO5" s="6"/>
      <c r="AP5" s="508"/>
      <c r="AQ5" s="509"/>
      <c r="AR5" s="6"/>
      <c r="AS5" s="502"/>
      <c r="AT5" s="508"/>
    </row>
    <row r="6" spans="1:46" ht="52.2" customHeight="1" x14ac:dyDescent="0.35">
      <c r="A6" s="1477"/>
      <c r="B6" s="472">
        <v>2</v>
      </c>
      <c r="C6" s="493"/>
      <c r="D6" s="494"/>
      <c r="E6" s="494"/>
      <c r="F6" s="495"/>
      <c r="G6" s="565"/>
      <c r="H6" s="514"/>
      <c r="I6" s="515"/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/>
      <c r="X6" s="508"/>
      <c r="Y6" s="469"/>
      <c r="Z6" s="6"/>
      <c r="AA6" s="579"/>
      <c r="AB6" s="508"/>
      <c r="AC6" s="66"/>
      <c r="AD6" s="470"/>
      <c r="AE6" s="6"/>
      <c r="AF6" s="6"/>
      <c r="AG6" s="508"/>
      <c r="AH6" s="509"/>
      <c r="AI6" s="6"/>
      <c r="AJ6" s="515"/>
      <c r="AK6" s="508"/>
      <c r="AM6" s="470"/>
      <c r="AN6" s="6"/>
      <c r="AO6" s="6"/>
      <c r="AP6" s="508"/>
      <c r="AQ6" s="509"/>
      <c r="AR6" s="6"/>
      <c r="AS6" s="502"/>
      <c r="AT6" s="508"/>
    </row>
    <row r="7" spans="1:46" ht="33" customHeight="1" x14ac:dyDescent="0.35">
      <c r="A7" s="1478">
        <v>45019</v>
      </c>
      <c r="B7" s="472">
        <v>1</v>
      </c>
      <c r="C7" s="493"/>
      <c r="D7" s="494"/>
      <c r="E7" s="494"/>
      <c r="F7" s="495"/>
      <c r="G7" s="566"/>
      <c r="H7" s="515"/>
      <c r="I7" s="515"/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6"/>
      <c r="W7" s="6"/>
      <c r="X7" s="508"/>
      <c r="Y7" s="509"/>
      <c r="Z7" s="6"/>
      <c r="AA7" s="579"/>
      <c r="AB7" s="508"/>
      <c r="AC7" s="66"/>
      <c r="AD7" s="470"/>
      <c r="AE7" s="6"/>
      <c r="AF7" s="6"/>
      <c r="AG7" s="508"/>
      <c r="AH7" s="509"/>
      <c r="AI7" s="6"/>
      <c r="AJ7" s="515"/>
      <c r="AK7" s="508"/>
      <c r="AM7" s="470"/>
      <c r="AN7" s="6"/>
      <c r="AO7" s="6"/>
      <c r="AP7" s="508"/>
      <c r="AQ7" s="509"/>
      <c r="AR7" s="6"/>
      <c r="AS7" s="515"/>
      <c r="AT7" s="508"/>
    </row>
    <row r="8" spans="1:46" ht="55.2" customHeight="1" x14ac:dyDescent="0.35">
      <c r="A8" s="1477"/>
      <c r="B8" s="472">
        <v>2</v>
      </c>
      <c r="C8" s="493">
        <v>177</v>
      </c>
      <c r="D8" s="494">
        <v>260</v>
      </c>
      <c r="E8" s="494">
        <v>12</v>
      </c>
      <c r="F8" s="495"/>
      <c r="G8" s="565" t="s">
        <v>621</v>
      </c>
      <c r="H8" s="515" t="s">
        <v>622</v>
      </c>
      <c r="I8" s="515" t="s">
        <v>562</v>
      </c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/>
      <c r="X8" s="508"/>
      <c r="Y8" s="469"/>
      <c r="Z8" s="6"/>
      <c r="AA8" s="6"/>
      <c r="AB8" s="527"/>
      <c r="AC8" s="66"/>
      <c r="AD8" s="470"/>
      <c r="AE8" s="6"/>
      <c r="AF8" s="6"/>
      <c r="AG8" s="508"/>
      <c r="AH8" s="509"/>
      <c r="AI8" s="502"/>
      <c r="AJ8" s="502"/>
      <c r="AK8" s="527"/>
      <c r="AM8" s="470"/>
      <c r="AN8" s="6"/>
      <c r="AO8" s="6"/>
      <c r="AP8" s="508"/>
      <c r="AQ8" s="509"/>
      <c r="AR8" s="6"/>
      <c r="AS8" s="6"/>
      <c r="AT8" s="527"/>
    </row>
    <row r="9" spans="1:46" ht="40.950000000000003" customHeight="1" x14ac:dyDescent="0.35">
      <c r="A9" s="1478">
        <v>45020</v>
      </c>
      <c r="B9" s="472">
        <v>1</v>
      </c>
      <c r="C9" s="493"/>
      <c r="D9" s="494"/>
      <c r="E9" s="494"/>
      <c r="F9" s="495"/>
      <c r="G9" s="565"/>
      <c r="H9" s="514"/>
      <c r="I9" s="514"/>
      <c r="J9" s="527"/>
      <c r="K9" s="66"/>
      <c r="L9" s="470"/>
      <c r="M9" s="6"/>
      <c r="N9" s="6"/>
      <c r="O9" s="508"/>
      <c r="P9" s="469"/>
      <c r="Q9" s="515"/>
      <c r="R9" s="502"/>
      <c r="S9" s="527"/>
      <c r="T9" s="66"/>
      <c r="U9" s="470"/>
      <c r="V9" s="6"/>
      <c r="W9" s="6">
        <v>15</v>
      </c>
      <c r="X9" s="508"/>
      <c r="Y9" s="509"/>
      <c r="Z9" s="6"/>
      <c r="AA9" s="515" t="s">
        <v>325</v>
      </c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>
        <v>20</v>
      </c>
      <c r="AP9" s="508"/>
      <c r="AQ9" s="509"/>
      <c r="AR9" s="6"/>
      <c r="AS9" s="502" t="s">
        <v>623</v>
      </c>
      <c r="AT9" s="527"/>
    </row>
    <row r="10" spans="1:46" ht="28.2" customHeight="1" x14ac:dyDescent="0.35">
      <c r="A10" s="1477"/>
      <c r="B10" s="472">
        <v>2</v>
      </c>
      <c r="C10" s="493"/>
      <c r="D10" s="494"/>
      <c r="E10" s="494"/>
      <c r="F10" s="495"/>
      <c r="G10" s="566"/>
      <c r="H10" s="514"/>
      <c r="I10" s="515"/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/>
      <c r="V10" s="6"/>
      <c r="W10" s="6"/>
      <c r="X10" s="508"/>
      <c r="Y10" s="465"/>
      <c r="Z10" s="469"/>
      <c r="AA10" s="6"/>
      <c r="AB10" s="527"/>
      <c r="AC10" s="66"/>
      <c r="AD10" s="470"/>
      <c r="AE10" s="6"/>
      <c r="AF10" s="6"/>
      <c r="AG10" s="508"/>
      <c r="AH10" s="469"/>
      <c r="AI10" s="6"/>
      <c r="AJ10" s="6"/>
      <c r="AK10" s="527"/>
      <c r="AM10" s="470"/>
      <c r="AN10" s="6"/>
      <c r="AO10" s="6"/>
      <c r="AP10" s="508"/>
      <c r="AQ10" s="509"/>
      <c r="AR10" s="6"/>
      <c r="AS10" s="6"/>
      <c r="AT10" s="527"/>
    </row>
    <row r="11" spans="1:46" ht="30.75" customHeight="1" x14ac:dyDescent="0.35">
      <c r="A11" s="1478">
        <v>45021</v>
      </c>
      <c r="B11" s="472">
        <v>1</v>
      </c>
      <c r="C11" s="493"/>
      <c r="D11" s="494"/>
      <c r="E11" s="494"/>
      <c r="F11" s="495"/>
      <c r="G11" s="565"/>
      <c r="H11" s="514"/>
      <c r="I11" s="515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  <c r="AM11" s="470"/>
      <c r="AN11" s="6"/>
      <c r="AO11" s="6"/>
      <c r="AP11" s="508"/>
      <c r="AQ11" s="509"/>
      <c r="AR11" s="6"/>
      <c r="AS11" s="6"/>
      <c r="AT11" s="508"/>
    </row>
    <row r="12" spans="1:46" ht="36.65" customHeight="1" x14ac:dyDescent="0.35">
      <c r="A12" s="1477"/>
      <c r="B12" s="472">
        <v>2</v>
      </c>
      <c r="C12" s="493"/>
      <c r="D12" s="494"/>
      <c r="E12" s="494"/>
      <c r="F12" s="495"/>
      <c r="G12" s="566"/>
      <c r="H12" s="514"/>
      <c r="I12" s="515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509"/>
      <c r="Z12" s="6"/>
      <c r="AA12" s="602"/>
      <c r="AB12" s="527"/>
      <c r="AC12" s="66"/>
      <c r="AD12" s="470"/>
      <c r="AE12" s="6"/>
      <c r="AF12" s="6"/>
      <c r="AG12" s="508"/>
      <c r="AH12" s="509"/>
      <c r="AI12" s="6"/>
      <c r="AJ12" s="6"/>
      <c r="AK12" s="527"/>
      <c r="AM12" s="470"/>
      <c r="AN12" s="6"/>
      <c r="AO12" s="6"/>
      <c r="AP12" s="508"/>
      <c r="AQ12" s="509"/>
      <c r="AR12" s="6"/>
      <c r="AS12" s="6"/>
      <c r="AT12" s="527"/>
    </row>
    <row r="13" spans="1:46" ht="34.950000000000003" customHeight="1" x14ac:dyDescent="0.35">
      <c r="A13" s="1478">
        <v>45022</v>
      </c>
      <c r="B13" s="472">
        <v>1</v>
      </c>
      <c r="C13" s="493"/>
      <c r="D13" s="494"/>
      <c r="E13" s="494"/>
      <c r="F13" s="495"/>
      <c r="G13" s="566"/>
      <c r="H13" s="514"/>
      <c r="I13" s="515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/>
      <c r="X13" s="495"/>
      <c r="Y13" s="469"/>
      <c r="Z13" s="502"/>
      <c r="AA13" s="6"/>
      <c r="AB13" s="527"/>
      <c r="AC13" s="66"/>
      <c r="AD13" s="470"/>
      <c r="AE13" s="6"/>
      <c r="AF13" s="6"/>
      <c r="AG13" s="495"/>
      <c r="AH13" s="509"/>
      <c r="AI13" s="6"/>
      <c r="AJ13" s="6"/>
      <c r="AK13" s="527"/>
      <c r="AM13" s="470"/>
      <c r="AN13" s="6"/>
      <c r="AO13" s="6"/>
      <c r="AP13" s="495"/>
      <c r="AQ13" s="509"/>
      <c r="AR13" s="6"/>
      <c r="AS13" s="6"/>
      <c r="AT13" s="527"/>
    </row>
    <row r="14" spans="1:46" ht="27.65" customHeight="1" x14ac:dyDescent="0.35">
      <c r="A14" s="1477"/>
      <c r="B14" s="472">
        <v>2</v>
      </c>
      <c r="C14" s="493"/>
      <c r="D14" s="494"/>
      <c r="E14" s="494">
        <v>19</v>
      </c>
      <c r="F14" s="495"/>
      <c r="G14" s="566"/>
      <c r="H14" s="515"/>
      <c r="I14" s="515" t="s">
        <v>152</v>
      </c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>
        <v>15</v>
      </c>
      <c r="X14" s="495"/>
      <c r="Y14" s="469"/>
      <c r="Z14" s="502"/>
      <c r="AA14" s="502" t="s">
        <v>152</v>
      </c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/>
      <c r="AN14" s="6"/>
      <c r="AO14" s="6"/>
      <c r="AP14" s="495"/>
      <c r="AQ14" s="469"/>
      <c r="AR14" s="6"/>
      <c r="AS14" s="6"/>
      <c r="AT14" s="527"/>
    </row>
    <row r="15" spans="1:46" ht="48" customHeight="1" x14ac:dyDescent="0.35">
      <c r="A15" s="1478">
        <v>45023</v>
      </c>
      <c r="B15" s="472">
        <v>1</v>
      </c>
      <c r="C15" s="493"/>
      <c r="D15" s="494"/>
      <c r="E15" s="6">
        <v>46</v>
      </c>
      <c r="F15" s="495"/>
      <c r="G15" s="566"/>
      <c r="H15" s="515"/>
      <c r="I15" s="515" t="s">
        <v>152</v>
      </c>
      <c r="J15" s="527"/>
      <c r="K15" s="66"/>
      <c r="L15" s="470"/>
      <c r="M15" s="6"/>
      <c r="N15" s="6"/>
      <c r="O15" s="495"/>
      <c r="P15" s="470"/>
      <c r="Q15" s="515"/>
      <c r="R15" s="6"/>
      <c r="S15" s="527"/>
      <c r="T15" s="66"/>
      <c r="U15" s="470"/>
      <c r="V15" s="6"/>
      <c r="W15" s="6"/>
      <c r="X15" s="495"/>
      <c r="Y15" s="470"/>
      <c r="Z15" s="515"/>
      <c r="AA15" s="609"/>
      <c r="AB15" s="527"/>
      <c r="AC15" s="66"/>
      <c r="AD15" s="470"/>
      <c r="AE15" s="6"/>
      <c r="AF15" s="66"/>
      <c r="AG15" s="495"/>
      <c r="AH15" s="645"/>
      <c r="AI15" s="573"/>
      <c r="AJ15" s="6"/>
      <c r="AK15" s="527"/>
      <c r="AM15" s="470"/>
      <c r="AN15" s="6"/>
      <c r="AO15" s="66">
        <v>100</v>
      </c>
      <c r="AP15" s="495"/>
      <c r="AR15" s="573"/>
      <c r="AS15" s="502" t="s">
        <v>624</v>
      </c>
      <c r="AT15" s="527"/>
    </row>
    <row r="16" spans="1:46" ht="54.65" customHeight="1" x14ac:dyDescent="0.35">
      <c r="A16" s="1477"/>
      <c r="B16" s="472">
        <v>2</v>
      </c>
      <c r="C16" s="493"/>
      <c r="D16" s="494"/>
      <c r="E16" s="494">
        <v>29</v>
      </c>
      <c r="F16" s="495"/>
      <c r="G16" s="565"/>
      <c r="H16" s="638"/>
      <c r="I16" s="515" t="s">
        <v>152</v>
      </c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/>
      <c r="W16" s="6">
        <v>39</v>
      </c>
      <c r="X16" s="495"/>
      <c r="Y16" s="565"/>
      <c r="Z16" s="638"/>
      <c r="AA16" s="515" t="s">
        <v>152</v>
      </c>
      <c r="AB16" s="527"/>
      <c r="AC16" s="66"/>
      <c r="AD16" s="470"/>
      <c r="AE16" s="6"/>
      <c r="AF16" s="6"/>
      <c r="AG16" s="495"/>
      <c r="AH16" s="565"/>
      <c r="AI16" s="638"/>
      <c r="AJ16" s="515"/>
      <c r="AK16" s="527"/>
      <c r="AM16" s="470"/>
      <c r="AN16" s="6"/>
      <c r="AO16" s="6">
        <v>357</v>
      </c>
      <c r="AP16" s="495"/>
      <c r="AQ16" s="565"/>
      <c r="AR16" s="638"/>
      <c r="AS16" s="515" t="s">
        <v>625</v>
      </c>
      <c r="AT16" s="527"/>
    </row>
    <row r="17" spans="1:46" ht="66" customHeight="1" x14ac:dyDescent="0.35">
      <c r="A17" s="1478">
        <v>45024</v>
      </c>
      <c r="B17" s="534">
        <v>1</v>
      </c>
      <c r="C17" s="493"/>
      <c r="D17" s="494"/>
      <c r="E17" s="494"/>
      <c r="F17" s="495"/>
      <c r="G17" s="566"/>
      <c r="H17" s="514"/>
      <c r="I17" s="515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/>
      <c r="X17" s="495"/>
      <c r="Y17" s="566"/>
      <c r="Z17" s="514"/>
      <c r="AA17" s="515"/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495"/>
      <c r="AQ17" s="566"/>
      <c r="AR17" s="514"/>
      <c r="AS17" s="515"/>
      <c r="AT17" s="527"/>
    </row>
    <row r="18" spans="1:46" ht="68.5" customHeight="1" x14ac:dyDescent="0.35">
      <c r="A18" s="1477"/>
      <c r="B18" s="472">
        <v>2</v>
      </c>
      <c r="C18" s="493">
        <v>284</v>
      </c>
      <c r="D18" s="494"/>
      <c r="E18" s="494"/>
      <c r="F18" s="495"/>
      <c r="G18" s="565" t="s">
        <v>626</v>
      </c>
      <c r="H18" s="515"/>
      <c r="I18" s="514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6"/>
      <c r="X18" s="495"/>
      <c r="Y18" s="565"/>
      <c r="Z18" s="515"/>
      <c r="AA18" s="514"/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>
        <v>64</v>
      </c>
      <c r="AP18" s="495"/>
      <c r="AQ18" s="565"/>
      <c r="AR18" s="515"/>
      <c r="AS18" s="514"/>
      <c r="AT18" s="527"/>
    </row>
    <row r="19" spans="1:46" ht="33.65" customHeight="1" x14ac:dyDescent="0.35">
      <c r="A19" s="1478">
        <v>45025</v>
      </c>
      <c r="B19" s="472">
        <v>1</v>
      </c>
      <c r="C19" s="66">
        <v>181</v>
      </c>
      <c r="D19" s="494"/>
      <c r="E19" s="494">
        <v>24</v>
      </c>
      <c r="F19" s="495"/>
      <c r="G19" s="470" t="s">
        <v>627</v>
      </c>
      <c r="H19" s="6"/>
      <c r="I19" s="6" t="s">
        <v>97</v>
      </c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502"/>
      <c r="AB19" s="527"/>
      <c r="AC19" s="66"/>
      <c r="AD19" s="470"/>
      <c r="AE19" s="6"/>
      <c r="AF19" s="6"/>
      <c r="AG19" s="495"/>
      <c r="AH19" s="470"/>
      <c r="AI19" s="6"/>
      <c r="AJ19" s="6"/>
      <c r="AK19" s="527"/>
      <c r="AM19" s="470"/>
      <c r="AN19" s="6"/>
      <c r="AO19" s="6">
        <v>60</v>
      </c>
      <c r="AP19" s="495"/>
      <c r="AQ19" s="470"/>
      <c r="AR19" s="6"/>
      <c r="AS19" s="502" t="s">
        <v>628</v>
      </c>
      <c r="AT19" s="527"/>
    </row>
    <row r="20" spans="1:46" ht="31.2" customHeight="1" x14ac:dyDescent="0.35">
      <c r="A20" s="1477"/>
      <c r="B20" s="472">
        <v>2</v>
      </c>
      <c r="C20" s="493"/>
      <c r="D20" s="494"/>
      <c r="E20" s="494">
        <v>37</v>
      </c>
      <c r="F20" s="495"/>
      <c r="G20" s="470"/>
      <c r="H20" s="502"/>
      <c r="I20" s="625" t="s">
        <v>383</v>
      </c>
      <c r="J20" s="527"/>
      <c r="K20" s="66"/>
      <c r="L20" s="470"/>
      <c r="M20" s="6"/>
      <c r="N20" s="6"/>
      <c r="O20" s="495"/>
      <c r="P20" s="470"/>
      <c r="Q20" s="502"/>
      <c r="R20" s="605"/>
      <c r="S20" s="527"/>
      <c r="T20" s="66"/>
      <c r="U20" s="470"/>
      <c r="V20" s="214"/>
      <c r="W20" s="6"/>
      <c r="X20" s="495"/>
      <c r="Y20" s="470"/>
      <c r="Z20" s="502"/>
      <c r="AA20" s="605"/>
      <c r="AB20" s="527"/>
      <c r="AC20" s="66"/>
      <c r="AD20" s="470">
        <v>364</v>
      </c>
      <c r="AE20" s="6"/>
      <c r="AF20" s="6">
        <v>19</v>
      </c>
      <c r="AG20" s="495"/>
      <c r="AH20" s="470" t="s">
        <v>629</v>
      </c>
      <c r="AI20" s="502"/>
      <c r="AJ20" s="625" t="s">
        <v>562</v>
      </c>
      <c r="AK20" s="527"/>
      <c r="AM20" s="470"/>
      <c r="AN20" s="6"/>
      <c r="AO20" s="6"/>
      <c r="AP20" s="495"/>
      <c r="AQ20" s="470"/>
      <c r="AR20" s="502"/>
      <c r="AS20" s="605"/>
      <c r="AT20" s="527"/>
    </row>
    <row r="21" spans="1:46" ht="39.65" customHeight="1" x14ac:dyDescent="0.35">
      <c r="A21" s="1478">
        <v>45026</v>
      </c>
      <c r="B21" s="472">
        <v>1</v>
      </c>
      <c r="C21" s="493"/>
      <c r="D21" s="494"/>
      <c r="E21" s="494"/>
      <c r="F21" s="495"/>
      <c r="G21" s="569"/>
      <c r="H21" s="514"/>
      <c r="I21" s="515"/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70"/>
      <c r="Z21" s="6"/>
      <c r="AA21" s="502"/>
      <c r="AB21" s="527"/>
      <c r="AC21" s="66"/>
      <c r="AD21" s="470"/>
      <c r="AE21" s="6"/>
      <c r="AF21" s="6"/>
      <c r="AG21" s="495"/>
      <c r="AH21" s="470"/>
      <c r="AI21" s="6"/>
      <c r="AJ21" s="6"/>
      <c r="AK21" s="607"/>
      <c r="AM21" s="470"/>
      <c r="AN21" s="6"/>
      <c r="AO21" s="6"/>
      <c r="AP21" s="495"/>
      <c r="AQ21" s="470"/>
      <c r="AR21" s="502"/>
      <c r="AS21" s="47"/>
      <c r="AT21" s="527"/>
    </row>
    <row r="22" spans="1:46" ht="31.95" customHeight="1" x14ac:dyDescent="0.35">
      <c r="A22" s="1477"/>
      <c r="B22" s="472">
        <v>2</v>
      </c>
      <c r="C22" s="493"/>
      <c r="D22" s="494"/>
      <c r="E22" s="494">
        <v>16</v>
      </c>
      <c r="F22" s="495"/>
      <c r="G22" s="562"/>
      <c r="H22" s="515"/>
      <c r="I22" s="515" t="s">
        <v>152</v>
      </c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>
        <v>24</v>
      </c>
      <c r="X22" s="495"/>
      <c r="Y22" s="470"/>
      <c r="Z22" s="6"/>
      <c r="AA22" s="502" t="s">
        <v>152</v>
      </c>
      <c r="AB22" s="527"/>
      <c r="AC22" s="66"/>
      <c r="AD22" s="470"/>
      <c r="AE22" s="6"/>
      <c r="AF22" s="6"/>
      <c r="AG22" s="495"/>
      <c r="AH22" s="465"/>
      <c r="AI22" s="6"/>
      <c r="AJ22" s="6"/>
      <c r="AK22" s="607"/>
      <c r="AM22" s="470"/>
      <c r="AN22" s="6"/>
      <c r="AO22" s="6"/>
      <c r="AP22" s="495"/>
      <c r="AQ22" s="470"/>
      <c r="AR22" s="502"/>
      <c r="AS22" s="47"/>
      <c r="AT22" s="527"/>
    </row>
    <row r="23" spans="1:46" ht="37.950000000000003" customHeight="1" x14ac:dyDescent="0.35">
      <c r="A23" s="1478">
        <v>45027</v>
      </c>
      <c r="B23" s="534">
        <v>1</v>
      </c>
      <c r="C23" s="493"/>
      <c r="D23" s="494"/>
      <c r="E23" s="494">
        <v>18</v>
      </c>
      <c r="F23" s="495"/>
      <c r="G23" s="566"/>
      <c r="H23" s="514"/>
      <c r="I23" s="515" t="s">
        <v>152</v>
      </c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565"/>
      <c r="Z23" s="514"/>
      <c r="AA23" s="515"/>
      <c r="AB23" s="527"/>
      <c r="AC23" s="66"/>
      <c r="AD23" s="470"/>
      <c r="AE23" s="6"/>
      <c r="AF23" s="6"/>
      <c r="AG23" s="495"/>
      <c r="AH23" s="6"/>
      <c r="AI23" s="514"/>
      <c r="AJ23" s="515"/>
      <c r="AK23" s="607"/>
      <c r="AM23" s="470"/>
      <c r="AN23" s="6"/>
      <c r="AO23" s="6"/>
      <c r="AP23" s="495"/>
      <c r="AQ23" s="6"/>
      <c r="AR23" s="514"/>
      <c r="AS23" s="573"/>
      <c r="AT23" s="527"/>
    </row>
    <row r="24" spans="1:46" ht="49.95" customHeight="1" x14ac:dyDescent="0.35">
      <c r="A24" s="1477"/>
      <c r="B24" s="472">
        <v>2</v>
      </c>
      <c r="C24" s="493"/>
      <c r="D24" s="494"/>
      <c r="E24" s="494">
        <v>45</v>
      </c>
      <c r="F24" s="495"/>
      <c r="G24" s="566"/>
      <c r="H24" s="514"/>
      <c r="I24" s="515" t="s">
        <v>328</v>
      </c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>
        <v>23</v>
      </c>
      <c r="X24" s="495"/>
      <c r="Y24" s="566"/>
      <c r="Z24" s="514"/>
      <c r="AA24" s="515" t="s">
        <v>152</v>
      </c>
      <c r="AB24" s="527"/>
      <c r="AC24" s="66"/>
      <c r="AD24" s="470"/>
      <c r="AE24" s="6"/>
      <c r="AF24" s="6"/>
      <c r="AG24" s="495"/>
      <c r="AH24" s="6"/>
      <c r="AI24" s="514"/>
      <c r="AJ24" s="6"/>
      <c r="AK24" s="607"/>
      <c r="AM24" s="470"/>
      <c r="AN24" s="6"/>
      <c r="AO24" s="6"/>
      <c r="AP24" s="495"/>
      <c r="AQ24" s="6"/>
      <c r="AR24" s="514"/>
      <c r="AS24" s="636"/>
      <c r="AT24" s="527"/>
    </row>
    <row r="25" spans="1:46" ht="46.2" customHeight="1" x14ac:dyDescent="0.35">
      <c r="A25" s="1478">
        <v>45028</v>
      </c>
      <c r="B25" s="472">
        <v>1</v>
      </c>
      <c r="C25" s="493"/>
      <c r="D25" s="494"/>
      <c r="E25" s="494"/>
      <c r="F25" s="495"/>
      <c r="G25" s="566"/>
      <c r="H25" s="514"/>
      <c r="I25" s="515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70"/>
      <c r="Z25" s="502"/>
      <c r="AA25" s="502"/>
      <c r="AB25" s="527"/>
      <c r="AC25" s="66"/>
      <c r="AD25" s="470"/>
      <c r="AE25" s="6"/>
      <c r="AF25" s="6"/>
      <c r="AG25" s="495"/>
      <c r="AH25" s="6"/>
      <c r="AI25" s="6"/>
      <c r="AJ25" s="6"/>
      <c r="AK25" s="607"/>
      <c r="AM25" s="470"/>
      <c r="AN25" s="6"/>
      <c r="AO25" s="6"/>
      <c r="AP25" s="495"/>
      <c r="AQ25" s="6"/>
      <c r="AR25" s="6"/>
      <c r="AS25" s="47"/>
      <c r="AT25" s="527"/>
    </row>
    <row r="26" spans="1:46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573"/>
      <c r="J26" s="527"/>
      <c r="K26" s="66"/>
      <c r="L26" s="470"/>
      <c r="M26" s="6"/>
      <c r="N26" s="6"/>
      <c r="O26" s="495"/>
      <c r="P26" s="566"/>
      <c r="Q26" s="515"/>
      <c r="R26" s="515"/>
      <c r="S26" s="527"/>
      <c r="T26" s="66"/>
      <c r="U26" s="470"/>
      <c r="V26" s="494"/>
      <c r="W26" s="6">
        <v>29</v>
      </c>
      <c r="X26" s="495"/>
      <c r="Y26" s="566"/>
      <c r="Z26" s="515"/>
      <c r="AA26" s="515" t="s">
        <v>152</v>
      </c>
      <c r="AB26" s="527"/>
      <c r="AC26" s="66"/>
      <c r="AD26" s="470"/>
      <c r="AE26" s="494"/>
      <c r="AF26" s="6"/>
      <c r="AG26" s="495"/>
      <c r="AH26" s="6"/>
      <c r="AI26" s="6"/>
      <c r="AJ26" s="6"/>
      <c r="AK26" s="607"/>
      <c r="AM26" s="470"/>
      <c r="AN26" s="494"/>
      <c r="AO26" s="6"/>
      <c r="AP26" s="495"/>
      <c r="AQ26" s="6"/>
      <c r="AR26" s="6"/>
      <c r="AS26" s="47"/>
      <c r="AT26" s="527"/>
    </row>
    <row r="27" spans="1:46" ht="49.95" customHeight="1" x14ac:dyDescent="0.35">
      <c r="A27" s="1478">
        <v>45029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/>
      <c r="X27" s="508"/>
      <c r="Y27" s="566"/>
      <c r="Z27" s="514"/>
      <c r="AA27" s="515"/>
      <c r="AB27" s="527"/>
      <c r="AC27" s="66"/>
      <c r="AD27" s="470"/>
      <c r="AE27" s="6"/>
      <c r="AF27" s="6"/>
      <c r="AG27" s="508"/>
      <c r="AH27" s="6"/>
      <c r="AI27" s="6"/>
      <c r="AJ27" s="515"/>
      <c r="AK27" s="607"/>
      <c r="AM27" s="470"/>
      <c r="AN27" s="6"/>
      <c r="AO27" s="6"/>
      <c r="AP27" s="508"/>
      <c r="AQ27" s="6"/>
      <c r="AR27" s="6"/>
      <c r="AS27" s="573"/>
      <c r="AT27" s="527"/>
    </row>
    <row r="28" spans="1:46" ht="49.2" customHeight="1" x14ac:dyDescent="0.35">
      <c r="A28" s="1477"/>
      <c r="B28" s="472">
        <v>2</v>
      </c>
      <c r="C28" s="493"/>
      <c r="D28" s="494"/>
      <c r="E28" s="494"/>
      <c r="F28" s="495"/>
      <c r="G28" s="515"/>
      <c r="H28" s="515"/>
      <c r="I28" s="573"/>
      <c r="J28" s="527"/>
      <c r="K28" s="66"/>
      <c r="L28" s="470"/>
      <c r="M28" s="6"/>
      <c r="N28" s="6"/>
      <c r="O28" s="495"/>
      <c r="P28" s="515"/>
      <c r="Q28" s="515"/>
      <c r="R28" s="515"/>
      <c r="S28" s="526"/>
      <c r="T28" s="66"/>
      <c r="U28" s="470"/>
      <c r="V28" s="6"/>
      <c r="W28" s="66"/>
      <c r="X28" s="495"/>
      <c r="Y28" s="515"/>
      <c r="Z28" s="6"/>
      <c r="AA28" s="573"/>
      <c r="AB28" s="527"/>
      <c r="AC28" s="66"/>
      <c r="AD28" s="470"/>
      <c r="AE28" s="6"/>
      <c r="AF28" s="6"/>
      <c r="AG28" s="495"/>
      <c r="AH28" s="502"/>
      <c r="AI28" s="6"/>
      <c r="AJ28" s="573"/>
      <c r="AK28" s="526"/>
      <c r="AM28" s="470"/>
      <c r="AN28" s="6"/>
      <c r="AO28" s="6"/>
      <c r="AP28" s="495"/>
      <c r="AQ28" s="502"/>
      <c r="AR28" s="6"/>
      <c r="AS28" s="573"/>
      <c r="AT28" s="526"/>
    </row>
    <row r="29" spans="1:46" ht="45" customHeight="1" x14ac:dyDescent="0.35">
      <c r="A29" s="1478">
        <v>45030</v>
      </c>
      <c r="B29" s="472">
        <v>1</v>
      </c>
      <c r="C29" s="493"/>
      <c r="D29" s="494"/>
      <c r="E29" s="494"/>
      <c r="F29" s="495"/>
      <c r="G29" s="515"/>
      <c r="H29" s="514"/>
      <c r="I29" s="573"/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/>
      <c r="X29" s="495"/>
      <c r="Y29" s="566"/>
      <c r="Z29" s="514"/>
      <c r="AA29" s="573"/>
      <c r="AB29" s="527"/>
      <c r="AC29" s="66"/>
      <c r="AD29" s="470"/>
      <c r="AE29" s="6"/>
      <c r="AF29" s="6"/>
      <c r="AG29" s="495"/>
      <c r="AH29" s="566"/>
      <c r="AI29" s="514"/>
      <c r="AJ29" s="515"/>
      <c r="AK29" s="508"/>
      <c r="AM29" s="470"/>
      <c r="AN29" s="6"/>
      <c r="AO29" s="6">
        <v>36</v>
      </c>
      <c r="AP29" s="495"/>
      <c r="AQ29" s="566"/>
      <c r="AR29" s="514"/>
      <c r="AS29" s="515" t="s">
        <v>567</v>
      </c>
      <c r="AT29" s="508"/>
    </row>
    <row r="30" spans="1:46" ht="30.6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4"/>
      <c r="I30" s="515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/>
      <c r="X30" s="495"/>
      <c r="Y30" s="566"/>
      <c r="Z30" s="514"/>
      <c r="AA30" s="515"/>
      <c r="AB30" s="508"/>
      <c r="AC30" s="66"/>
      <c r="AD30" s="470"/>
      <c r="AE30" s="6"/>
      <c r="AF30" s="6"/>
      <c r="AG30" s="495"/>
      <c r="AH30" s="566"/>
      <c r="AI30" s="514"/>
      <c r="AJ30" s="515"/>
      <c r="AK30" s="508"/>
      <c r="AM30" s="470"/>
      <c r="AN30" s="6"/>
      <c r="AO30" s="6"/>
      <c r="AP30" s="495"/>
      <c r="AQ30" s="566"/>
      <c r="AR30" s="514"/>
      <c r="AS30" s="515"/>
      <c r="AT30" s="508"/>
    </row>
    <row r="31" spans="1:46" ht="39.65" customHeight="1" x14ac:dyDescent="0.35">
      <c r="A31" s="1478">
        <v>45031</v>
      </c>
      <c r="B31" s="472">
        <v>1</v>
      </c>
      <c r="C31" s="493"/>
      <c r="D31" s="494"/>
      <c r="E31" s="494"/>
      <c r="F31" s="495"/>
      <c r="G31" s="566"/>
      <c r="H31" s="514"/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469"/>
      <c r="Z31" s="6"/>
      <c r="AA31" s="6"/>
      <c r="AB31" s="527"/>
      <c r="AC31" s="66"/>
      <c r="AD31" s="470"/>
      <c r="AE31" s="6"/>
      <c r="AF31" s="6"/>
      <c r="AG31" s="495"/>
      <c r="AH31" s="509"/>
      <c r="AI31" s="6"/>
      <c r="AJ31" s="6"/>
      <c r="AK31" s="527"/>
      <c r="AM31" s="470"/>
      <c r="AN31" s="6"/>
      <c r="AO31" s="6"/>
      <c r="AP31" s="495"/>
      <c r="AQ31" s="509"/>
      <c r="AR31" s="6"/>
      <c r="AS31" s="6"/>
      <c r="AT31" s="527"/>
    </row>
    <row r="32" spans="1:46" ht="63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66"/>
      <c r="I32" s="565"/>
      <c r="J32" s="568"/>
      <c r="K32" s="66"/>
      <c r="L32" s="470"/>
      <c r="M32" s="6"/>
      <c r="N32" s="6"/>
      <c r="O32" s="508"/>
      <c r="P32" s="509"/>
      <c r="Q32" s="6"/>
      <c r="R32" s="6"/>
      <c r="S32" s="627"/>
      <c r="T32" s="66"/>
      <c r="U32" s="470"/>
      <c r="V32" s="6"/>
      <c r="W32" s="494">
        <v>63</v>
      </c>
      <c r="X32" s="495"/>
      <c r="Y32" s="566"/>
      <c r="Z32" s="566"/>
      <c r="AA32" s="565" t="s">
        <v>630</v>
      </c>
      <c r="AB32" s="527"/>
      <c r="AC32" s="66"/>
      <c r="AD32" s="470"/>
      <c r="AE32" s="6"/>
      <c r="AF32" s="494">
        <v>41</v>
      </c>
      <c r="AG32" s="495"/>
      <c r="AH32" s="566"/>
      <c r="AI32" s="566"/>
      <c r="AJ32" s="565" t="s">
        <v>630</v>
      </c>
      <c r="AK32" s="508"/>
      <c r="AM32" s="470"/>
      <c r="AN32" s="6"/>
      <c r="AO32" s="6"/>
      <c r="AP32" s="508"/>
      <c r="AQ32" s="509"/>
      <c r="AR32" s="502"/>
      <c r="AS32" s="6"/>
      <c r="AT32" s="508"/>
    </row>
    <row r="33" spans="1:46" ht="43.2" customHeight="1" x14ac:dyDescent="0.35">
      <c r="A33" s="1478">
        <v>45032</v>
      </c>
      <c r="B33" s="472">
        <v>1</v>
      </c>
      <c r="C33" s="493"/>
      <c r="D33" s="494"/>
      <c r="E33" s="494"/>
      <c r="F33" s="495"/>
      <c r="G33" s="566"/>
      <c r="H33" s="514"/>
      <c r="I33" s="573"/>
      <c r="J33" s="568"/>
      <c r="K33" s="66"/>
      <c r="L33" s="470"/>
      <c r="M33" s="6"/>
      <c r="N33" s="6"/>
      <c r="O33" s="508"/>
      <c r="P33" s="509"/>
      <c r="Q33" s="6"/>
      <c r="R33" s="6"/>
      <c r="S33" s="508"/>
      <c r="T33" s="66"/>
      <c r="U33" s="470"/>
      <c r="V33" s="6"/>
      <c r="W33" s="6"/>
      <c r="X33" s="508"/>
      <c r="Y33" s="509"/>
      <c r="Z33" s="6"/>
      <c r="AA33" s="502"/>
      <c r="AB33" s="508"/>
      <c r="AC33" s="66"/>
      <c r="AD33" s="470"/>
      <c r="AE33" s="6"/>
      <c r="AF33" s="6"/>
      <c r="AG33" s="508"/>
      <c r="AH33" s="509"/>
      <c r="AI33" s="502"/>
      <c r="AJ33" s="6"/>
      <c r="AK33" s="508"/>
      <c r="AM33" s="470"/>
      <c r="AN33" s="6"/>
      <c r="AO33" s="6"/>
      <c r="AP33" s="508"/>
      <c r="AQ33" s="509"/>
      <c r="AR33" s="502"/>
      <c r="AS33" s="6"/>
      <c r="AT33" s="508"/>
    </row>
    <row r="34" spans="1:46" ht="50.5" customHeight="1" x14ac:dyDescent="0.35">
      <c r="A34" s="1477"/>
      <c r="B34" s="534">
        <v>2</v>
      </c>
      <c r="C34" s="494"/>
      <c r="D34" s="494"/>
      <c r="E34" s="494"/>
      <c r="F34" s="637"/>
      <c r="G34" s="566"/>
      <c r="H34" s="515"/>
      <c r="I34" s="515"/>
      <c r="J34" s="568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>
        <v>35</v>
      </c>
      <c r="X34" s="508"/>
      <c r="Y34" s="6"/>
      <c r="Z34" s="502"/>
      <c r="AA34" s="565" t="s">
        <v>630</v>
      </c>
      <c r="AB34" s="527"/>
      <c r="AC34" s="66"/>
      <c r="AD34" s="470"/>
      <c r="AE34" s="6"/>
      <c r="AF34" s="6"/>
      <c r="AG34" s="508"/>
      <c r="AH34" s="509"/>
      <c r="AI34" s="6"/>
      <c r="AJ34" s="6"/>
      <c r="AK34" s="508"/>
      <c r="AM34" s="470"/>
      <c r="AN34" s="6"/>
      <c r="AO34" s="6"/>
      <c r="AP34" s="508"/>
      <c r="AQ34" s="509"/>
      <c r="AR34" s="6"/>
      <c r="AS34" s="6"/>
      <c r="AT34" s="508"/>
    </row>
    <row r="35" spans="1:46" ht="51" customHeight="1" x14ac:dyDescent="0.35">
      <c r="A35" s="1478">
        <v>45033</v>
      </c>
      <c r="B35" s="472">
        <v>1</v>
      </c>
      <c r="C35" s="494"/>
      <c r="D35" s="494"/>
      <c r="E35" s="47">
        <v>180</v>
      </c>
      <c r="F35" s="636"/>
      <c r="G35" s="465"/>
      <c r="H35" s="509"/>
      <c r="I35" s="502" t="s">
        <v>631</v>
      </c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>
        <v>259</v>
      </c>
      <c r="X35" s="526"/>
      <c r="Y35" s="465"/>
      <c r="Z35" s="6"/>
      <c r="AA35" s="565" t="s">
        <v>630</v>
      </c>
      <c r="AB35" s="508"/>
      <c r="AC35" s="66"/>
      <c r="AD35" s="470"/>
      <c r="AE35" s="6"/>
      <c r="AF35" s="6">
        <v>207</v>
      </c>
      <c r="AG35" s="469"/>
      <c r="AH35" s="465"/>
      <c r="AI35" s="6"/>
      <c r="AJ35" s="565" t="s">
        <v>630</v>
      </c>
      <c r="AK35" s="508"/>
      <c r="AM35" s="470"/>
      <c r="AN35" s="6"/>
      <c r="AO35" s="47"/>
      <c r="AP35" s="526"/>
      <c r="AQ35" s="465"/>
      <c r="AR35" s="6"/>
      <c r="AS35" s="502"/>
      <c r="AT35" s="508"/>
    </row>
    <row r="36" spans="1:46" ht="46.95" customHeight="1" x14ac:dyDescent="0.35">
      <c r="A36" s="1477"/>
      <c r="B36" s="472">
        <v>2</v>
      </c>
      <c r="C36" s="47">
        <v>720</v>
      </c>
      <c r="D36" s="6"/>
      <c r="E36" s="47"/>
      <c r="F36" s="636"/>
      <c r="G36" s="573" t="s">
        <v>632</v>
      </c>
      <c r="H36" s="469"/>
      <c r="I36" s="573"/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/>
      <c r="W36" s="6">
        <v>41</v>
      </c>
      <c r="X36" s="469"/>
      <c r="Y36" s="465"/>
      <c r="Z36" s="502"/>
      <c r="AA36" s="565" t="s">
        <v>630</v>
      </c>
      <c r="AB36" s="508"/>
      <c r="AC36" s="66"/>
      <c r="AD36" s="470"/>
      <c r="AE36" s="6"/>
      <c r="AF36" s="47">
        <v>50</v>
      </c>
      <c r="AG36" s="526"/>
      <c r="AH36" s="465"/>
      <c r="AI36" s="502"/>
      <c r="AJ36" s="565" t="s">
        <v>630</v>
      </c>
      <c r="AK36" s="508"/>
      <c r="AM36" s="470"/>
      <c r="AN36" s="6"/>
      <c r="AO36" s="6"/>
      <c r="AP36" s="469"/>
      <c r="AQ36" s="465"/>
      <c r="AR36" s="502"/>
      <c r="AS36" s="502"/>
      <c r="AT36" s="508"/>
    </row>
    <row r="37" spans="1:46" ht="59.5" customHeight="1" x14ac:dyDescent="0.35">
      <c r="A37" s="1478">
        <v>45034</v>
      </c>
      <c r="B37" s="534">
        <v>1</v>
      </c>
      <c r="C37" s="47">
        <v>720</v>
      </c>
      <c r="D37" s="494"/>
      <c r="E37" s="47"/>
      <c r="F37" s="47"/>
      <c r="G37" s="573" t="s">
        <v>632</v>
      </c>
      <c r="H37" s="469"/>
      <c r="I37" s="573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>
        <v>78</v>
      </c>
      <c r="X37" s="508"/>
      <c r="Y37" s="509"/>
      <c r="Z37" s="502"/>
      <c r="AA37" s="565" t="s">
        <v>630</v>
      </c>
      <c r="AB37" s="527"/>
      <c r="AC37" s="66"/>
      <c r="AD37" s="470"/>
      <c r="AE37" s="6"/>
      <c r="AF37" s="6">
        <v>30</v>
      </c>
      <c r="AG37" s="508"/>
      <c r="AH37" s="509"/>
      <c r="AI37" s="6"/>
      <c r="AJ37" s="565" t="s">
        <v>630</v>
      </c>
      <c r="AK37" s="508"/>
      <c r="AM37" s="470"/>
      <c r="AN37" s="6"/>
      <c r="AO37" s="6"/>
      <c r="AP37" s="508"/>
      <c r="AQ37" s="509"/>
      <c r="AR37" s="6"/>
      <c r="AS37" s="6"/>
      <c r="AT37" s="508"/>
    </row>
    <row r="38" spans="1:46" ht="55.95" customHeight="1" x14ac:dyDescent="0.35">
      <c r="A38" s="1477"/>
      <c r="B38" s="472">
        <v>2</v>
      </c>
      <c r="C38" s="47">
        <v>720</v>
      </c>
      <c r="D38" s="494"/>
      <c r="E38" s="47"/>
      <c r="F38" s="637"/>
      <c r="G38" s="573" t="s">
        <v>632</v>
      </c>
      <c r="H38" s="469"/>
      <c r="I38" s="573"/>
      <c r="J38" s="527"/>
      <c r="K38" s="66"/>
      <c r="L38" s="470"/>
      <c r="M38" s="6">
        <v>83</v>
      </c>
      <c r="N38" s="6"/>
      <c r="O38" s="508"/>
      <c r="P38" s="469"/>
      <c r="Q38" s="469" t="s">
        <v>590</v>
      </c>
      <c r="R38" s="6"/>
      <c r="S38" s="527"/>
      <c r="T38" s="66"/>
      <c r="U38" s="470"/>
      <c r="V38" s="6"/>
      <c r="W38" s="6"/>
      <c r="X38" s="508"/>
      <c r="Y38" s="509"/>
      <c r="Z38" s="502"/>
      <c r="AA38" s="6"/>
      <c r="AB38" s="527"/>
      <c r="AC38" s="66"/>
      <c r="AD38" s="470"/>
      <c r="AE38" s="6"/>
      <c r="AF38" s="6"/>
      <c r="AG38" s="508"/>
      <c r="AH38" s="469"/>
      <c r="AI38" s="6"/>
      <c r="AJ38" s="502"/>
      <c r="AK38" s="527"/>
      <c r="AM38" s="470"/>
      <c r="AN38" s="6"/>
      <c r="AO38" s="6"/>
      <c r="AP38" s="508"/>
      <c r="AQ38" s="509"/>
      <c r="AR38" s="6"/>
      <c r="AS38" s="502"/>
      <c r="AT38" s="527"/>
    </row>
    <row r="39" spans="1:46" ht="39" customHeight="1" x14ac:dyDescent="0.35">
      <c r="A39" s="1478">
        <v>45035</v>
      </c>
      <c r="B39" s="472">
        <v>1</v>
      </c>
      <c r="C39" s="47">
        <v>720</v>
      </c>
      <c r="D39" s="494"/>
      <c r="E39" s="47"/>
      <c r="F39" s="495"/>
      <c r="G39" s="573" t="s">
        <v>632</v>
      </c>
      <c r="H39" s="514"/>
      <c r="I39" s="573"/>
      <c r="J39" s="568"/>
      <c r="K39" s="66"/>
      <c r="L39" s="470"/>
      <c r="M39" s="6"/>
      <c r="N39" s="6"/>
      <c r="O39" s="495"/>
      <c r="P39" s="566"/>
      <c r="Q39" s="514"/>
      <c r="R39" s="573"/>
      <c r="S39" s="568"/>
      <c r="T39" s="66"/>
      <c r="U39" s="470"/>
      <c r="V39" s="6"/>
      <c r="W39" s="6">
        <v>25</v>
      </c>
      <c r="X39" s="495"/>
      <c r="Y39" s="566"/>
      <c r="Z39" s="514"/>
      <c r="AA39" s="573" t="s">
        <v>325</v>
      </c>
      <c r="AB39" s="568"/>
      <c r="AC39" s="66"/>
      <c r="AD39" s="470"/>
      <c r="AE39" s="6"/>
      <c r="AF39" s="6">
        <v>25</v>
      </c>
      <c r="AG39" s="495"/>
      <c r="AH39" s="566"/>
      <c r="AI39" s="514"/>
      <c r="AJ39" s="573" t="s">
        <v>325</v>
      </c>
      <c r="AK39" s="568"/>
      <c r="AM39" s="470"/>
      <c r="AN39" s="6"/>
      <c r="AO39" s="6"/>
      <c r="AP39" s="495"/>
      <c r="AQ39" s="566"/>
      <c r="AR39" s="514"/>
      <c r="AS39" s="573"/>
      <c r="AT39" s="568"/>
    </row>
    <row r="40" spans="1:46" ht="72.650000000000006" customHeight="1" x14ac:dyDescent="0.35">
      <c r="A40" s="1477"/>
      <c r="B40" s="472">
        <v>2</v>
      </c>
      <c r="C40" s="494">
        <v>386</v>
      </c>
      <c r="D40" s="494"/>
      <c r="E40" s="494">
        <v>113</v>
      </c>
      <c r="F40" s="508"/>
      <c r="G40" s="573" t="s">
        <v>632</v>
      </c>
      <c r="H40" s="515"/>
      <c r="I40" s="573" t="s">
        <v>633</v>
      </c>
      <c r="J40" s="568"/>
      <c r="K40" s="66"/>
      <c r="L40" s="470"/>
      <c r="M40" s="6"/>
      <c r="N40" s="6"/>
      <c r="O40" s="508"/>
      <c r="P40" s="566"/>
      <c r="Q40" s="514"/>
      <c r="R40" s="573"/>
      <c r="S40" s="568"/>
      <c r="T40" s="66"/>
      <c r="U40" s="470"/>
      <c r="V40" s="6"/>
      <c r="W40" s="6"/>
      <c r="X40" s="508"/>
      <c r="Y40" s="566"/>
      <c r="Z40" s="514"/>
      <c r="AA40" s="573"/>
      <c r="AB40" s="568"/>
      <c r="AC40" s="66"/>
      <c r="AD40" s="470"/>
      <c r="AE40" s="6"/>
      <c r="AF40" s="6"/>
      <c r="AG40" s="508"/>
      <c r="AH40" s="566"/>
      <c r="AI40" s="514"/>
      <c r="AJ40" s="573"/>
      <c r="AK40" s="568"/>
      <c r="AM40" s="470"/>
      <c r="AN40" s="6"/>
      <c r="AO40" s="6"/>
      <c r="AP40" s="508"/>
      <c r="AQ40" s="566"/>
      <c r="AR40" s="514"/>
      <c r="AS40" s="573"/>
      <c r="AT40" s="568"/>
    </row>
    <row r="41" spans="1:46" ht="39.65" customHeight="1" x14ac:dyDescent="0.35">
      <c r="A41" s="1478">
        <v>45036</v>
      </c>
      <c r="B41" s="472">
        <v>1</v>
      </c>
      <c r="C41" s="493"/>
      <c r="D41" s="494"/>
      <c r="E41" s="494"/>
      <c r="F41" s="508"/>
      <c r="G41" s="566"/>
      <c r="H41" s="515"/>
      <c r="I41" s="573"/>
      <c r="J41" s="568"/>
      <c r="K41" s="66"/>
      <c r="L41" s="470"/>
      <c r="M41" s="6"/>
      <c r="N41" s="6"/>
      <c r="O41" s="508"/>
      <c r="P41" s="509"/>
      <c r="Q41" s="6"/>
      <c r="R41" s="6"/>
      <c r="S41" s="527"/>
      <c r="T41" s="66"/>
      <c r="U41" s="470"/>
      <c r="V41" s="6"/>
      <c r="W41" s="6"/>
      <c r="X41" s="508"/>
      <c r="Y41" s="509"/>
      <c r="Z41" s="502"/>
      <c r="AA41" s="502"/>
      <c r="AB41" s="508"/>
      <c r="AC41" s="66"/>
      <c r="AD41" s="470"/>
      <c r="AE41" s="6"/>
      <c r="AF41" s="6"/>
      <c r="AG41" s="508"/>
      <c r="AH41" s="509"/>
      <c r="AI41" s="502"/>
      <c r="AJ41" s="6"/>
      <c r="AK41" s="508"/>
      <c r="AM41" s="470"/>
      <c r="AN41" s="6"/>
      <c r="AO41" s="6"/>
      <c r="AP41" s="508"/>
      <c r="AQ41" s="509"/>
      <c r="AR41" s="502"/>
      <c r="AS41" s="6"/>
      <c r="AT41" s="508"/>
    </row>
    <row r="42" spans="1:46" ht="33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4"/>
      <c r="I42" s="573"/>
      <c r="J42" s="568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>
        <v>607</v>
      </c>
      <c r="V42" s="6"/>
      <c r="W42" s="6"/>
      <c r="X42" s="508"/>
      <c r="Y42" s="469" t="s">
        <v>634</v>
      </c>
      <c r="Z42" s="6"/>
      <c r="AA42" s="502"/>
      <c r="AB42" s="527"/>
      <c r="AC42" s="66"/>
      <c r="AD42" s="470"/>
      <c r="AE42" s="6"/>
      <c r="AF42" s="6"/>
      <c r="AG42" s="508"/>
      <c r="AH42" s="509"/>
      <c r="AI42" s="6"/>
      <c r="AJ42" s="6"/>
      <c r="AK42" s="508"/>
      <c r="AM42" s="470"/>
      <c r="AN42" s="6"/>
      <c r="AO42" s="6"/>
      <c r="AP42" s="508"/>
      <c r="AQ42" s="509"/>
      <c r="AR42" s="6"/>
      <c r="AS42" s="6"/>
      <c r="AT42" s="508"/>
    </row>
    <row r="43" spans="1:46" ht="33.65" customHeight="1" x14ac:dyDescent="0.35">
      <c r="A43" s="1478">
        <v>45037</v>
      </c>
      <c r="B43" s="472">
        <v>1</v>
      </c>
      <c r="C43" s="494"/>
      <c r="D43" s="494"/>
      <c r="E43" s="494"/>
      <c r="F43" s="495"/>
      <c r="G43" s="514"/>
      <c r="H43" s="514"/>
      <c r="I43" s="515"/>
      <c r="J43" s="527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/>
      <c r="W43" s="6">
        <v>24</v>
      </c>
      <c r="X43" s="508"/>
      <c r="Y43" s="509"/>
      <c r="Z43" s="6"/>
      <c r="AA43" s="515" t="s">
        <v>97</v>
      </c>
      <c r="AB43" s="508"/>
      <c r="AC43" s="66"/>
      <c r="AD43" s="470"/>
      <c r="AE43" s="6"/>
      <c r="AF43" s="6"/>
      <c r="AG43" s="508"/>
      <c r="AH43" s="502"/>
      <c r="AI43" s="515"/>
      <c r="AJ43" s="6"/>
      <c r="AK43" s="508"/>
      <c r="AM43" s="470"/>
      <c r="AN43" s="6"/>
      <c r="AO43" s="6"/>
      <c r="AP43" s="508"/>
      <c r="AQ43" s="502"/>
      <c r="AR43" s="515"/>
      <c r="AS43" s="6"/>
      <c r="AT43" s="508"/>
    </row>
    <row r="44" spans="1:46" ht="36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514"/>
      <c r="I44" s="573"/>
      <c r="J44" s="527"/>
      <c r="K44" s="66"/>
      <c r="L44" s="470"/>
      <c r="M44" s="6"/>
      <c r="N44" s="6"/>
      <c r="O44" s="508"/>
      <c r="P44" s="509"/>
      <c r="Q44" s="6"/>
      <c r="R44" s="502"/>
      <c r="S44" s="627"/>
      <c r="T44" s="66"/>
      <c r="U44" s="470"/>
      <c r="V44" s="6">
        <v>325</v>
      </c>
      <c r="W44" s="494"/>
      <c r="X44" s="495"/>
      <c r="Y44" s="514"/>
      <c r="Z44" s="515" t="s">
        <v>635</v>
      </c>
      <c r="AA44" s="502"/>
      <c r="AB44" s="527"/>
      <c r="AC44" s="66"/>
      <c r="AD44" s="470"/>
      <c r="AE44" s="6"/>
      <c r="AF44" s="6"/>
      <c r="AG44" s="508"/>
      <c r="AH44" s="509"/>
      <c r="AI44" s="502"/>
      <c r="AJ44" s="502"/>
      <c r="AK44" s="508"/>
      <c r="AM44" s="470"/>
      <c r="AN44" s="6"/>
      <c r="AO44" s="6"/>
      <c r="AP44" s="508"/>
      <c r="AQ44" s="509"/>
      <c r="AR44" s="502"/>
      <c r="AS44" s="502"/>
      <c r="AT44" s="508"/>
    </row>
    <row r="45" spans="1:46" ht="36" customHeight="1" x14ac:dyDescent="0.35">
      <c r="A45" s="1478">
        <v>45038</v>
      </c>
      <c r="B45" s="472">
        <v>1</v>
      </c>
      <c r="C45" s="494"/>
      <c r="D45" s="494"/>
      <c r="E45" s="494"/>
      <c r="F45" s="495"/>
      <c r="G45" s="514"/>
      <c r="H45" s="514"/>
      <c r="I45" s="515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>
        <v>98</v>
      </c>
      <c r="W45" s="6"/>
      <c r="X45" s="508"/>
      <c r="Y45" s="514"/>
      <c r="Z45" s="515" t="s">
        <v>635</v>
      </c>
      <c r="AA45" s="502"/>
      <c r="AB45" s="508"/>
      <c r="AC45" s="66"/>
      <c r="AD45" s="470"/>
      <c r="AE45" s="6"/>
      <c r="AF45" s="6"/>
      <c r="AG45" s="508"/>
      <c r="AH45" s="509"/>
      <c r="AI45" s="502"/>
      <c r="AJ45" s="6"/>
      <c r="AK45" s="508"/>
      <c r="AM45" s="470"/>
      <c r="AN45" s="6"/>
      <c r="AO45" s="6"/>
      <c r="AP45" s="508"/>
      <c r="AQ45" s="509"/>
      <c r="AR45" s="502"/>
      <c r="AS45" s="6"/>
      <c r="AT45" s="508"/>
    </row>
    <row r="46" spans="1:46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515"/>
      <c r="J46" s="527"/>
      <c r="K46" s="66"/>
      <c r="L46" s="470"/>
      <c r="M46" s="6"/>
      <c r="N46" s="6"/>
      <c r="O46" s="633"/>
      <c r="P46" s="509"/>
      <c r="Q46" s="515"/>
      <c r="R46" s="6"/>
      <c r="S46" s="527"/>
      <c r="T46" s="66"/>
      <c r="U46" s="470">
        <v>68</v>
      </c>
      <c r="V46" s="6"/>
      <c r="W46" s="6"/>
      <c r="X46" s="508"/>
      <c r="Y46" s="469" t="s">
        <v>636</v>
      </c>
      <c r="Z46" s="6"/>
      <c r="AA46" s="502"/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/>
      <c r="AO46" s="6"/>
      <c r="AP46" s="508"/>
      <c r="AQ46" s="469"/>
      <c r="AR46" s="6"/>
      <c r="AS46" s="6"/>
      <c r="AT46" s="527"/>
    </row>
    <row r="47" spans="1:46" ht="36" customHeight="1" x14ac:dyDescent="0.35">
      <c r="A47" s="1478">
        <v>45039</v>
      </c>
      <c r="B47" s="472">
        <v>1</v>
      </c>
      <c r="C47" s="494"/>
      <c r="D47" s="494"/>
      <c r="E47" s="494"/>
      <c r="F47" s="495"/>
      <c r="G47" s="515"/>
      <c r="H47" s="514"/>
      <c r="I47" s="573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09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6"/>
      <c r="AK47" s="508"/>
      <c r="AM47" s="470"/>
      <c r="AN47" s="6"/>
      <c r="AO47" s="6"/>
      <c r="AP47" s="508"/>
      <c r="AQ47" s="469"/>
      <c r="AR47" s="515"/>
      <c r="AS47" s="6"/>
      <c r="AT47" s="508"/>
    </row>
    <row r="48" spans="1:46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/>
      <c r="X48" s="508"/>
      <c r="Y48" s="469"/>
      <c r="Z48" s="6"/>
      <c r="AA48" s="502"/>
      <c r="AB48" s="508"/>
      <c r="AC48" s="66"/>
      <c r="AD48" s="470"/>
      <c r="AE48" s="6">
        <v>72</v>
      </c>
      <c r="AF48" s="6"/>
      <c r="AG48" s="508"/>
      <c r="AH48" s="509"/>
      <c r="AI48" s="502" t="s">
        <v>590</v>
      </c>
      <c r="AJ48" s="6"/>
      <c r="AK48" s="508"/>
      <c r="AM48" s="470"/>
      <c r="AN48" s="6"/>
      <c r="AO48" s="6"/>
      <c r="AP48" s="508"/>
      <c r="AQ48" s="509"/>
      <c r="AR48" s="502"/>
      <c r="AS48" s="6"/>
      <c r="AT48" s="508"/>
    </row>
    <row r="49" spans="1:46" ht="36" customHeight="1" x14ac:dyDescent="0.35">
      <c r="A49" s="1478">
        <v>45040</v>
      </c>
      <c r="B49" s="472">
        <v>1</v>
      </c>
      <c r="C49" s="494"/>
      <c r="D49" s="494"/>
      <c r="E49" s="494">
        <v>61</v>
      </c>
      <c r="F49" s="495"/>
      <c r="G49" s="515"/>
      <c r="H49" s="514"/>
      <c r="I49" s="573" t="s">
        <v>152</v>
      </c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>
        <v>61</v>
      </c>
      <c r="X49" s="508"/>
      <c r="Y49" s="509"/>
      <c r="Z49" s="502"/>
      <c r="AA49" s="502" t="s">
        <v>152</v>
      </c>
      <c r="AB49" s="527"/>
      <c r="AC49" s="66"/>
      <c r="AD49" s="470"/>
      <c r="AE49" s="6"/>
      <c r="AF49" s="6">
        <v>20</v>
      </c>
      <c r="AG49" s="508"/>
      <c r="AH49" s="509"/>
      <c r="AI49" s="502"/>
      <c r="AJ49" s="573" t="s">
        <v>152</v>
      </c>
      <c r="AK49" s="508"/>
      <c r="AM49" s="470"/>
      <c r="AN49" s="6"/>
      <c r="AO49" s="6"/>
      <c r="AP49" s="508"/>
      <c r="AQ49" s="509"/>
      <c r="AR49" s="502"/>
      <c r="AS49" s="6"/>
      <c r="AT49" s="508"/>
    </row>
    <row r="50" spans="1:46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/>
      <c r="X50" s="495"/>
      <c r="Y50" s="514"/>
      <c r="Z50" s="514"/>
      <c r="AA50" s="573"/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>
        <v>30</v>
      </c>
      <c r="AN50" s="6"/>
      <c r="AO50" s="6">
        <v>30</v>
      </c>
      <c r="AP50" s="495"/>
      <c r="AQ50" s="514" t="s">
        <v>113</v>
      </c>
      <c r="AR50" s="514"/>
      <c r="AS50" s="573" t="s">
        <v>637</v>
      </c>
      <c r="AT50" s="527"/>
    </row>
    <row r="51" spans="1:46" ht="34.950000000000003" customHeight="1" x14ac:dyDescent="0.35">
      <c r="A51" s="1478">
        <v>45041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  <c r="AM51" s="470"/>
      <c r="AN51" s="6"/>
      <c r="AO51" s="6"/>
      <c r="AP51" s="508"/>
      <c r="AQ51" s="509"/>
      <c r="AR51" s="6"/>
      <c r="AS51" s="6"/>
      <c r="AT51" s="508"/>
    </row>
    <row r="52" spans="1:46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573"/>
      <c r="J52" s="527"/>
      <c r="K52" s="66"/>
      <c r="L52" s="470"/>
      <c r="M52" s="6">
        <v>50</v>
      </c>
      <c r="N52" s="6"/>
      <c r="O52" s="495"/>
      <c r="P52" s="515"/>
      <c r="Q52" s="515" t="s">
        <v>590</v>
      </c>
      <c r="R52" s="573"/>
      <c r="S52" s="527"/>
      <c r="T52" s="66"/>
      <c r="U52" s="470"/>
      <c r="V52" s="6"/>
      <c r="W52" s="6"/>
      <c r="X52" s="495"/>
      <c r="Y52" s="515"/>
      <c r="Z52" s="515"/>
      <c r="AA52" s="573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9"/>
      <c r="AR52" s="508"/>
      <c r="AS52" s="6"/>
      <c r="AT52" s="508"/>
    </row>
    <row r="53" spans="1:46" ht="40.200000000000003" customHeight="1" x14ac:dyDescent="0.35">
      <c r="A53" s="1478">
        <v>45042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/>
      <c r="AP53" s="508"/>
      <c r="AQ53" s="509"/>
      <c r="AR53" s="502"/>
      <c r="AS53" s="6"/>
      <c r="AT53" s="508"/>
    </row>
    <row r="54" spans="1:46" ht="39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4"/>
      <c r="I54" s="573"/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/>
      <c r="X54" s="508"/>
      <c r="Y54" s="509"/>
      <c r="Z54" s="514"/>
      <c r="AA54" s="515"/>
      <c r="AB54" s="527"/>
      <c r="AC54" s="66"/>
      <c r="AD54" s="470"/>
      <c r="AE54" s="6"/>
      <c r="AF54" s="6"/>
      <c r="AG54" s="508"/>
      <c r="AH54" s="509"/>
      <c r="AI54" s="514"/>
      <c r="AJ54" s="6"/>
      <c r="AK54" s="527"/>
      <c r="AM54" s="470"/>
      <c r="AN54" s="6"/>
      <c r="AO54" s="6"/>
      <c r="AP54" s="495"/>
      <c r="AQ54" s="514"/>
      <c r="AR54" s="514"/>
      <c r="AS54" s="514"/>
      <c r="AT54" s="527"/>
    </row>
    <row r="55" spans="1:46" ht="39.65" customHeight="1" x14ac:dyDescent="0.35">
      <c r="A55" s="1478">
        <v>45043</v>
      </c>
      <c r="B55" s="472">
        <v>1</v>
      </c>
      <c r="C55" s="493"/>
      <c r="D55" s="494"/>
      <c r="E55" s="494">
        <v>41</v>
      </c>
      <c r="F55" s="495">
        <v>80</v>
      </c>
      <c r="G55" s="514"/>
      <c r="H55" s="514"/>
      <c r="I55" s="573" t="s">
        <v>97</v>
      </c>
      <c r="J55" s="508" t="s">
        <v>638</v>
      </c>
      <c r="K55" s="66"/>
      <c r="L55" s="470"/>
      <c r="M55" s="6"/>
      <c r="N55" s="6"/>
      <c r="O55" s="508">
        <v>80</v>
      </c>
      <c r="P55" s="509"/>
      <c r="Q55" s="515"/>
      <c r="R55" s="6"/>
      <c r="S55" s="508" t="s">
        <v>638</v>
      </c>
      <c r="T55" s="66"/>
      <c r="U55" s="470"/>
      <c r="V55" s="6"/>
      <c r="W55" s="6"/>
      <c r="X55" s="508">
        <v>80</v>
      </c>
      <c r="Y55" s="509"/>
      <c r="Z55" s="515"/>
      <c r="AA55" s="6"/>
      <c r="AB55" s="508" t="s">
        <v>638</v>
      </c>
      <c r="AC55" s="66"/>
      <c r="AD55" s="470"/>
      <c r="AE55" s="6"/>
      <c r="AF55" s="6"/>
      <c r="AG55" s="508">
        <v>80</v>
      </c>
      <c r="AH55" s="509"/>
      <c r="AI55" s="515"/>
      <c r="AJ55" s="6"/>
      <c r="AK55" s="508" t="s">
        <v>638</v>
      </c>
      <c r="AM55" s="470"/>
      <c r="AN55" s="6"/>
      <c r="AO55" s="6"/>
      <c r="AP55" s="508">
        <v>80</v>
      </c>
      <c r="AQ55" s="509"/>
      <c r="AR55" s="515"/>
      <c r="AS55" s="6"/>
      <c r="AT55" s="508" t="s">
        <v>638</v>
      </c>
    </row>
    <row r="56" spans="1:46" ht="94.2" customHeight="1" x14ac:dyDescent="0.35">
      <c r="A56" s="1477"/>
      <c r="B56" s="500">
        <v>2</v>
      </c>
      <c r="C56" s="493"/>
      <c r="D56" s="494">
        <v>47</v>
      </c>
      <c r="E56" s="494">
        <v>129</v>
      </c>
      <c r="F56" s="495"/>
      <c r="G56" s="515"/>
      <c r="H56" s="515" t="s">
        <v>640</v>
      </c>
      <c r="I56" s="515" t="s">
        <v>639</v>
      </c>
      <c r="J56" s="527"/>
      <c r="K56" s="66"/>
      <c r="L56" s="470"/>
      <c r="M56" s="6"/>
      <c r="N56" s="6">
        <v>132</v>
      </c>
      <c r="O56" s="495"/>
      <c r="P56" s="515"/>
      <c r="Q56" s="514"/>
      <c r="R56" s="515" t="s">
        <v>639</v>
      </c>
      <c r="S56" s="527"/>
      <c r="T56" s="66"/>
      <c r="U56" s="470"/>
      <c r="V56" s="6">
        <v>12</v>
      </c>
      <c r="W56" s="6">
        <v>152</v>
      </c>
      <c r="X56" s="495"/>
      <c r="Y56" s="515"/>
      <c r="Z56" s="514" t="s">
        <v>601</v>
      </c>
      <c r="AA56" s="515" t="s">
        <v>639</v>
      </c>
      <c r="AB56" s="527"/>
      <c r="AC56" s="66"/>
      <c r="AD56" s="470"/>
      <c r="AE56" s="6">
        <v>12</v>
      </c>
      <c r="AF56" s="6">
        <v>145</v>
      </c>
      <c r="AG56" s="495"/>
      <c r="AH56" s="515"/>
      <c r="AI56" s="514" t="s">
        <v>601</v>
      </c>
      <c r="AJ56" s="515" t="s">
        <v>639</v>
      </c>
      <c r="AK56" s="527"/>
      <c r="AM56" s="470"/>
      <c r="AN56" s="6"/>
      <c r="AO56" s="6">
        <v>135</v>
      </c>
      <c r="AP56" s="495"/>
      <c r="AQ56" s="515"/>
      <c r="AR56" s="514"/>
      <c r="AS56" s="515" t="s">
        <v>639</v>
      </c>
      <c r="AT56" s="527"/>
    </row>
    <row r="57" spans="1:46" ht="52.2" customHeight="1" x14ac:dyDescent="0.35">
      <c r="A57" s="1478">
        <v>45044</v>
      </c>
      <c r="B57" s="472">
        <v>1</v>
      </c>
      <c r="C57" s="493"/>
      <c r="D57" s="494">
        <v>85</v>
      </c>
      <c r="E57" s="494"/>
      <c r="F57" s="495"/>
      <c r="G57" s="515"/>
      <c r="H57" s="515" t="s">
        <v>641</v>
      </c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15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95"/>
      <c r="AQ57" s="515"/>
      <c r="AR57" s="514"/>
      <c r="AS57" s="515"/>
      <c r="AT57" s="527"/>
    </row>
    <row r="58" spans="1:46" ht="78" customHeight="1" x14ac:dyDescent="0.35">
      <c r="A58" s="1477"/>
      <c r="B58" s="500">
        <v>2</v>
      </c>
      <c r="C58" s="493"/>
      <c r="D58" s="494"/>
      <c r="E58" s="494"/>
      <c r="F58" s="495">
        <v>720</v>
      </c>
      <c r="G58" s="515"/>
      <c r="H58" s="514"/>
      <c r="I58" s="515"/>
      <c r="J58" s="527" t="s">
        <v>642</v>
      </c>
      <c r="K58" s="66"/>
      <c r="L58" s="470"/>
      <c r="M58" s="6"/>
      <c r="N58" s="6"/>
      <c r="O58" s="495">
        <v>720</v>
      </c>
      <c r="P58" s="515"/>
      <c r="Q58" s="514"/>
      <c r="R58" s="515"/>
      <c r="S58" s="527" t="s">
        <v>642</v>
      </c>
      <c r="T58" s="66"/>
      <c r="U58" s="470"/>
      <c r="V58" s="6"/>
      <c r="W58" s="6"/>
      <c r="X58" s="495">
        <v>720</v>
      </c>
      <c r="Y58" s="515"/>
      <c r="Z58" s="514"/>
      <c r="AA58" s="515"/>
      <c r="AB58" s="527" t="s">
        <v>642</v>
      </c>
      <c r="AC58" s="66"/>
      <c r="AD58" s="470"/>
      <c r="AE58" s="6"/>
      <c r="AF58" s="6"/>
      <c r="AG58" s="495">
        <v>720</v>
      </c>
      <c r="AH58" s="515"/>
      <c r="AI58" s="514"/>
      <c r="AJ58" s="515"/>
      <c r="AK58" s="527" t="s">
        <v>642</v>
      </c>
      <c r="AM58" s="470"/>
      <c r="AN58" s="6"/>
      <c r="AO58" s="6"/>
      <c r="AP58" s="495">
        <v>720</v>
      </c>
      <c r="AQ58" s="515"/>
      <c r="AR58" s="514"/>
      <c r="AS58" s="515"/>
      <c r="AT58" s="527" t="s">
        <v>642</v>
      </c>
    </row>
    <row r="59" spans="1:46" ht="73.2" customHeight="1" x14ac:dyDescent="0.35">
      <c r="A59" s="1478">
        <v>45045</v>
      </c>
      <c r="B59" s="472">
        <v>1</v>
      </c>
      <c r="C59" s="493"/>
      <c r="D59" s="494"/>
      <c r="E59" s="494"/>
      <c r="F59" s="495">
        <v>38</v>
      </c>
      <c r="G59" s="514"/>
      <c r="H59" s="514"/>
      <c r="I59" s="573"/>
      <c r="J59" s="527" t="s">
        <v>642</v>
      </c>
      <c r="K59" s="66"/>
      <c r="L59" s="470"/>
      <c r="M59" s="6">
        <v>35</v>
      </c>
      <c r="N59" s="6"/>
      <c r="O59" s="508">
        <v>36</v>
      </c>
      <c r="P59" s="509"/>
      <c r="Q59" s="502" t="s">
        <v>643</v>
      </c>
      <c r="R59" s="6"/>
      <c r="S59" s="527" t="s">
        <v>642</v>
      </c>
      <c r="T59" s="66"/>
      <c r="U59" s="470"/>
      <c r="V59" s="6"/>
      <c r="W59" s="6"/>
      <c r="X59" s="508">
        <v>41</v>
      </c>
      <c r="Y59" s="509"/>
      <c r="Z59" s="6"/>
      <c r="AA59" s="502"/>
      <c r="AB59" s="527" t="s">
        <v>642</v>
      </c>
      <c r="AC59" s="66"/>
      <c r="AD59" s="470"/>
      <c r="AE59" s="6"/>
      <c r="AF59" s="6"/>
      <c r="AG59" s="508">
        <v>43</v>
      </c>
      <c r="AH59" s="469"/>
      <c r="AI59" s="6"/>
      <c r="AJ59" s="515"/>
      <c r="AK59" s="527" t="s">
        <v>642</v>
      </c>
      <c r="AM59" s="470"/>
      <c r="AN59" s="6"/>
      <c r="AO59" s="6"/>
      <c r="AP59" s="508">
        <v>59</v>
      </c>
      <c r="AQ59" s="469"/>
      <c r="AR59" s="6"/>
      <c r="AS59" s="515"/>
      <c r="AT59" s="527" t="s">
        <v>642</v>
      </c>
    </row>
    <row r="60" spans="1:46" ht="36" customHeight="1" x14ac:dyDescent="0.35">
      <c r="A60" s="1477"/>
      <c r="B60" s="500">
        <v>2</v>
      </c>
      <c r="C60" s="493"/>
      <c r="D60" s="494"/>
      <c r="E60" s="494">
        <v>60</v>
      </c>
      <c r="F60" s="495"/>
      <c r="G60" s="514"/>
      <c r="H60" s="515"/>
      <c r="I60" s="573" t="s">
        <v>644</v>
      </c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502"/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508"/>
      <c r="AQ60" s="509"/>
      <c r="AR60" s="6"/>
      <c r="AS60" s="502"/>
      <c r="AT60" s="527"/>
    </row>
    <row r="61" spans="1:46" ht="32.5" customHeight="1" x14ac:dyDescent="0.35">
      <c r="A61" s="1478">
        <v>45046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508"/>
      <c r="AQ61" s="509"/>
      <c r="AR61" s="6"/>
      <c r="AS61" s="502"/>
      <c r="AT61" s="624"/>
    </row>
    <row r="62" spans="1:46" ht="33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508"/>
      <c r="AQ62" s="509"/>
      <c r="AR62" s="6"/>
      <c r="AS62" s="502"/>
      <c r="AT62" s="624"/>
    </row>
    <row r="63" spans="1:46" ht="33.65" customHeight="1" x14ac:dyDescent="0.35">
      <c r="A63" s="1478"/>
      <c r="B63" s="472">
        <v>1</v>
      </c>
      <c r="C63" s="587"/>
      <c r="D63" s="588"/>
      <c r="E63" s="588"/>
      <c r="F63" s="589"/>
      <c r="G63" s="598"/>
      <c r="H63" s="590"/>
      <c r="I63" s="515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6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30.6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528"/>
      <c r="AQ64" s="529"/>
      <c r="AR64" s="530"/>
      <c r="AS64" s="530"/>
      <c r="AT64" s="594"/>
    </row>
    <row r="65" spans="1:42" ht="23.5" customHeight="1" x14ac:dyDescent="0.35">
      <c r="A65" s="423" t="s">
        <v>225</v>
      </c>
      <c r="C65" s="631">
        <f>SUM(C3:C64)</f>
        <v>3908</v>
      </c>
      <c r="D65" s="65">
        <f>SUM(D3:D64)</f>
        <v>392</v>
      </c>
      <c r="E65" s="631">
        <f>SUM(E3:E64)</f>
        <v>865</v>
      </c>
      <c r="F65" s="65">
        <f>SUM(F3:F64)</f>
        <v>838</v>
      </c>
      <c r="L65" s="65">
        <f>SUM(L3:L64)</f>
        <v>0</v>
      </c>
      <c r="M65" s="65">
        <f>SUM(M3:M64)</f>
        <v>181</v>
      </c>
      <c r="N65" s="65">
        <f>SUM(N3:N64)</f>
        <v>132</v>
      </c>
      <c r="O65" s="65">
        <f>SUM(O3:O64)</f>
        <v>836</v>
      </c>
      <c r="U65" s="65">
        <f>SUM(U3:U64)</f>
        <v>675</v>
      </c>
      <c r="V65" s="65">
        <f>SUM(V3:V64)</f>
        <v>435</v>
      </c>
      <c r="W65" s="65">
        <f>SUM(W3:W64)</f>
        <v>883</v>
      </c>
      <c r="X65" s="65">
        <f>SUM(X3:X64)</f>
        <v>841</v>
      </c>
      <c r="AD65" s="65">
        <f>SUM(AD3:AD64)</f>
        <v>364</v>
      </c>
      <c r="AE65" s="65">
        <f>SUM(AE3:AE64)</f>
        <v>84</v>
      </c>
      <c r="AF65" s="65">
        <f>SUM(AF3:AF64)</f>
        <v>537</v>
      </c>
      <c r="AG65" s="65">
        <f>SUM(AG3:AG64)</f>
        <v>843</v>
      </c>
      <c r="AM65" s="65">
        <f>SUM(AM3:AM64)</f>
        <v>30</v>
      </c>
      <c r="AN65" s="65">
        <f>SUM(AN3:AN64)</f>
        <v>0</v>
      </c>
      <c r="AO65" s="65">
        <f>SUM(AO3:AO64)</f>
        <v>819</v>
      </c>
      <c r="AP65" s="65">
        <f>SUM(AP3:AP64)</f>
        <v>859</v>
      </c>
    </row>
    <row r="73" spans="1:42" ht="14.6" thickBot="1" x14ac:dyDescent="0.4"/>
    <row r="74" spans="1:42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21.75" customHeight="1" x14ac:dyDescent="0.4">
      <c r="B76" s="541" t="s">
        <v>218</v>
      </c>
      <c r="C76" s="542">
        <f>C65</f>
        <v>3908</v>
      </c>
      <c r="D76" s="543">
        <f>C76/60</f>
        <v>65.13333333333334</v>
      </c>
      <c r="E76" s="542">
        <f>D65</f>
        <v>392</v>
      </c>
      <c r="F76" s="544">
        <f>E76/60</f>
        <v>6.5333333333333332</v>
      </c>
      <c r="G76" s="542">
        <f>E65</f>
        <v>865</v>
      </c>
      <c r="H76" s="543">
        <f>G76/60</f>
        <v>14.416666666666666</v>
      </c>
      <c r="I76" s="542">
        <f>F65</f>
        <v>838</v>
      </c>
      <c r="J76" s="543">
        <f>I76/60</f>
        <v>13.966666666666667</v>
      </c>
    </row>
    <row r="77" spans="1:42" ht="19.5" customHeight="1" x14ac:dyDescent="0.4">
      <c r="B77" s="541" t="s">
        <v>219</v>
      </c>
      <c r="C77" s="545">
        <f>L65</f>
        <v>0</v>
      </c>
      <c r="D77" s="546">
        <f t="shared" ref="D77:F79" si="0">C77/60</f>
        <v>0</v>
      </c>
      <c r="E77" s="545">
        <f>M65</f>
        <v>181</v>
      </c>
      <c r="F77" s="547">
        <f t="shared" si="0"/>
        <v>3.0166666666666666</v>
      </c>
      <c r="G77" s="545">
        <f>N65</f>
        <v>132</v>
      </c>
      <c r="H77" s="546">
        <f t="shared" ref="H77:J79" si="1">G77/60</f>
        <v>2.2000000000000002</v>
      </c>
      <c r="I77" s="545">
        <f>O65</f>
        <v>836</v>
      </c>
      <c r="J77" s="546">
        <f t="shared" si="1"/>
        <v>13.933333333333334</v>
      </c>
    </row>
    <row r="78" spans="1:42" ht="20.25" customHeight="1" x14ac:dyDescent="0.4">
      <c r="B78" s="541" t="s">
        <v>220</v>
      </c>
      <c r="C78" s="545">
        <f>U65</f>
        <v>675</v>
      </c>
      <c r="D78" s="546">
        <f t="shared" si="0"/>
        <v>11.25</v>
      </c>
      <c r="E78" s="545">
        <f>V65</f>
        <v>435</v>
      </c>
      <c r="F78" s="547">
        <f t="shared" si="0"/>
        <v>7.25</v>
      </c>
      <c r="G78" s="545">
        <f>W65</f>
        <v>883</v>
      </c>
      <c r="H78" s="546">
        <f t="shared" si="1"/>
        <v>14.716666666666667</v>
      </c>
      <c r="I78" s="545">
        <f>X65</f>
        <v>841</v>
      </c>
      <c r="J78" s="546">
        <f t="shared" si="1"/>
        <v>14.016666666666667</v>
      </c>
    </row>
    <row r="79" spans="1:42" ht="22.5" customHeight="1" thickBot="1" x14ac:dyDescent="0.45">
      <c r="B79" s="541" t="s">
        <v>221</v>
      </c>
      <c r="C79" s="548">
        <f>AD65</f>
        <v>364</v>
      </c>
      <c r="D79" s="549">
        <f t="shared" si="0"/>
        <v>6.0666666666666664</v>
      </c>
      <c r="E79" s="548">
        <f>AE65</f>
        <v>84</v>
      </c>
      <c r="F79" s="550">
        <f t="shared" si="0"/>
        <v>1.4</v>
      </c>
      <c r="G79" s="548">
        <f>AF65</f>
        <v>537</v>
      </c>
      <c r="H79" s="549">
        <f t="shared" si="1"/>
        <v>8.9499999999999993</v>
      </c>
      <c r="I79" s="548">
        <f>AG65</f>
        <v>843</v>
      </c>
      <c r="J79" s="549">
        <f t="shared" si="1"/>
        <v>14.05</v>
      </c>
    </row>
    <row r="80" spans="1:42" ht="22.5" customHeight="1" thickBot="1" x14ac:dyDescent="0.45">
      <c r="B80" s="541" t="s">
        <v>488</v>
      </c>
      <c r="C80" s="643">
        <f>AM65</f>
        <v>30</v>
      </c>
      <c r="D80" s="642">
        <f>C80/60</f>
        <v>0.5</v>
      </c>
      <c r="E80" s="643">
        <f>AN65</f>
        <v>0</v>
      </c>
      <c r="F80" s="644">
        <f>E80/60</f>
        <v>0</v>
      </c>
      <c r="G80" s="643">
        <f>AO65</f>
        <v>819</v>
      </c>
      <c r="H80" s="642">
        <f>G80/60</f>
        <v>13.65</v>
      </c>
      <c r="I80" s="643">
        <f>AP65</f>
        <v>859</v>
      </c>
      <c r="J80" s="642">
        <f>I80/60</f>
        <v>14.316666666666666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82.95</v>
      </c>
      <c r="E82" s="556"/>
      <c r="F82" s="557">
        <f>SUM(F76:F80)</f>
        <v>18.2</v>
      </c>
      <c r="G82" s="556"/>
      <c r="H82" s="557">
        <f>SUM(H76:H80)</f>
        <v>53.93333333333333</v>
      </c>
      <c r="I82" s="556"/>
      <c r="J82" s="558">
        <f>AVERAGE(J76:J80)</f>
        <v>14.056666666666667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P1"/>
    <mergeCell ref="AQ1:AT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T82"/>
  <sheetViews>
    <sheetView zoomScale="55" zoomScaleNormal="55" workbookViewId="0">
      <pane xSplit="2" ySplit="2" topLeftCell="Z24" activePane="bottomRight" state="frozen"/>
      <selection pane="topRight" activeCell="C1" sqref="C1"/>
      <selection pane="bottomLeft" activeCell="A3" sqref="A3"/>
      <selection pane="bottomRight" activeCell="O77" sqref="O77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21.15234375" style="423" customWidth="1"/>
    <col min="8" max="8" width="27.3046875" style="423" customWidth="1"/>
    <col min="9" max="9" width="22" style="423" customWidth="1"/>
    <col min="10" max="10" width="23.53515625" style="423" customWidth="1"/>
    <col min="11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3.84375" style="423" customWidth="1"/>
    <col min="27" max="27" width="32.3828125" style="423" customWidth="1"/>
    <col min="28" max="28" width="27" style="423" customWidth="1"/>
    <col min="29" max="30" width="10.69140625" style="423" customWidth="1"/>
    <col min="31" max="31" width="11.3828125" style="423" customWidth="1"/>
    <col min="32" max="32" width="13.15234375" style="423" customWidth="1"/>
    <col min="33" max="33" width="10.69140625" style="423" customWidth="1"/>
    <col min="34" max="34" width="28.6914062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42" width="10.69140625" style="423" customWidth="1"/>
    <col min="43" max="43" width="16.84375" style="423" customWidth="1"/>
    <col min="44" max="44" width="15.15234375" style="423" customWidth="1"/>
    <col min="45" max="45" width="24.3828125" style="423" customWidth="1"/>
    <col min="46" max="46" width="24.69140625" style="423" customWidth="1"/>
    <col min="47" max="16384" width="8.84375" style="423"/>
  </cols>
  <sheetData>
    <row r="1" spans="1:46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4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5</v>
      </c>
      <c r="AE1" s="1471"/>
      <c r="AF1" s="1471"/>
      <c r="AG1" s="1471"/>
      <c r="AH1" s="1473" t="s">
        <v>206</v>
      </c>
      <c r="AI1" s="1473"/>
      <c r="AJ1" s="1473"/>
      <c r="AK1" s="1474"/>
      <c r="AM1" s="1471" t="s">
        <v>482</v>
      </c>
      <c r="AN1" s="1471"/>
      <c r="AO1" s="1471"/>
      <c r="AP1" s="1471"/>
      <c r="AQ1" s="1473" t="s">
        <v>206</v>
      </c>
      <c r="AR1" s="1473"/>
      <c r="AS1" s="1473"/>
      <c r="AT1" s="1474"/>
    </row>
    <row r="2" spans="1:46" ht="33.65" customHeight="1" x14ac:dyDescent="0.35">
      <c r="A2" s="634" t="s">
        <v>0</v>
      </c>
      <c r="B2" s="426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  <c r="AM2" s="424" t="s">
        <v>199</v>
      </c>
      <c r="AN2" s="424" t="s">
        <v>200</v>
      </c>
      <c r="AO2" s="424" t="s">
        <v>201</v>
      </c>
      <c r="AP2" s="424" t="s">
        <v>204</v>
      </c>
      <c r="AQ2" s="425" t="s">
        <v>199</v>
      </c>
      <c r="AR2" s="424" t="s">
        <v>200</v>
      </c>
      <c r="AS2" s="424" t="s">
        <v>201</v>
      </c>
      <c r="AT2" s="424" t="s">
        <v>204</v>
      </c>
    </row>
    <row r="3" spans="1:46" ht="30" customHeight="1" x14ac:dyDescent="0.35">
      <c r="A3" s="1478">
        <v>45047</v>
      </c>
      <c r="B3" s="501">
        <v>1</v>
      </c>
      <c r="C3" s="490"/>
      <c r="D3" s="491"/>
      <c r="E3" s="640">
        <v>14</v>
      </c>
      <c r="F3" s="492"/>
      <c r="G3" s="566"/>
      <c r="H3" s="514"/>
      <c r="I3" s="641" t="s">
        <v>152</v>
      </c>
      <c r="J3" s="567"/>
      <c r="K3" s="66"/>
      <c r="L3" s="507"/>
      <c r="M3" s="522"/>
      <c r="N3" s="522">
        <v>600</v>
      </c>
      <c r="O3" s="520"/>
      <c r="P3" s="521"/>
      <c r="Q3" s="580"/>
      <c r="R3" s="580" t="s">
        <v>645</v>
      </c>
      <c r="S3" s="520"/>
      <c r="T3" s="66"/>
      <c r="U3" s="507"/>
      <c r="V3" s="522"/>
      <c r="W3" s="522">
        <v>12</v>
      </c>
      <c r="X3" s="508"/>
      <c r="Y3" s="469"/>
      <c r="Z3" s="521"/>
      <c r="AA3" s="600" t="s">
        <v>152</v>
      </c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520"/>
      <c r="AQ3" s="521"/>
      <c r="AR3" s="522"/>
      <c r="AS3" s="6"/>
      <c r="AT3" s="520"/>
    </row>
    <row r="4" spans="1:46" ht="36.65" customHeight="1" x14ac:dyDescent="0.35">
      <c r="A4" s="1477"/>
      <c r="B4" s="472">
        <v>2</v>
      </c>
      <c r="C4" s="493"/>
      <c r="D4" s="494">
        <v>74</v>
      </c>
      <c r="E4" s="494">
        <v>13</v>
      </c>
      <c r="F4" s="495"/>
      <c r="G4" s="566"/>
      <c r="H4" s="514" t="s">
        <v>646</v>
      </c>
      <c r="I4" s="515" t="s">
        <v>455</v>
      </c>
      <c r="J4" s="568"/>
      <c r="K4" s="66"/>
      <c r="L4" s="470">
        <v>720</v>
      </c>
      <c r="M4" s="6"/>
      <c r="N4" s="6"/>
      <c r="O4" s="508"/>
      <c r="P4" s="509" t="s">
        <v>45</v>
      </c>
      <c r="Q4" s="514"/>
      <c r="R4" s="28"/>
      <c r="S4" s="508"/>
      <c r="T4" s="66"/>
      <c r="U4" s="470"/>
      <c r="V4" s="502">
        <v>80</v>
      </c>
      <c r="W4" s="6">
        <v>11</v>
      </c>
      <c r="X4" s="508"/>
      <c r="Y4" s="469"/>
      <c r="Z4" s="514" t="s">
        <v>646</v>
      </c>
      <c r="AA4" s="579" t="s">
        <v>455</v>
      </c>
      <c r="AB4" s="603"/>
      <c r="AC4" s="66"/>
      <c r="AD4" s="470"/>
      <c r="AE4" s="6">
        <v>109</v>
      </c>
      <c r="AF4" s="6">
        <v>6</v>
      </c>
      <c r="AG4" s="508"/>
      <c r="AH4" s="509"/>
      <c r="AI4" s="514" t="s">
        <v>646</v>
      </c>
      <c r="AJ4" s="6" t="s">
        <v>455</v>
      </c>
      <c r="AK4" s="508"/>
      <c r="AM4" s="470"/>
      <c r="AN4" s="6">
        <v>90</v>
      </c>
      <c r="AO4" s="6">
        <v>19</v>
      </c>
      <c r="AP4" s="508"/>
      <c r="AQ4" s="509"/>
      <c r="AR4" s="515" t="s">
        <v>646</v>
      </c>
      <c r="AS4" s="6" t="s">
        <v>455</v>
      </c>
      <c r="AT4" s="508"/>
    </row>
    <row r="5" spans="1:46" ht="34.950000000000003" customHeight="1" x14ac:dyDescent="0.35">
      <c r="A5" s="1478">
        <v>45048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>
        <v>720</v>
      </c>
      <c r="M5" s="6"/>
      <c r="N5" s="6"/>
      <c r="O5" s="508"/>
      <c r="P5" s="509" t="s">
        <v>45</v>
      </c>
      <c r="Q5" s="6"/>
      <c r="R5" s="6"/>
      <c r="S5" s="508"/>
      <c r="T5" s="66"/>
      <c r="U5" s="470"/>
      <c r="V5" s="6"/>
      <c r="W5" s="6">
        <v>20</v>
      </c>
      <c r="X5" s="508"/>
      <c r="Y5" s="469"/>
      <c r="Z5" s="6"/>
      <c r="AA5" s="600" t="s">
        <v>152</v>
      </c>
      <c r="AB5" s="604"/>
      <c r="AC5" s="66"/>
      <c r="AD5" s="470"/>
      <c r="AE5" s="6"/>
      <c r="AF5" s="6">
        <v>30</v>
      </c>
      <c r="AG5" s="508"/>
      <c r="AH5" s="509"/>
      <c r="AI5" s="6"/>
      <c r="AJ5" s="600" t="s">
        <v>152</v>
      </c>
      <c r="AK5" s="508"/>
      <c r="AM5" s="470"/>
      <c r="AN5" s="6"/>
      <c r="AO5" s="6">
        <v>10</v>
      </c>
      <c r="AP5" s="508"/>
      <c r="AQ5" s="509"/>
      <c r="AR5" s="6"/>
      <c r="AS5" s="502" t="s">
        <v>152</v>
      </c>
      <c r="AT5" s="508"/>
    </row>
    <row r="6" spans="1:46" ht="25.95" customHeight="1" x14ac:dyDescent="0.35">
      <c r="A6" s="1477"/>
      <c r="B6" s="472">
        <v>2</v>
      </c>
      <c r="C6" s="493"/>
      <c r="D6" s="494"/>
      <c r="E6" s="494"/>
      <c r="F6" s="495"/>
      <c r="G6" s="565"/>
      <c r="H6" s="514"/>
      <c r="I6" s="515"/>
      <c r="J6" s="568"/>
      <c r="K6" s="66"/>
      <c r="L6" s="470">
        <v>175</v>
      </c>
      <c r="M6" s="6"/>
      <c r="N6" s="6"/>
      <c r="O6" s="508"/>
      <c r="P6" s="509" t="s">
        <v>45</v>
      </c>
      <c r="Q6" s="514"/>
      <c r="R6" s="6"/>
      <c r="S6" s="508"/>
      <c r="T6" s="66"/>
      <c r="U6" s="470"/>
      <c r="V6" s="6"/>
      <c r="W6" s="6"/>
      <c r="X6" s="508"/>
      <c r="Y6" s="469"/>
      <c r="Z6" s="6"/>
      <c r="AA6" s="579"/>
      <c r="AB6" s="508"/>
      <c r="AC6" s="66"/>
      <c r="AD6" s="470">
        <v>630</v>
      </c>
      <c r="AE6" s="6"/>
      <c r="AF6" s="6">
        <v>10</v>
      </c>
      <c r="AG6" s="508"/>
      <c r="AH6" s="509" t="s">
        <v>583</v>
      </c>
      <c r="AI6" s="6"/>
      <c r="AJ6" s="6" t="s">
        <v>455</v>
      </c>
      <c r="AK6" s="508"/>
      <c r="AM6" s="470"/>
      <c r="AN6" s="6"/>
      <c r="AO6" s="6"/>
      <c r="AP6" s="508"/>
      <c r="AQ6" s="509"/>
      <c r="AR6" s="6"/>
      <c r="AS6" s="502"/>
      <c r="AT6" s="508"/>
    </row>
    <row r="7" spans="1:46" ht="33" customHeight="1" x14ac:dyDescent="0.35">
      <c r="A7" s="1478">
        <v>45049</v>
      </c>
      <c r="B7" s="472">
        <v>1</v>
      </c>
      <c r="C7" s="493"/>
      <c r="D7" s="494"/>
      <c r="E7" s="494"/>
      <c r="F7" s="495"/>
      <c r="G7" s="566"/>
      <c r="H7" s="515"/>
      <c r="I7" s="515"/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6"/>
      <c r="W7" s="6"/>
      <c r="X7" s="508"/>
      <c r="Y7" s="509"/>
      <c r="Z7" s="6"/>
      <c r="AA7" s="579"/>
      <c r="AB7" s="508"/>
      <c r="AC7" s="66"/>
      <c r="AD7" s="470">
        <v>613</v>
      </c>
      <c r="AE7" s="6"/>
      <c r="AF7" s="6"/>
      <c r="AG7" s="508"/>
      <c r="AH7" s="509" t="s">
        <v>583</v>
      </c>
      <c r="AI7" s="6"/>
      <c r="AJ7" s="515"/>
      <c r="AK7" s="508"/>
      <c r="AM7" s="470"/>
      <c r="AN7" s="6"/>
      <c r="AO7" s="6">
        <v>43</v>
      </c>
      <c r="AP7" s="508"/>
      <c r="AQ7" s="509"/>
      <c r="AR7" s="6"/>
      <c r="AS7" s="515" t="s">
        <v>336</v>
      </c>
      <c r="AT7" s="508"/>
    </row>
    <row r="8" spans="1:46" ht="55.2" customHeight="1" x14ac:dyDescent="0.35">
      <c r="A8" s="1477"/>
      <c r="B8" s="472">
        <v>2</v>
      </c>
      <c r="C8" s="493"/>
      <c r="D8" s="494"/>
      <c r="E8" s="494">
        <v>15</v>
      </c>
      <c r="F8" s="495"/>
      <c r="G8" s="565"/>
      <c r="H8" s="515"/>
      <c r="I8" s="515" t="s">
        <v>401</v>
      </c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>
        <v>16</v>
      </c>
      <c r="X8" s="508"/>
      <c r="Y8" s="469"/>
      <c r="Z8" s="6"/>
      <c r="AA8" s="6" t="s">
        <v>152</v>
      </c>
      <c r="AB8" s="527"/>
      <c r="AC8" s="66"/>
      <c r="AD8" s="470"/>
      <c r="AE8" s="6"/>
      <c r="AF8" s="6"/>
      <c r="AG8" s="508"/>
      <c r="AH8" s="509"/>
      <c r="AI8" s="502"/>
      <c r="AJ8" s="502"/>
      <c r="AK8" s="527"/>
      <c r="AM8" s="470"/>
      <c r="AN8" s="6"/>
      <c r="AO8" s="6"/>
      <c r="AP8" s="508"/>
      <c r="AQ8" s="509"/>
      <c r="AR8" s="6"/>
      <c r="AS8" s="6"/>
      <c r="AT8" s="527"/>
    </row>
    <row r="9" spans="1:46" ht="40.950000000000003" customHeight="1" x14ac:dyDescent="0.35">
      <c r="A9" s="1478">
        <v>45050</v>
      </c>
      <c r="B9" s="472">
        <v>1</v>
      </c>
      <c r="C9" s="493"/>
      <c r="D9" s="494"/>
      <c r="E9" s="494">
        <v>38</v>
      </c>
      <c r="F9" s="495"/>
      <c r="G9" s="565"/>
      <c r="H9" s="514"/>
      <c r="I9" s="641" t="s">
        <v>152</v>
      </c>
      <c r="J9" s="527"/>
      <c r="K9" s="66"/>
      <c r="L9" s="470"/>
      <c r="M9" s="6"/>
      <c r="N9" s="6"/>
      <c r="O9" s="508"/>
      <c r="P9" s="469"/>
      <c r="Q9" s="515"/>
      <c r="R9" s="502"/>
      <c r="S9" s="527"/>
      <c r="T9" s="66"/>
      <c r="U9" s="470"/>
      <c r="V9" s="6"/>
      <c r="W9" s="6">
        <v>48</v>
      </c>
      <c r="X9" s="508"/>
      <c r="Y9" s="509"/>
      <c r="Z9" s="6"/>
      <c r="AA9" s="6" t="s">
        <v>152</v>
      </c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508"/>
      <c r="AQ9" s="509"/>
      <c r="AR9" s="6"/>
      <c r="AS9" s="502"/>
      <c r="AT9" s="527"/>
    </row>
    <row r="10" spans="1:46" ht="28.2" customHeight="1" x14ac:dyDescent="0.35">
      <c r="A10" s="1477"/>
      <c r="B10" s="472">
        <v>2</v>
      </c>
      <c r="C10" s="493"/>
      <c r="D10" s="494"/>
      <c r="E10" s="494">
        <v>16</v>
      </c>
      <c r="F10" s="495"/>
      <c r="G10" s="566"/>
      <c r="H10" s="514"/>
      <c r="I10" s="641" t="s">
        <v>152</v>
      </c>
      <c r="J10" s="527"/>
      <c r="K10" s="66"/>
      <c r="L10" s="470"/>
      <c r="M10" s="6"/>
      <c r="N10" s="6">
        <v>130</v>
      </c>
      <c r="O10" s="508"/>
      <c r="P10" s="469"/>
      <c r="Q10" s="6"/>
      <c r="R10" s="502" t="s">
        <v>647</v>
      </c>
      <c r="S10" s="527"/>
      <c r="T10" s="66"/>
      <c r="U10" s="470">
        <v>204</v>
      </c>
      <c r="V10" s="6"/>
      <c r="W10" s="6">
        <v>20</v>
      </c>
      <c r="X10" s="508"/>
      <c r="Y10" s="465" t="s">
        <v>583</v>
      </c>
      <c r="Z10" s="469"/>
      <c r="AA10" s="579" t="s">
        <v>648</v>
      </c>
      <c r="AB10" s="527"/>
      <c r="AC10" s="66"/>
      <c r="AD10" s="470"/>
      <c r="AE10" s="6"/>
      <c r="AF10" s="6"/>
      <c r="AG10" s="508"/>
      <c r="AH10" s="469"/>
      <c r="AI10" s="6"/>
      <c r="AJ10" s="6"/>
      <c r="AK10" s="527"/>
      <c r="AM10" s="470"/>
      <c r="AN10" s="6"/>
      <c r="AO10" s="6"/>
      <c r="AP10" s="508"/>
      <c r="AQ10" s="509"/>
      <c r="AR10" s="6"/>
      <c r="AS10" s="6"/>
      <c r="AT10" s="527"/>
    </row>
    <row r="11" spans="1:46" ht="30.75" customHeight="1" x14ac:dyDescent="0.35">
      <c r="A11" s="1478">
        <v>45051</v>
      </c>
      <c r="B11" s="472">
        <v>1</v>
      </c>
      <c r="C11" s="493"/>
      <c r="D11" s="494"/>
      <c r="E11" s="494"/>
      <c r="F11" s="495"/>
      <c r="G11" s="565"/>
      <c r="H11" s="514"/>
      <c r="I11" s="515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  <c r="AM11" s="470"/>
      <c r="AN11" s="6"/>
      <c r="AO11" s="6"/>
      <c r="AP11" s="508"/>
      <c r="AQ11" s="509"/>
      <c r="AR11" s="6"/>
      <c r="AS11" s="6"/>
      <c r="AT11" s="508"/>
    </row>
    <row r="12" spans="1:46" ht="36.65" customHeight="1" x14ac:dyDescent="0.35">
      <c r="A12" s="1477"/>
      <c r="B12" s="472">
        <v>2</v>
      </c>
      <c r="C12" s="493"/>
      <c r="D12" s="494"/>
      <c r="E12" s="494"/>
      <c r="F12" s="495"/>
      <c r="G12" s="566"/>
      <c r="H12" s="514"/>
      <c r="I12" s="515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509"/>
      <c r="Z12" s="6"/>
      <c r="AA12" s="602"/>
      <c r="AB12" s="527"/>
      <c r="AC12" s="66"/>
      <c r="AD12" s="470"/>
      <c r="AE12" s="6"/>
      <c r="AF12" s="6">
        <v>18</v>
      </c>
      <c r="AG12" s="508"/>
      <c r="AH12" s="509"/>
      <c r="AI12" s="6"/>
      <c r="AJ12" s="6" t="s">
        <v>649</v>
      </c>
      <c r="AK12" s="527"/>
      <c r="AM12" s="470"/>
      <c r="AN12" s="6"/>
      <c r="AO12" s="6"/>
      <c r="AP12" s="508"/>
      <c r="AQ12" s="509"/>
      <c r="AR12" s="6"/>
      <c r="AS12" s="6"/>
      <c r="AT12" s="527"/>
    </row>
    <row r="13" spans="1:46" ht="34.950000000000003" customHeight="1" x14ac:dyDescent="0.35">
      <c r="A13" s="1478">
        <v>45052</v>
      </c>
      <c r="B13" s="472">
        <v>1</v>
      </c>
      <c r="C13" s="493"/>
      <c r="D13" s="494"/>
      <c r="E13" s="494"/>
      <c r="F13" s="495"/>
      <c r="G13" s="566"/>
      <c r="H13" s="514"/>
      <c r="I13" s="515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>
        <v>13</v>
      </c>
      <c r="X13" s="495"/>
      <c r="Y13" s="469"/>
      <c r="Z13" s="502"/>
      <c r="AA13" s="6" t="s">
        <v>336</v>
      </c>
      <c r="AB13" s="527"/>
      <c r="AC13" s="66"/>
      <c r="AD13" s="470"/>
      <c r="AE13" s="6"/>
      <c r="AF13" s="6">
        <v>15</v>
      </c>
      <c r="AG13" s="495"/>
      <c r="AH13" s="509"/>
      <c r="AI13" s="6"/>
      <c r="AJ13" s="6" t="s">
        <v>336</v>
      </c>
      <c r="AK13" s="527"/>
      <c r="AM13" s="470"/>
      <c r="AN13" s="6"/>
      <c r="AO13" s="6"/>
      <c r="AP13" s="495"/>
      <c r="AQ13" s="509"/>
      <c r="AR13" s="6"/>
      <c r="AS13" s="6"/>
      <c r="AT13" s="527"/>
    </row>
    <row r="14" spans="1:46" ht="27.65" customHeight="1" x14ac:dyDescent="0.35">
      <c r="A14" s="1477"/>
      <c r="B14" s="472">
        <v>2</v>
      </c>
      <c r="C14" s="493"/>
      <c r="D14" s="494"/>
      <c r="E14" s="494">
        <v>16</v>
      </c>
      <c r="F14" s="495"/>
      <c r="G14" s="566"/>
      <c r="H14" s="515"/>
      <c r="I14" s="515" t="s">
        <v>97</v>
      </c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02"/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>
        <v>260</v>
      </c>
      <c r="AN14" s="6"/>
      <c r="AO14" s="6">
        <v>8</v>
      </c>
      <c r="AP14" s="495"/>
      <c r="AQ14" s="469" t="s">
        <v>583</v>
      </c>
      <c r="AR14" s="6"/>
      <c r="AS14" s="6" t="s">
        <v>455</v>
      </c>
      <c r="AT14" s="527"/>
    </row>
    <row r="15" spans="1:46" ht="48" customHeight="1" x14ac:dyDescent="0.35">
      <c r="A15" s="1478">
        <v>45053</v>
      </c>
      <c r="B15" s="472">
        <v>1</v>
      </c>
      <c r="C15" s="493"/>
      <c r="D15" s="494"/>
      <c r="E15" s="6"/>
      <c r="F15" s="495"/>
      <c r="G15" s="566"/>
      <c r="H15" s="515"/>
      <c r="I15" s="515"/>
      <c r="J15" s="527"/>
      <c r="K15" s="66"/>
      <c r="L15" s="470"/>
      <c r="M15" s="6"/>
      <c r="N15" s="6"/>
      <c r="O15" s="495"/>
      <c r="P15" s="470"/>
      <c r="Q15" s="515"/>
      <c r="R15" s="6"/>
      <c r="S15" s="527"/>
      <c r="T15" s="66"/>
      <c r="U15" s="470"/>
      <c r="V15" s="6"/>
      <c r="W15" s="6"/>
      <c r="X15" s="495"/>
      <c r="Y15" s="470"/>
      <c r="Z15" s="515"/>
      <c r="AA15" s="609"/>
      <c r="AB15" s="527"/>
      <c r="AC15" s="66"/>
      <c r="AD15" s="470"/>
      <c r="AE15" s="6"/>
      <c r="AF15" s="66"/>
      <c r="AG15" s="495"/>
      <c r="AH15" s="645"/>
      <c r="AI15" s="573"/>
      <c r="AJ15" s="6"/>
      <c r="AK15" s="527"/>
      <c r="AM15" s="470">
        <v>26</v>
      </c>
      <c r="AN15" s="6"/>
      <c r="AO15" s="66"/>
      <c r="AP15" s="495"/>
      <c r="AQ15" s="646" t="s">
        <v>113</v>
      </c>
      <c r="AR15" s="573"/>
      <c r="AS15" s="502"/>
      <c r="AT15" s="527"/>
    </row>
    <row r="16" spans="1:46" ht="54.65" customHeight="1" x14ac:dyDescent="0.35">
      <c r="A16" s="1477"/>
      <c r="B16" s="472">
        <v>2</v>
      </c>
      <c r="C16" s="493"/>
      <c r="D16" s="494"/>
      <c r="E16" s="494"/>
      <c r="F16" s="495"/>
      <c r="G16" s="565"/>
      <c r="H16" s="638"/>
      <c r="I16" s="515"/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/>
      <c r="W16" s="6"/>
      <c r="X16" s="495"/>
      <c r="Y16" s="565"/>
      <c r="Z16" s="638"/>
      <c r="AA16" s="515"/>
      <c r="AB16" s="527"/>
      <c r="AC16" s="66"/>
      <c r="AD16" s="470"/>
      <c r="AE16" s="6"/>
      <c r="AF16" s="6"/>
      <c r="AG16" s="495"/>
      <c r="AH16" s="565"/>
      <c r="AI16" s="638"/>
      <c r="AJ16" s="515"/>
      <c r="AK16" s="527"/>
      <c r="AM16" s="470">
        <v>53</v>
      </c>
      <c r="AN16" s="6"/>
      <c r="AO16" s="6"/>
      <c r="AP16" s="495"/>
      <c r="AQ16" s="565" t="s">
        <v>650</v>
      </c>
      <c r="AR16" s="638"/>
      <c r="AS16" s="515"/>
      <c r="AT16" s="527"/>
    </row>
    <row r="17" spans="1:46" ht="66" customHeight="1" x14ac:dyDescent="0.35">
      <c r="A17" s="1478">
        <v>45054</v>
      </c>
      <c r="B17" s="534">
        <v>1</v>
      </c>
      <c r="C17" s="493"/>
      <c r="D17" s="494"/>
      <c r="E17" s="494"/>
      <c r="F17" s="495"/>
      <c r="G17" s="566"/>
      <c r="H17" s="514"/>
      <c r="I17" s="515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/>
      <c r="X17" s="495"/>
      <c r="Y17" s="566"/>
      <c r="Z17" s="514"/>
      <c r="AA17" s="515"/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495"/>
      <c r="AQ17" s="566"/>
      <c r="AR17" s="514"/>
      <c r="AS17" s="515"/>
      <c r="AT17" s="527"/>
    </row>
    <row r="18" spans="1:46" ht="68.5" customHeight="1" x14ac:dyDescent="0.35">
      <c r="A18" s="1477"/>
      <c r="B18" s="472">
        <v>2</v>
      </c>
      <c r="C18" s="493">
        <v>464</v>
      </c>
      <c r="D18" s="494">
        <v>86</v>
      </c>
      <c r="E18" s="494">
        <v>7</v>
      </c>
      <c r="F18" s="495"/>
      <c r="G18" s="565" t="s">
        <v>651</v>
      </c>
      <c r="H18" s="638" t="s">
        <v>163</v>
      </c>
      <c r="I18" s="515" t="s">
        <v>562</v>
      </c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>
        <v>192</v>
      </c>
      <c r="W18" s="6"/>
      <c r="X18" s="495"/>
      <c r="Y18" s="565"/>
      <c r="Z18" s="515" t="s">
        <v>652</v>
      </c>
      <c r="AA18" s="514"/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/>
      <c r="AP18" s="495"/>
      <c r="AQ18" s="565"/>
      <c r="AR18" s="515"/>
      <c r="AS18" s="514"/>
      <c r="AT18" s="527"/>
    </row>
    <row r="19" spans="1:46" ht="33.65" customHeight="1" x14ac:dyDescent="0.35">
      <c r="A19" s="1478">
        <v>45055</v>
      </c>
      <c r="B19" s="472">
        <v>1</v>
      </c>
      <c r="C19" s="66">
        <v>30</v>
      </c>
      <c r="D19" s="494"/>
      <c r="E19" s="494"/>
      <c r="F19" s="495"/>
      <c r="G19" s="465" t="s">
        <v>653</v>
      </c>
      <c r="H19" s="6"/>
      <c r="I19" s="6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502"/>
      <c r="AB19" s="527"/>
      <c r="AC19" s="66"/>
      <c r="AD19" s="470"/>
      <c r="AE19" s="6"/>
      <c r="AF19" s="6"/>
      <c r="AG19" s="495"/>
      <c r="AH19" s="470"/>
      <c r="AI19" s="6"/>
      <c r="AJ19" s="6"/>
      <c r="AK19" s="527"/>
      <c r="AM19" s="470"/>
      <c r="AN19" s="6"/>
      <c r="AO19" s="6"/>
      <c r="AP19" s="495"/>
      <c r="AQ19" s="470"/>
      <c r="AR19" s="6"/>
      <c r="AS19" s="502"/>
      <c r="AT19" s="527"/>
    </row>
    <row r="20" spans="1:46" ht="31.2" customHeight="1" x14ac:dyDescent="0.35">
      <c r="A20" s="1477"/>
      <c r="B20" s="472">
        <v>2</v>
      </c>
      <c r="C20" s="493">
        <v>199</v>
      </c>
      <c r="D20" s="494"/>
      <c r="E20" s="494">
        <v>9</v>
      </c>
      <c r="F20" s="495"/>
      <c r="G20" s="465" t="s">
        <v>653</v>
      </c>
      <c r="H20" s="502"/>
      <c r="I20" s="515" t="s">
        <v>562</v>
      </c>
      <c r="J20" s="527"/>
      <c r="K20" s="66"/>
      <c r="L20" s="470"/>
      <c r="M20" s="6"/>
      <c r="N20" s="6"/>
      <c r="O20" s="495"/>
      <c r="P20" s="470"/>
      <c r="Q20" s="502"/>
      <c r="R20" s="605"/>
      <c r="S20" s="527"/>
      <c r="T20" s="66"/>
      <c r="U20" s="470"/>
      <c r="V20" s="214"/>
      <c r="W20" s="6"/>
      <c r="X20" s="495"/>
      <c r="Y20" s="470"/>
      <c r="Z20" s="502"/>
      <c r="AA20" s="605"/>
      <c r="AB20" s="527"/>
      <c r="AC20" s="66"/>
      <c r="AD20" s="470"/>
      <c r="AE20" s="6"/>
      <c r="AF20" s="6"/>
      <c r="AG20" s="495"/>
      <c r="AH20" s="470"/>
      <c r="AI20" s="502"/>
      <c r="AJ20" s="625"/>
      <c r="AK20" s="527"/>
      <c r="AM20" s="470"/>
      <c r="AN20" s="6"/>
      <c r="AO20" s="6"/>
      <c r="AP20" s="495"/>
      <c r="AQ20" s="470"/>
      <c r="AR20" s="502"/>
      <c r="AS20" s="605"/>
      <c r="AT20" s="527"/>
    </row>
    <row r="21" spans="1:46" ht="39.65" customHeight="1" x14ac:dyDescent="0.35">
      <c r="A21" s="1478">
        <v>45056</v>
      </c>
      <c r="B21" s="472">
        <v>1</v>
      </c>
      <c r="C21" s="493"/>
      <c r="D21" s="494"/>
      <c r="E21" s="494"/>
      <c r="F21" s="495"/>
      <c r="G21" s="569"/>
      <c r="H21" s="514"/>
      <c r="I21" s="515"/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70"/>
      <c r="Z21" s="6"/>
      <c r="AA21" s="502"/>
      <c r="AB21" s="527"/>
      <c r="AC21" s="66"/>
      <c r="AD21" s="470"/>
      <c r="AE21" s="6"/>
      <c r="AF21" s="6"/>
      <c r="AG21" s="495"/>
      <c r="AH21" s="470"/>
      <c r="AI21" s="6"/>
      <c r="AJ21" s="6"/>
      <c r="AK21" s="607"/>
      <c r="AM21" s="470"/>
      <c r="AN21" s="6"/>
      <c r="AO21" s="6"/>
      <c r="AP21" s="495"/>
      <c r="AQ21" s="470"/>
      <c r="AR21" s="502"/>
      <c r="AS21" s="47"/>
      <c r="AT21" s="527"/>
    </row>
    <row r="22" spans="1:46" ht="31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515"/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/>
      <c r="X22" s="495"/>
      <c r="Y22" s="470"/>
      <c r="Z22" s="6"/>
      <c r="AA22" s="502"/>
      <c r="AB22" s="527"/>
      <c r="AC22" s="66"/>
      <c r="AD22" s="470"/>
      <c r="AE22" s="6"/>
      <c r="AF22" s="6"/>
      <c r="AG22" s="495"/>
      <c r="AH22" s="465"/>
      <c r="AI22" s="6"/>
      <c r="AJ22" s="6"/>
      <c r="AK22" s="607"/>
      <c r="AM22" s="470"/>
      <c r="AN22" s="6"/>
      <c r="AO22" s="6"/>
      <c r="AP22" s="495"/>
      <c r="AQ22" s="470"/>
      <c r="AR22" s="502"/>
      <c r="AS22" s="47"/>
      <c r="AT22" s="527"/>
    </row>
    <row r="23" spans="1:46" ht="37.950000000000003" customHeight="1" x14ac:dyDescent="0.35">
      <c r="A23" s="1478">
        <v>45057</v>
      </c>
      <c r="B23" s="534">
        <v>1</v>
      </c>
      <c r="C23" s="493"/>
      <c r="D23" s="494"/>
      <c r="E23" s="494"/>
      <c r="F23" s="495"/>
      <c r="G23" s="566"/>
      <c r="H23" s="514"/>
      <c r="I23" s="515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565"/>
      <c r="Z23" s="514"/>
      <c r="AA23" s="515"/>
      <c r="AB23" s="527"/>
      <c r="AC23" s="66"/>
      <c r="AD23" s="470"/>
      <c r="AE23" s="6"/>
      <c r="AF23" s="6">
        <v>43</v>
      </c>
      <c r="AG23" s="495"/>
      <c r="AH23" s="6"/>
      <c r="AI23" s="514"/>
      <c r="AJ23" s="515" t="s">
        <v>654</v>
      </c>
      <c r="AK23" s="607"/>
      <c r="AM23" s="470"/>
      <c r="AN23" s="6"/>
      <c r="AO23" s="6"/>
      <c r="AP23" s="495"/>
      <c r="AQ23" s="6"/>
      <c r="AR23" s="514"/>
      <c r="AS23" s="573"/>
      <c r="AT23" s="527"/>
    </row>
    <row r="24" spans="1:46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4"/>
      <c r="I24" s="515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/>
      <c r="X24" s="495"/>
      <c r="Y24" s="566"/>
      <c r="Z24" s="514"/>
      <c r="AA24" s="515"/>
      <c r="AB24" s="527"/>
      <c r="AC24" s="66"/>
      <c r="AD24" s="470"/>
      <c r="AE24" s="6"/>
      <c r="AF24" s="6"/>
      <c r="AG24" s="495"/>
      <c r="AH24" s="6"/>
      <c r="AI24" s="514"/>
      <c r="AJ24" s="6"/>
      <c r="AK24" s="607"/>
      <c r="AM24" s="470"/>
      <c r="AN24" s="6"/>
      <c r="AO24" s="6">
        <v>17</v>
      </c>
      <c r="AP24" s="495"/>
      <c r="AQ24" s="6"/>
      <c r="AR24" s="514"/>
      <c r="AS24" s="636" t="s">
        <v>336</v>
      </c>
      <c r="AT24" s="527"/>
    </row>
    <row r="25" spans="1:46" ht="46.2" customHeight="1" x14ac:dyDescent="0.35">
      <c r="A25" s="1478">
        <v>45058</v>
      </c>
      <c r="B25" s="472">
        <v>1</v>
      </c>
      <c r="C25" s="493"/>
      <c r="D25" s="494"/>
      <c r="E25" s="494"/>
      <c r="F25" s="495"/>
      <c r="G25" s="566"/>
      <c r="H25" s="514"/>
      <c r="I25" s="515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70"/>
      <c r="Z25" s="502"/>
      <c r="AA25" s="502"/>
      <c r="AB25" s="527"/>
      <c r="AC25" s="66"/>
      <c r="AD25" s="470"/>
      <c r="AE25" s="6"/>
      <c r="AF25" s="6"/>
      <c r="AG25" s="495"/>
      <c r="AH25" s="6"/>
      <c r="AI25" s="6"/>
      <c r="AJ25" s="6"/>
      <c r="AK25" s="607"/>
      <c r="AM25" s="470"/>
      <c r="AN25" s="6"/>
      <c r="AO25" s="6"/>
      <c r="AP25" s="495"/>
      <c r="AQ25" s="6"/>
      <c r="AR25" s="6"/>
      <c r="AS25" s="47"/>
      <c r="AT25" s="527"/>
    </row>
    <row r="26" spans="1:46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573"/>
      <c r="J26" s="527"/>
      <c r="K26" s="66"/>
      <c r="L26" s="470"/>
      <c r="M26" s="6"/>
      <c r="N26" s="6"/>
      <c r="O26" s="495"/>
      <c r="P26" s="566"/>
      <c r="Q26" s="515"/>
      <c r="R26" s="515"/>
      <c r="S26" s="527"/>
      <c r="T26" s="66"/>
      <c r="U26" s="470"/>
      <c r="V26" s="494"/>
      <c r="W26" s="6">
        <v>68</v>
      </c>
      <c r="X26" s="495"/>
      <c r="Y26" s="566"/>
      <c r="Z26" s="515"/>
      <c r="AA26" s="515" t="s">
        <v>655</v>
      </c>
      <c r="AB26" s="527"/>
      <c r="AC26" s="66"/>
      <c r="AD26" s="470"/>
      <c r="AE26" s="494"/>
      <c r="AF26" s="6"/>
      <c r="AG26" s="495"/>
      <c r="AH26" s="6"/>
      <c r="AI26" s="6"/>
      <c r="AJ26" s="6"/>
      <c r="AK26" s="607"/>
      <c r="AM26" s="470"/>
      <c r="AN26" s="494"/>
      <c r="AO26" s="6"/>
      <c r="AP26" s="495"/>
      <c r="AQ26" s="6"/>
      <c r="AR26" s="6"/>
      <c r="AS26" s="47"/>
      <c r="AT26" s="527"/>
    </row>
    <row r="27" spans="1:46" ht="49.95" customHeight="1" x14ac:dyDescent="0.35">
      <c r="A27" s="1478">
        <v>45059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/>
      <c r="X27" s="508"/>
      <c r="Y27" s="566"/>
      <c r="Z27" s="514"/>
      <c r="AA27" s="515"/>
      <c r="AB27" s="527"/>
      <c r="AC27" s="66"/>
      <c r="AD27" s="470"/>
      <c r="AE27" s="6"/>
      <c r="AF27" s="6"/>
      <c r="AG27" s="508"/>
      <c r="AH27" s="6"/>
      <c r="AI27" s="6"/>
      <c r="AJ27" s="515"/>
      <c r="AK27" s="607"/>
      <c r="AM27" s="470"/>
      <c r="AN27" s="6"/>
      <c r="AO27" s="6"/>
      <c r="AP27" s="508"/>
      <c r="AQ27" s="6"/>
      <c r="AR27" s="6"/>
      <c r="AS27" s="573"/>
      <c r="AT27" s="527"/>
    </row>
    <row r="28" spans="1:46" ht="49.2" customHeight="1" x14ac:dyDescent="0.35">
      <c r="A28" s="1477"/>
      <c r="B28" s="472">
        <v>2</v>
      </c>
      <c r="C28" s="493"/>
      <c r="D28" s="494"/>
      <c r="E28" s="494">
        <v>76</v>
      </c>
      <c r="F28" s="495"/>
      <c r="G28" s="515"/>
      <c r="H28" s="515"/>
      <c r="I28" s="515" t="s">
        <v>597</v>
      </c>
      <c r="J28" s="527"/>
      <c r="K28" s="66"/>
      <c r="L28" s="470"/>
      <c r="M28" s="6"/>
      <c r="N28" s="6"/>
      <c r="O28" s="495"/>
      <c r="P28" s="515"/>
      <c r="Q28" s="515"/>
      <c r="R28" s="515"/>
      <c r="S28" s="526"/>
      <c r="T28" s="66"/>
      <c r="U28" s="470"/>
      <c r="V28" s="6"/>
      <c r="W28" s="66"/>
      <c r="X28" s="495"/>
      <c r="Y28" s="515"/>
      <c r="Z28" s="6"/>
      <c r="AA28" s="573"/>
      <c r="AB28" s="527"/>
      <c r="AC28" s="66"/>
      <c r="AD28" s="470"/>
      <c r="AE28" s="6"/>
      <c r="AF28" s="6"/>
      <c r="AG28" s="495"/>
      <c r="AH28" s="502"/>
      <c r="AI28" s="6"/>
      <c r="AJ28" s="573"/>
      <c r="AK28" s="526"/>
      <c r="AM28" s="470"/>
      <c r="AN28" s="6"/>
      <c r="AO28" s="6"/>
      <c r="AP28" s="495"/>
      <c r="AQ28" s="502"/>
      <c r="AR28" s="6"/>
      <c r="AS28" s="573"/>
      <c r="AT28" s="526"/>
    </row>
    <row r="29" spans="1:46" ht="45" customHeight="1" x14ac:dyDescent="0.35">
      <c r="A29" s="1478">
        <v>45060</v>
      </c>
      <c r="B29" s="472">
        <v>1</v>
      </c>
      <c r="C29" s="493"/>
      <c r="D29" s="494"/>
      <c r="E29" s="494"/>
      <c r="F29" s="495"/>
      <c r="G29" s="515"/>
      <c r="H29" s="514"/>
      <c r="I29" s="573"/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/>
      <c r="X29" s="495"/>
      <c r="Y29" s="566"/>
      <c r="Z29" s="514"/>
      <c r="AA29" s="573"/>
      <c r="AB29" s="527"/>
      <c r="AC29" s="66"/>
      <c r="AD29" s="470"/>
      <c r="AE29" s="6"/>
      <c r="AF29" s="6"/>
      <c r="AG29" s="495"/>
      <c r="AH29" s="566"/>
      <c r="AI29" s="514"/>
      <c r="AJ29" s="515"/>
      <c r="AK29" s="508"/>
      <c r="AM29" s="470"/>
      <c r="AN29" s="6"/>
      <c r="AO29" s="6"/>
      <c r="AP29" s="495"/>
      <c r="AQ29" s="566"/>
      <c r="AR29" s="514"/>
      <c r="AS29" s="515"/>
      <c r="AT29" s="508"/>
    </row>
    <row r="30" spans="1:46" ht="30.65" customHeight="1" x14ac:dyDescent="0.35">
      <c r="A30" s="1477"/>
      <c r="B30" s="534">
        <v>2</v>
      </c>
      <c r="C30" s="493"/>
      <c r="D30" s="494"/>
      <c r="E30" s="494">
        <v>17</v>
      </c>
      <c r="F30" s="495"/>
      <c r="G30" s="566"/>
      <c r="H30" s="514"/>
      <c r="I30" s="515" t="s">
        <v>656</v>
      </c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/>
      <c r="X30" s="495"/>
      <c r="Y30" s="566"/>
      <c r="Z30" s="514"/>
      <c r="AA30" s="515"/>
      <c r="AB30" s="508"/>
      <c r="AC30" s="66"/>
      <c r="AD30" s="470"/>
      <c r="AE30" s="6"/>
      <c r="AF30" s="6"/>
      <c r="AG30" s="495"/>
      <c r="AH30" s="566"/>
      <c r="AI30" s="514"/>
      <c r="AJ30" s="515"/>
      <c r="AK30" s="508"/>
      <c r="AM30" s="470"/>
      <c r="AN30" s="6"/>
      <c r="AO30" s="6">
        <v>45</v>
      </c>
      <c r="AP30" s="508"/>
      <c r="AQ30" s="509"/>
      <c r="AR30" s="502"/>
      <c r="AS30" s="636" t="s">
        <v>657</v>
      </c>
      <c r="AT30" s="508"/>
    </row>
    <row r="31" spans="1:46" ht="39.65" customHeight="1" x14ac:dyDescent="0.35">
      <c r="A31" s="1478">
        <v>45061</v>
      </c>
      <c r="B31" s="472">
        <v>1</v>
      </c>
      <c r="C31" s="493"/>
      <c r="D31" s="494"/>
      <c r="E31" s="494"/>
      <c r="F31" s="495"/>
      <c r="G31" s="566"/>
      <c r="H31" s="514"/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469"/>
      <c r="Z31" s="6"/>
      <c r="AA31" s="6"/>
      <c r="AB31" s="527"/>
      <c r="AC31" s="66"/>
      <c r="AD31" s="470"/>
      <c r="AE31" s="6"/>
      <c r="AF31" s="6"/>
      <c r="AG31" s="495"/>
      <c r="AH31" s="509"/>
      <c r="AI31" s="6"/>
      <c r="AJ31" s="6"/>
      <c r="AK31" s="527"/>
      <c r="AM31" s="470"/>
      <c r="AN31" s="6"/>
      <c r="AO31" s="6"/>
      <c r="AP31" s="495"/>
      <c r="AQ31" s="509"/>
      <c r="AR31" s="6"/>
      <c r="AS31" s="6"/>
      <c r="AT31" s="527"/>
    </row>
    <row r="32" spans="1:46" ht="63" customHeight="1" x14ac:dyDescent="0.35">
      <c r="A32" s="1477"/>
      <c r="B32" s="472">
        <v>2</v>
      </c>
      <c r="C32" s="493"/>
      <c r="D32" s="494"/>
      <c r="E32" s="494">
        <v>10</v>
      </c>
      <c r="F32" s="495"/>
      <c r="G32" s="566"/>
      <c r="H32" s="566"/>
      <c r="I32" s="565" t="s">
        <v>152</v>
      </c>
      <c r="J32" s="568"/>
      <c r="K32" s="66"/>
      <c r="L32" s="470"/>
      <c r="M32" s="6"/>
      <c r="N32" s="6"/>
      <c r="O32" s="508"/>
      <c r="P32" s="509"/>
      <c r="Q32" s="6"/>
      <c r="R32" s="6"/>
      <c r="S32" s="627"/>
      <c r="T32" s="66"/>
      <c r="U32" s="470"/>
      <c r="V32" s="6"/>
      <c r="W32" s="494"/>
      <c r="X32" s="495"/>
      <c r="Y32" s="566"/>
      <c r="Z32" s="566"/>
      <c r="AA32" s="565"/>
      <c r="AB32" s="527"/>
      <c r="AC32" s="66"/>
      <c r="AD32" s="470"/>
      <c r="AE32" s="6"/>
      <c r="AF32" s="494"/>
      <c r="AG32" s="495"/>
      <c r="AH32" s="566"/>
      <c r="AI32" s="566"/>
      <c r="AJ32" s="565"/>
      <c r="AK32" s="508"/>
      <c r="AM32" s="470"/>
      <c r="AN32" s="6"/>
      <c r="AO32" s="6"/>
      <c r="AP32" s="508"/>
      <c r="AQ32" s="509"/>
      <c r="AR32" s="502"/>
      <c r="AS32" s="636"/>
      <c r="AT32" s="508"/>
    </row>
    <row r="33" spans="1:46" ht="43.2" customHeight="1" x14ac:dyDescent="0.35">
      <c r="A33" s="1478">
        <v>45062</v>
      </c>
      <c r="B33" s="472">
        <v>1</v>
      </c>
      <c r="C33" s="493"/>
      <c r="D33" s="494"/>
      <c r="E33" s="494">
        <v>20</v>
      </c>
      <c r="F33" s="495"/>
      <c r="G33" s="566"/>
      <c r="H33" s="514"/>
      <c r="I33" s="565" t="s">
        <v>152</v>
      </c>
      <c r="J33" s="568"/>
      <c r="K33" s="66"/>
      <c r="L33" s="470"/>
      <c r="M33" s="6"/>
      <c r="N33" s="6"/>
      <c r="O33" s="508"/>
      <c r="P33" s="509"/>
      <c r="Q33" s="6"/>
      <c r="R33" s="6"/>
      <c r="S33" s="508"/>
      <c r="T33" s="66"/>
      <c r="U33" s="470"/>
      <c r="V33" s="6"/>
      <c r="W33" s="6">
        <v>30</v>
      </c>
      <c r="X33" s="508"/>
      <c r="Y33" s="509"/>
      <c r="Z33" s="6"/>
      <c r="AA33" s="502" t="s">
        <v>152</v>
      </c>
      <c r="AB33" s="508"/>
      <c r="AC33" s="66"/>
      <c r="AD33" s="470"/>
      <c r="AE33" s="6"/>
      <c r="AF33" s="6">
        <v>30</v>
      </c>
      <c r="AG33" s="508"/>
      <c r="AH33" s="509"/>
      <c r="AI33" s="502"/>
      <c r="AJ33" s="6" t="s">
        <v>152</v>
      </c>
      <c r="AK33" s="508"/>
      <c r="AM33" s="470"/>
      <c r="AN33" s="6"/>
      <c r="AO33" s="6">
        <v>15</v>
      </c>
      <c r="AP33" s="508"/>
      <c r="AQ33" s="509"/>
      <c r="AR33" s="502"/>
      <c r="AS33" s="6" t="s">
        <v>152</v>
      </c>
      <c r="AT33" s="508"/>
    </row>
    <row r="34" spans="1:46" ht="50.5" customHeight="1" x14ac:dyDescent="0.35">
      <c r="A34" s="1477"/>
      <c r="B34" s="534">
        <v>2</v>
      </c>
      <c r="C34" s="494"/>
      <c r="D34" s="494"/>
      <c r="E34" s="494"/>
      <c r="F34" s="637"/>
      <c r="G34" s="566"/>
      <c r="H34" s="515"/>
      <c r="I34" s="515"/>
      <c r="J34" s="568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>
        <v>77</v>
      </c>
      <c r="V34" s="6"/>
      <c r="W34" s="6"/>
      <c r="X34" s="508"/>
      <c r="Y34" s="502" t="s">
        <v>658</v>
      </c>
      <c r="Z34" s="502"/>
      <c r="AA34" s="565"/>
      <c r="AB34" s="527"/>
      <c r="AC34" s="66"/>
      <c r="AD34" s="470"/>
      <c r="AE34" s="6"/>
      <c r="AF34" s="6"/>
      <c r="AG34" s="508"/>
      <c r="AH34" s="509"/>
      <c r="AI34" s="6"/>
      <c r="AJ34" s="6"/>
      <c r="AK34" s="508"/>
      <c r="AM34" s="470"/>
      <c r="AN34" s="6"/>
      <c r="AO34" s="6"/>
      <c r="AP34" s="508"/>
      <c r="AQ34" s="509"/>
      <c r="AR34" s="6"/>
      <c r="AS34" s="6"/>
      <c r="AT34" s="508"/>
    </row>
    <row r="35" spans="1:46" ht="51" customHeight="1" x14ac:dyDescent="0.35">
      <c r="A35" s="1478">
        <v>45063</v>
      </c>
      <c r="B35" s="472">
        <v>1</v>
      </c>
      <c r="C35" s="494"/>
      <c r="D35" s="494"/>
      <c r="E35" s="47"/>
      <c r="F35" s="636"/>
      <c r="G35" s="465"/>
      <c r="H35" s="509"/>
      <c r="I35" s="502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/>
      <c r="X35" s="526"/>
      <c r="Y35" s="465"/>
      <c r="Z35" s="6"/>
      <c r="AA35" s="565"/>
      <c r="AB35" s="508"/>
      <c r="AC35" s="66"/>
      <c r="AD35" s="470"/>
      <c r="AE35" s="6"/>
      <c r="AF35" s="6"/>
      <c r="AG35" s="469"/>
      <c r="AH35" s="465"/>
      <c r="AI35" s="6"/>
      <c r="AJ35" s="565"/>
      <c r="AK35" s="508"/>
      <c r="AM35" s="470"/>
      <c r="AN35" s="6"/>
      <c r="AO35" s="47"/>
      <c r="AP35" s="526"/>
      <c r="AQ35" s="465"/>
      <c r="AR35" s="6"/>
      <c r="AS35" s="502"/>
      <c r="AT35" s="508"/>
    </row>
    <row r="36" spans="1:46" ht="46.95" customHeight="1" x14ac:dyDescent="0.35">
      <c r="A36" s="1477"/>
      <c r="B36" s="472">
        <v>2</v>
      </c>
      <c r="C36" s="47"/>
      <c r="D36" s="6"/>
      <c r="E36" s="47"/>
      <c r="F36" s="636"/>
      <c r="G36" s="573"/>
      <c r="H36" s="469"/>
      <c r="I36" s="573"/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>
        <v>9</v>
      </c>
      <c r="W36" s="6"/>
      <c r="X36" s="469"/>
      <c r="Y36" s="465"/>
      <c r="Z36" s="502" t="s">
        <v>501</v>
      </c>
      <c r="AA36" s="565"/>
      <c r="AB36" s="508"/>
      <c r="AC36" s="66"/>
      <c r="AD36" s="470">
        <v>273</v>
      </c>
      <c r="AE36" s="6">
        <v>21</v>
      </c>
      <c r="AF36" s="47">
        <v>25</v>
      </c>
      <c r="AG36" s="526"/>
      <c r="AH36" s="465" t="s">
        <v>599</v>
      </c>
      <c r="AI36" s="502" t="s">
        <v>501</v>
      </c>
      <c r="AJ36" s="565" t="s">
        <v>562</v>
      </c>
      <c r="AK36" s="508"/>
      <c r="AM36" s="470"/>
      <c r="AN36" s="6">
        <v>212</v>
      </c>
      <c r="AO36" s="6"/>
      <c r="AP36" s="469"/>
      <c r="AQ36" s="465"/>
      <c r="AR36" s="502" t="s">
        <v>659</v>
      </c>
      <c r="AS36" s="502"/>
      <c r="AT36" s="508"/>
    </row>
    <row r="37" spans="1:46" ht="59.5" customHeight="1" x14ac:dyDescent="0.35">
      <c r="A37" s="1478">
        <v>45064</v>
      </c>
      <c r="B37" s="534">
        <v>1</v>
      </c>
      <c r="C37" s="47"/>
      <c r="D37" s="494"/>
      <c r="E37" s="47"/>
      <c r="F37" s="47"/>
      <c r="G37" s="573"/>
      <c r="H37" s="469"/>
      <c r="I37" s="573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/>
      <c r="X37" s="508"/>
      <c r="Y37" s="509"/>
      <c r="Z37" s="502"/>
      <c r="AA37" s="565"/>
      <c r="AB37" s="527"/>
      <c r="AC37" s="66"/>
      <c r="AD37" s="470"/>
      <c r="AE37" s="6"/>
      <c r="AF37" s="6"/>
      <c r="AG37" s="508"/>
      <c r="AH37" s="509"/>
      <c r="AI37" s="6"/>
      <c r="AJ37" s="565"/>
      <c r="AK37" s="508"/>
      <c r="AM37" s="470"/>
      <c r="AN37" s="6"/>
      <c r="AO37" s="6"/>
      <c r="AP37" s="508"/>
      <c r="AQ37" s="509"/>
      <c r="AR37" s="6"/>
      <c r="AS37" s="6"/>
      <c r="AT37" s="508"/>
    </row>
    <row r="38" spans="1:46" ht="55.95" customHeight="1" x14ac:dyDescent="0.35">
      <c r="A38" s="1477"/>
      <c r="B38" s="472">
        <v>2</v>
      </c>
      <c r="C38" s="47"/>
      <c r="D38" s="494"/>
      <c r="E38" s="47"/>
      <c r="F38" s="637"/>
      <c r="G38" s="573"/>
      <c r="H38" s="469"/>
      <c r="I38" s="573"/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/>
      <c r="V38" s="6"/>
      <c r="W38" s="6"/>
      <c r="X38" s="508"/>
      <c r="Y38" s="509"/>
      <c r="Z38" s="502"/>
      <c r="AA38" s="6"/>
      <c r="AB38" s="527"/>
      <c r="AC38" s="66"/>
      <c r="AD38" s="470"/>
      <c r="AE38" s="6"/>
      <c r="AF38" s="6"/>
      <c r="AG38" s="508"/>
      <c r="AH38" s="469"/>
      <c r="AI38" s="6"/>
      <c r="AJ38" s="502"/>
      <c r="AK38" s="527"/>
      <c r="AM38" s="470"/>
      <c r="AN38" s="6"/>
      <c r="AO38" s="6"/>
      <c r="AP38" s="508"/>
      <c r="AQ38" s="509"/>
      <c r="AR38" s="6"/>
      <c r="AS38" s="502"/>
      <c r="AT38" s="527"/>
    </row>
    <row r="39" spans="1:46" ht="39" customHeight="1" x14ac:dyDescent="0.35">
      <c r="A39" s="1478">
        <v>45065</v>
      </c>
      <c r="B39" s="472">
        <v>1</v>
      </c>
      <c r="C39" s="47"/>
      <c r="D39" s="494"/>
      <c r="E39" s="47"/>
      <c r="F39" s="495"/>
      <c r="G39" s="573"/>
      <c r="H39" s="514"/>
      <c r="I39" s="573"/>
      <c r="J39" s="568"/>
      <c r="K39" s="66"/>
      <c r="L39" s="470"/>
      <c r="M39" s="6"/>
      <c r="N39" s="6"/>
      <c r="O39" s="495"/>
      <c r="P39" s="566"/>
      <c r="Q39" s="514"/>
      <c r="R39" s="573"/>
      <c r="S39" s="568"/>
      <c r="T39" s="66"/>
      <c r="U39" s="470"/>
      <c r="V39" s="6"/>
      <c r="W39" s="6"/>
      <c r="X39" s="495"/>
      <c r="Y39" s="566"/>
      <c r="Z39" s="514"/>
      <c r="AA39" s="573"/>
      <c r="AB39" s="568"/>
      <c r="AC39" s="66"/>
      <c r="AD39" s="470"/>
      <c r="AE39" s="6"/>
      <c r="AF39" s="6"/>
      <c r="AG39" s="495"/>
      <c r="AH39" s="566"/>
      <c r="AI39" s="514"/>
      <c r="AJ39" s="573"/>
      <c r="AK39" s="568"/>
      <c r="AM39" s="470"/>
      <c r="AN39" s="6"/>
      <c r="AO39" s="6"/>
      <c r="AP39" s="495"/>
      <c r="AQ39" s="566"/>
      <c r="AR39" s="514"/>
      <c r="AS39" s="573"/>
      <c r="AT39" s="568"/>
    </row>
    <row r="40" spans="1:46" ht="72.650000000000006" customHeight="1" x14ac:dyDescent="0.35">
      <c r="A40" s="1477"/>
      <c r="B40" s="472">
        <v>2</v>
      </c>
      <c r="C40" s="494"/>
      <c r="D40" s="494"/>
      <c r="E40" s="494"/>
      <c r="F40" s="508"/>
      <c r="G40" s="573"/>
      <c r="H40" s="515"/>
      <c r="I40" s="573"/>
      <c r="J40" s="568"/>
      <c r="K40" s="66"/>
      <c r="L40" s="470"/>
      <c r="M40" s="6"/>
      <c r="N40" s="6"/>
      <c r="O40" s="508"/>
      <c r="P40" s="566"/>
      <c r="Q40" s="514"/>
      <c r="R40" s="573"/>
      <c r="S40" s="568"/>
      <c r="T40" s="66"/>
      <c r="U40" s="470"/>
      <c r="V40" s="6"/>
      <c r="W40" s="6"/>
      <c r="X40" s="508"/>
      <c r="Y40" s="566"/>
      <c r="Z40" s="514"/>
      <c r="AA40" s="573"/>
      <c r="AB40" s="568"/>
      <c r="AC40" s="66"/>
      <c r="AD40" s="470"/>
      <c r="AE40" s="6"/>
      <c r="AF40" s="6"/>
      <c r="AG40" s="508"/>
      <c r="AH40" s="566"/>
      <c r="AI40" s="514"/>
      <c r="AJ40" s="573"/>
      <c r="AK40" s="568"/>
      <c r="AM40" s="470"/>
      <c r="AN40" s="6"/>
      <c r="AO40" s="6"/>
      <c r="AP40" s="508"/>
      <c r="AQ40" s="566"/>
      <c r="AR40" s="514"/>
      <c r="AS40" s="573"/>
      <c r="AT40" s="568"/>
    </row>
    <row r="41" spans="1:46" ht="39.65" customHeight="1" x14ac:dyDescent="0.35">
      <c r="A41" s="1478">
        <v>45066</v>
      </c>
      <c r="B41" s="472">
        <v>1</v>
      </c>
      <c r="C41" s="493"/>
      <c r="D41" s="494"/>
      <c r="E41" s="494"/>
      <c r="F41" s="508"/>
      <c r="G41" s="566"/>
      <c r="H41" s="515"/>
      <c r="I41" s="573"/>
      <c r="J41" s="568"/>
      <c r="K41" s="66"/>
      <c r="L41" s="470"/>
      <c r="M41" s="6"/>
      <c r="N41" s="6"/>
      <c r="O41" s="508"/>
      <c r="P41" s="509"/>
      <c r="Q41" s="6"/>
      <c r="R41" s="6"/>
      <c r="S41" s="527"/>
      <c r="T41" s="66"/>
      <c r="U41" s="470"/>
      <c r="V41" s="6"/>
      <c r="W41" s="6"/>
      <c r="X41" s="508"/>
      <c r="Y41" s="509"/>
      <c r="Z41" s="502"/>
      <c r="AA41" s="502"/>
      <c r="AB41" s="508"/>
      <c r="AC41" s="66"/>
      <c r="AD41" s="470"/>
      <c r="AE41" s="6"/>
      <c r="AF41" s="6"/>
      <c r="AG41" s="508"/>
      <c r="AH41" s="509"/>
      <c r="AI41" s="502"/>
      <c r="AJ41" s="6"/>
      <c r="AK41" s="508"/>
      <c r="AM41" s="470"/>
      <c r="AN41" s="6"/>
      <c r="AO41" s="6"/>
      <c r="AP41" s="508"/>
      <c r="AQ41" s="509"/>
      <c r="AR41" s="502"/>
      <c r="AS41" s="6"/>
      <c r="AT41" s="508"/>
    </row>
    <row r="42" spans="1:46" ht="33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4"/>
      <c r="I42" s="573"/>
      <c r="J42" s="568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/>
      <c r="X42" s="508"/>
      <c r="Y42" s="469"/>
      <c r="Z42" s="6"/>
      <c r="AA42" s="502"/>
      <c r="AB42" s="527"/>
      <c r="AC42" s="66"/>
      <c r="AD42" s="470"/>
      <c r="AE42" s="6"/>
      <c r="AF42" s="6"/>
      <c r="AG42" s="508"/>
      <c r="AH42" s="509"/>
      <c r="AI42" s="6"/>
      <c r="AJ42" s="6"/>
      <c r="AK42" s="508"/>
      <c r="AM42" s="470"/>
      <c r="AN42" s="6"/>
      <c r="AO42" s="6"/>
      <c r="AP42" s="508"/>
      <c r="AQ42" s="509"/>
      <c r="AR42" s="6"/>
      <c r="AS42" s="6"/>
      <c r="AT42" s="508"/>
    </row>
    <row r="43" spans="1:46" ht="33.65" customHeight="1" x14ac:dyDescent="0.35">
      <c r="A43" s="1478">
        <v>45067</v>
      </c>
      <c r="B43" s="472">
        <v>1</v>
      </c>
      <c r="C43" s="494"/>
      <c r="D43" s="494"/>
      <c r="E43" s="494"/>
      <c r="F43" s="495"/>
      <c r="G43" s="514"/>
      <c r="H43" s="514"/>
      <c r="I43" s="515"/>
      <c r="J43" s="527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/>
      <c r="W43" s="6"/>
      <c r="X43" s="508"/>
      <c r="Y43" s="509"/>
      <c r="Z43" s="6"/>
      <c r="AA43" s="515"/>
      <c r="AB43" s="508"/>
      <c r="AC43" s="66"/>
      <c r="AD43" s="470"/>
      <c r="AE43" s="6"/>
      <c r="AF43" s="6"/>
      <c r="AG43" s="508"/>
      <c r="AH43" s="502"/>
      <c r="AI43" s="515"/>
      <c r="AJ43" s="6"/>
      <c r="AK43" s="508"/>
      <c r="AM43" s="470"/>
      <c r="AN43" s="6"/>
      <c r="AO43" s="6"/>
      <c r="AP43" s="508"/>
      <c r="AQ43" s="502"/>
      <c r="AR43" s="515"/>
      <c r="AS43" s="6"/>
      <c r="AT43" s="508"/>
    </row>
    <row r="44" spans="1:46" ht="36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514"/>
      <c r="I44" s="573"/>
      <c r="J44" s="527"/>
      <c r="K44" s="66"/>
      <c r="L44" s="470"/>
      <c r="M44" s="6"/>
      <c r="N44" s="6"/>
      <c r="O44" s="508"/>
      <c r="P44" s="509"/>
      <c r="Q44" s="6"/>
      <c r="R44" s="502"/>
      <c r="S44" s="627"/>
      <c r="T44" s="66"/>
      <c r="U44" s="470"/>
      <c r="V44" s="6"/>
      <c r="W44" s="494"/>
      <c r="X44" s="495"/>
      <c r="Y44" s="514"/>
      <c r="Z44" s="515"/>
      <c r="AA44" s="502"/>
      <c r="AB44" s="527"/>
      <c r="AC44" s="66"/>
      <c r="AD44" s="470"/>
      <c r="AE44" s="6"/>
      <c r="AF44" s="6"/>
      <c r="AG44" s="508"/>
      <c r="AH44" s="509"/>
      <c r="AI44" s="502"/>
      <c r="AJ44" s="502"/>
      <c r="AK44" s="508"/>
      <c r="AM44" s="470"/>
      <c r="AN44" s="6"/>
      <c r="AO44" s="6"/>
      <c r="AP44" s="508"/>
      <c r="AQ44" s="509"/>
      <c r="AR44" s="502"/>
      <c r="AS44" s="502"/>
      <c r="AT44" s="508"/>
    </row>
    <row r="45" spans="1:46" ht="48" customHeight="1" x14ac:dyDescent="0.35">
      <c r="A45" s="1478">
        <v>45068</v>
      </c>
      <c r="B45" s="472">
        <v>1</v>
      </c>
      <c r="C45" s="494"/>
      <c r="D45" s="494"/>
      <c r="E45" s="494">
        <v>20</v>
      </c>
      <c r="F45" s="495"/>
      <c r="G45" s="514"/>
      <c r="H45" s="514"/>
      <c r="I45" s="515" t="s">
        <v>660</v>
      </c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14"/>
      <c r="Z45" s="515"/>
      <c r="AA45" s="502"/>
      <c r="AB45" s="508"/>
      <c r="AC45" s="66"/>
      <c r="AD45" s="470"/>
      <c r="AE45" s="6"/>
      <c r="AF45" s="6"/>
      <c r="AG45" s="508"/>
      <c r="AH45" s="509"/>
      <c r="AI45" s="502"/>
      <c r="AJ45" s="6"/>
      <c r="AK45" s="508"/>
      <c r="AM45" s="470"/>
      <c r="AN45" s="6"/>
      <c r="AO45" s="6"/>
      <c r="AP45" s="508"/>
      <c r="AQ45" s="509"/>
      <c r="AR45" s="502"/>
      <c r="AS45" s="6"/>
      <c r="AT45" s="508"/>
    </row>
    <row r="46" spans="1:46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515"/>
      <c r="J46" s="527"/>
      <c r="K46" s="66"/>
      <c r="L46" s="470"/>
      <c r="M46" s="6"/>
      <c r="N46" s="6"/>
      <c r="O46" s="633"/>
      <c r="P46" s="509"/>
      <c r="Q46" s="515"/>
      <c r="R46" s="6"/>
      <c r="S46" s="527"/>
      <c r="T46" s="66"/>
      <c r="U46" s="470"/>
      <c r="V46" s="6"/>
      <c r="W46" s="6"/>
      <c r="X46" s="508"/>
      <c r="Y46" s="469"/>
      <c r="Z46" s="6"/>
      <c r="AA46" s="502"/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/>
      <c r="AO46" s="6"/>
      <c r="AP46" s="508"/>
      <c r="AQ46" s="469"/>
      <c r="AR46" s="6"/>
      <c r="AS46" s="6"/>
      <c r="AT46" s="527"/>
    </row>
    <row r="47" spans="1:46" ht="36" customHeight="1" x14ac:dyDescent="0.35">
      <c r="A47" s="1478">
        <v>45069</v>
      </c>
      <c r="B47" s="472">
        <v>1</v>
      </c>
      <c r="C47" s="494"/>
      <c r="D47" s="494"/>
      <c r="E47" s="494"/>
      <c r="F47" s="495"/>
      <c r="G47" s="515"/>
      <c r="H47" s="514"/>
      <c r="I47" s="573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>
        <v>41</v>
      </c>
      <c r="X47" s="508"/>
      <c r="Y47" s="509"/>
      <c r="Z47" s="502"/>
      <c r="AA47" s="502" t="s">
        <v>661</v>
      </c>
      <c r="AB47" s="527"/>
      <c r="AC47" s="66"/>
      <c r="AD47" s="470"/>
      <c r="AE47" s="6"/>
      <c r="AF47" s="6"/>
      <c r="AG47" s="508"/>
      <c r="AH47" s="469"/>
      <c r="AI47" s="515"/>
      <c r="AJ47" s="6"/>
      <c r="AK47" s="508"/>
      <c r="AM47" s="470"/>
      <c r="AN47" s="6"/>
      <c r="AO47" s="6"/>
      <c r="AP47" s="508"/>
      <c r="AQ47" s="469"/>
      <c r="AR47" s="515"/>
      <c r="AS47" s="6"/>
      <c r="AT47" s="508"/>
    </row>
    <row r="48" spans="1:46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>
        <v>50</v>
      </c>
      <c r="V48" s="6"/>
      <c r="W48" s="6">
        <v>32</v>
      </c>
      <c r="X48" s="508"/>
      <c r="Y48" s="469" t="s">
        <v>662</v>
      </c>
      <c r="Z48" s="6"/>
      <c r="AA48" s="502" t="s">
        <v>152</v>
      </c>
      <c r="AB48" s="508"/>
      <c r="AC48" s="66"/>
      <c r="AD48" s="470"/>
      <c r="AE48" s="6"/>
      <c r="AF48" s="6"/>
      <c r="AG48" s="508"/>
      <c r="AH48" s="509"/>
      <c r="AI48" s="502"/>
      <c r="AJ48" s="6"/>
      <c r="AK48" s="508"/>
      <c r="AM48" s="470"/>
      <c r="AN48" s="6"/>
      <c r="AO48" s="6"/>
      <c r="AP48" s="508"/>
      <c r="AQ48" s="509"/>
      <c r="AR48" s="502"/>
      <c r="AS48" s="6"/>
      <c r="AT48" s="508"/>
    </row>
    <row r="49" spans="1:46" ht="36" customHeight="1" x14ac:dyDescent="0.35">
      <c r="A49" s="1478">
        <v>45070</v>
      </c>
      <c r="B49" s="472">
        <v>1</v>
      </c>
      <c r="C49" s="494"/>
      <c r="D49" s="494"/>
      <c r="E49" s="494"/>
      <c r="F49" s="495"/>
      <c r="G49" s="515"/>
      <c r="H49" s="514"/>
      <c r="I49" s="573"/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/>
      <c r="X49" s="508"/>
      <c r="Y49" s="509"/>
      <c r="Z49" s="502"/>
      <c r="AA49" s="502"/>
      <c r="AB49" s="527"/>
      <c r="AC49" s="66"/>
      <c r="AD49" s="470"/>
      <c r="AE49" s="6"/>
      <c r="AF49" s="6"/>
      <c r="AG49" s="508"/>
      <c r="AH49" s="509"/>
      <c r="AI49" s="502"/>
      <c r="AJ49" s="573"/>
      <c r="AK49" s="508"/>
      <c r="AM49" s="470"/>
      <c r="AN49" s="6"/>
      <c r="AO49" s="6"/>
      <c r="AP49" s="508"/>
      <c r="AQ49" s="509"/>
      <c r="AR49" s="502"/>
      <c r="AS49" s="6"/>
      <c r="AT49" s="508"/>
    </row>
    <row r="50" spans="1:46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>
        <v>31</v>
      </c>
      <c r="V50" s="6"/>
      <c r="W50" s="6">
        <v>24</v>
      </c>
      <c r="X50" s="495"/>
      <c r="Y50" s="515" t="s">
        <v>663</v>
      </c>
      <c r="Z50" s="514"/>
      <c r="AA50" s="573" t="s">
        <v>152</v>
      </c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495"/>
      <c r="AQ50" s="514"/>
      <c r="AR50" s="514"/>
      <c r="AS50" s="573"/>
      <c r="AT50" s="527"/>
    </row>
    <row r="51" spans="1:46" ht="34.950000000000003" customHeight="1" x14ac:dyDescent="0.35">
      <c r="A51" s="1478">
        <v>45071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>
        <v>203</v>
      </c>
      <c r="N51" s="6"/>
      <c r="O51" s="508"/>
      <c r="P51" s="509"/>
      <c r="Q51" s="515" t="s">
        <v>664</v>
      </c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  <c r="AM51" s="470"/>
      <c r="AN51" s="6"/>
      <c r="AO51" s="6"/>
      <c r="AP51" s="508"/>
      <c r="AQ51" s="509"/>
      <c r="AR51" s="6"/>
      <c r="AS51" s="6"/>
      <c r="AT51" s="508"/>
    </row>
    <row r="52" spans="1:46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573"/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/>
      <c r="W52" s="6"/>
      <c r="X52" s="495"/>
      <c r="Y52" s="515"/>
      <c r="Z52" s="515"/>
      <c r="AA52" s="573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9"/>
      <c r="AR52" s="508"/>
      <c r="AS52" s="6"/>
      <c r="AT52" s="508"/>
    </row>
    <row r="53" spans="1:46" ht="40.200000000000003" customHeight="1" x14ac:dyDescent="0.35">
      <c r="A53" s="1478">
        <v>45072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/>
      <c r="AP53" s="508"/>
      <c r="AQ53" s="509"/>
      <c r="AR53" s="502"/>
      <c r="AS53" s="6"/>
      <c r="AT53" s="508"/>
    </row>
    <row r="54" spans="1:46" ht="39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4"/>
      <c r="I54" s="573"/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>
        <v>22</v>
      </c>
      <c r="V54" s="6">
        <v>29</v>
      </c>
      <c r="W54" s="6"/>
      <c r="X54" s="495"/>
      <c r="Y54" s="515" t="s">
        <v>193</v>
      </c>
      <c r="Z54" s="514" t="s">
        <v>665</v>
      </c>
      <c r="AA54" s="515"/>
      <c r="AB54" s="527"/>
      <c r="AC54" s="66"/>
      <c r="AD54" s="470"/>
      <c r="AE54" s="6"/>
      <c r="AF54" s="6"/>
      <c r="AG54" s="508"/>
      <c r="AH54" s="509"/>
      <c r="AI54" s="514"/>
      <c r="AJ54" s="6"/>
      <c r="AK54" s="527"/>
      <c r="AM54" s="470"/>
      <c r="AN54" s="6"/>
      <c r="AO54" s="6"/>
      <c r="AP54" s="495"/>
      <c r="AQ54" s="514"/>
      <c r="AR54" s="514"/>
      <c r="AS54" s="514"/>
      <c r="AT54" s="527"/>
    </row>
    <row r="55" spans="1:46" ht="39.65" customHeight="1" x14ac:dyDescent="0.35">
      <c r="A55" s="1478">
        <v>45073</v>
      </c>
      <c r="B55" s="472">
        <v>1</v>
      </c>
      <c r="C55" s="493"/>
      <c r="D55" s="494"/>
      <c r="E55" s="494"/>
      <c r="F55" s="495"/>
      <c r="G55" s="514"/>
      <c r="H55" s="514"/>
      <c r="I55" s="573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5"/>
      <c r="AA55" s="6"/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508"/>
      <c r="AQ55" s="509"/>
      <c r="AR55" s="515"/>
      <c r="AS55" s="6"/>
      <c r="AT55" s="508"/>
    </row>
    <row r="56" spans="1:46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515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>
        <v>138</v>
      </c>
      <c r="V56" s="6"/>
      <c r="W56" s="6">
        <v>26</v>
      </c>
      <c r="X56" s="495"/>
      <c r="Y56" s="469" t="s">
        <v>662</v>
      </c>
      <c r="Z56" s="514"/>
      <c r="AA56" s="515" t="s">
        <v>666</v>
      </c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95"/>
      <c r="AQ56" s="515"/>
      <c r="AR56" s="514"/>
      <c r="AS56" s="515"/>
      <c r="AT56" s="527"/>
    </row>
    <row r="57" spans="1:46" ht="52.2" customHeight="1" x14ac:dyDescent="0.35">
      <c r="A57" s="1478">
        <v>45074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15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95"/>
      <c r="AQ57" s="515"/>
      <c r="AR57" s="514"/>
      <c r="AS57" s="515"/>
      <c r="AT57" s="527"/>
    </row>
    <row r="58" spans="1:46" ht="78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515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/>
      <c r="X58" s="495"/>
      <c r="Y58" s="515"/>
      <c r="Z58" s="514"/>
      <c r="AA58" s="515"/>
      <c r="AB58" s="527"/>
      <c r="AC58" s="66"/>
      <c r="AD58" s="470"/>
      <c r="AE58" s="6"/>
      <c r="AF58" s="6"/>
      <c r="AG58" s="495"/>
      <c r="AH58" s="515"/>
      <c r="AI58" s="514"/>
      <c r="AJ58" s="515"/>
      <c r="AK58" s="527"/>
      <c r="AM58" s="470"/>
      <c r="AN58" s="6"/>
      <c r="AO58" s="6"/>
      <c r="AP58" s="495"/>
      <c r="AQ58" s="515"/>
      <c r="AR58" s="514"/>
      <c r="AS58" s="515"/>
      <c r="AT58" s="527"/>
    </row>
    <row r="59" spans="1:46" ht="73.2" customHeight="1" x14ac:dyDescent="0.35">
      <c r="A59" s="1478">
        <v>45075</v>
      </c>
      <c r="B59" s="472">
        <v>1</v>
      </c>
      <c r="C59" s="493"/>
      <c r="D59" s="494"/>
      <c r="E59" s="494"/>
      <c r="F59" s="495"/>
      <c r="G59" s="514"/>
      <c r="H59" s="514"/>
      <c r="I59" s="573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02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508"/>
      <c r="AQ59" s="469"/>
      <c r="AR59" s="6"/>
      <c r="AS59" s="515"/>
      <c r="AT59" s="527"/>
    </row>
    <row r="60" spans="1:46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573"/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502"/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508"/>
      <c r="AQ60" s="509"/>
      <c r="AR60" s="6"/>
      <c r="AS60" s="502"/>
      <c r="AT60" s="527"/>
    </row>
    <row r="61" spans="1:46" ht="32.5" customHeight="1" x14ac:dyDescent="0.35">
      <c r="A61" s="1478">
        <v>45076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>
        <v>109</v>
      </c>
      <c r="X61" s="508"/>
      <c r="Y61" s="469"/>
      <c r="Z61" s="502"/>
      <c r="AA61" s="502" t="s">
        <v>193</v>
      </c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508"/>
      <c r="AQ61" s="509"/>
      <c r="AR61" s="6"/>
      <c r="AS61" s="502"/>
      <c r="AT61" s="624"/>
    </row>
    <row r="62" spans="1:46" ht="33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508"/>
      <c r="AQ62" s="509"/>
      <c r="AR62" s="6"/>
      <c r="AS62" s="502"/>
      <c r="AT62" s="624"/>
    </row>
    <row r="63" spans="1:46" ht="33.65" customHeight="1" x14ac:dyDescent="0.35">
      <c r="A63" s="1478">
        <v>45077</v>
      </c>
      <c r="B63" s="472">
        <v>1</v>
      </c>
      <c r="C63" s="587"/>
      <c r="D63" s="588"/>
      <c r="E63" s="588">
        <v>25</v>
      </c>
      <c r="F63" s="589"/>
      <c r="G63" s="598"/>
      <c r="H63" s="590"/>
      <c r="I63" s="515" t="s">
        <v>653</v>
      </c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6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30.65" customHeight="1" x14ac:dyDescent="0.35">
      <c r="A64" s="1477"/>
      <c r="B64" s="592">
        <v>2</v>
      </c>
      <c r="C64" s="610">
        <v>39</v>
      </c>
      <c r="D64" s="611"/>
      <c r="E64" s="611"/>
      <c r="F64" s="612">
        <v>91</v>
      </c>
      <c r="G64" s="613" t="s">
        <v>667</v>
      </c>
      <c r="H64" s="614"/>
      <c r="I64" s="615"/>
      <c r="J64" s="616" t="s">
        <v>668</v>
      </c>
      <c r="K64" s="66"/>
      <c r="L64" s="531"/>
      <c r="M64" s="530"/>
      <c r="N64" s="530"/>
      <c r="O64" s="528">
        <v>80</v>
      </c>
      <c r="P64" s="595"/>
      <c r="Q64" s="596"/>
      <c r="R64" s="596"/>
      <c r="S64" s="616" t="s">
        <v>668</v>
      </c>
      <c r="T64" s="66"/>
      <c r="U64" s="531"/>
      <c r="V64" s="530"/>
      <c r="W64" s="530"/>
      <c r="X64" s="528">
        <v>73</v>
      </c>
      <c r="Y64" s="529"/>
      <c r="Z64" s="530"/>
      <c r="AA64" s="559"/>
      <c r="AB64" s="616" t="s">
        <v>668</v>
      </c>
      <c r="AC64" s="66"/>
      <c r="AD64" s="531"/>
      <c r="AE64" s="530"/>
      <c r="AF64" s="530"/>
      <c r="AG64" s="528">
        <v>75</v>
      </c>
      <c r="AH64" s="529"/>
      <c r="AI64" s="530"/>
      <c r="AJ64" s="530"/>
      <c r="AK64" s="616" t="s">
        <v>668</v>
      </c>
      <c r="AM64" s="531"/>
      <c r="AN64" s="530"/>
      <c r="AO64" s="530"/>
      <c r="AP64" s="528">
        <v>87</v>
      </c>
      <c r="AQ64" s="529"/>
      <c r="AR64" s="530"/>
      <c r="AS64" s="530"/>
      <c r="AT64" s="616" t="s">
        <v>668</v>
      </c>
    </row>
    <row r="65" spans="1:42" ht="23.5" customHeight="1" x14ac:dyDescent="0.35">
      <c r="A65" s="423" t="s">
        <v>225</v>
      </c>
      <c r="C65" s="631">
        <f>SUM(C3:C64)</f>
        <v>732</v>
      </c>
      <c r="D65" s="65">
        <f>SUM(D3:D64)</f>
        <v>160</v>
      </c>
      <c r="E65" s="631">
        <f>SUM(E3:E64)</f>
        <v>296</v>
      </c>
      <c r="F65" s="65">
        <f>SUM(F3:F64)</f>
        <v>91</v>
      </c>
      <c r="L65" s="65">
        <f>SUM(L3:L64)</f>
        <v>1615</v>
      </c>
      <c r="M65" s="65">
        <f>SUM(M3:M64)</f>
        <v>203</v>
      </c>
      <c r="N65" s="65">
        <f>SUM(N3:N64)</f>
        <v>730</v>
      </c>
      <c r="O65" s="65">
        <f>SUM(O3:O64)</f>
        <v>80</v>
      </c>
      <c r="U65" s="65">
        <f>SUM(U3:U64)</f>
        <v>522</v>
      </c>
      <c r="V65" s="65">
        <f>SUM(V3:V64)</f>
        <v>310</v>
      </c>
      <c r="W65" s="65">
        <f>SUM(W3:W64)</f>
        <v>470</v>
      </c>
      <c r="X65" s="65">
        <f>SUM(X3:X64)</f>
        <v>73</v>
      </c>
      <c r="AD65" s="65">
        <f>SUM(AD3:AD64)</f>
        <v>1516</v>
      </c>
      <c r="AE65" s="65">
        <f>SUM(AE3:AE64)</f>
        <v>130</v>
      </c>
      <c r="AF65" s="65">
        <f>SUM(AF3:AF64)</f>
        <v>177</v>
      </c>
      <c r="AG65" s="65">
        <f>SUM(AG3:AG64)</f>
        <v>75</v>
      </c>
      <c r="AM65" s="65">
        <f>SUM(AM3:AM64)</f>
        <v>339</v>
      </c>
      <c r="AN65" s="65">
        <f>SUM(AN3:AN64)</f>
        <v>302</v>
      </c>
      <c r="AO65" s="65">
        <f>SUM(AO3:AO64)</f>
        <v>157</v>
      </c>
      <c r="AP65" s="65">
        <f>SUM(AP3:AP64)</f>
        <v>87</v>
      </c>
    </row>
    <row r="73" spans="1:42" ht="14.6" thickBot="1" x14ac:dyDescent="0.4"/>
    <row r="74" spans="1:42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21.75" customHeight="1" x14ac:dyDescent="0.4">
      <c r="B76" s="541" t="s">
        <v>218</v>
      </c>
      <c r="C76" s="542">
        <f>C65</f>
        <v>732</v>
      </c>
      <c r="D76" s="543">
        <f>C76/60</f>
        <v>12.2</v>
      </c>
      <c r="E76" s="542">
        <f>D65</f>
        <v>160</v>
      </c>
      <c r="F76" s="544">
        <f>E76/60</f>
        <v>2.6666666666666665</v>
      </c>
      <c r="G76" s="542">
        <f>E65</f>
        <v>296</v>
      </c>
      <c r="H76" s="543">
        <f>G76/60</f>
        <v>4.9333333333333336</v>
      </c>
      <c r="I76" s="542">
        <f>F65</f>
        <v>91</v>
      </c>
      <c r="J76" s="543">
        <f>I76/60</f>
        <v>1.5166666666666666</v>
      </c>
    </row>
    <row r="77" spans="1:42" ht="19.5" customHeight="1" x14ac:dyDescent="0.4">
      <c r="B77" s="541" t="s">
        <v>219</v>
      </c>
      <c r="C77" s="545">
        <f>L65</f>
        <v>1615</v>
      </c>
      <c r="D77" s="546">
        <f t="shared" ref="D77:F79" si="0">C77/60</f>
        <v>26.916666666666668</v>
      </c>
      <c r="E77" s="545">
        <f>M65</f>
        <v>203</v>
      </c>
      <c r="F77" s="547">
        <f t="shared" si="0"/>
        <v>3.3833333333333333</v>
      </c>
      <c r="G77" s="545">
        <f>N65</f>
        <v>730</v>
      </c>
      <c r="H77" s="546">
        <f t="shared" ref="H77:J79" si="1">G77/60</f>
        <v>12.166666666666666</v>
      </c>
      <c r="I77" s="545">
        <f>O65</f>
        <v>80</v>
      </c>
      <c r="J77" s="546">
        <f t="shared" si="1"/>
        <v>1.3333333333333333</v>
      </c>
    </row>
    <row r="78" spans="1:42" ht="20.25" customHeight="1" x14ac:dyDescent="0.4">
      <c r="B78" s="541" t="s">
        <v>220</v>
      </c>
      <c r="C78" s="545">
        <f>U65</f>
        <v>522</v>
      </c>
      <c r="D78" s="546">
        <f t="shared" si="0"/>
        <v>8.6999999999999993</v>
      </c>
      <c r="E78" s="545">
        <f>V65</f>
        <v>310</v>
      </c>
      <c r="F78" s="547">
        <f t="shared" si="0"/>
        <v>5.166666666666667</v>
      </c>
      <c r="G78" s="545">
        <f>W65</f>
        <v>470</v>
      </c>
      <c r="H78" s="546">
        <f t="shared" si="1"/>
        <v>7.833333333333333</v>
      </c>
      <c r="I78" s="545">
        <f>X65</f>
        <v>73</v>
      </c>
      <c r="J78" s="546">
        <f t="shared" si="1"/>
        <v>1.2166666666666666</v>
      </c>
    </row>
    <row r="79" spans="1:42" ht="22.5" customHeight="1" thickBot="1" x14ac:dyDescent="0.45">
      <c r="B79" s="541" t="s">
        <v>221</v>
      </c>
      <c r="C79" s="548">
        <f>AD65</f>
        <v>1516</v>
      </c>
      <c r="D79" s="549">
        <f t="shared" si="0"/>
        <v>25.266666666666666</v>
      </c>
      <c r="E79" s="548">
        <f>AE65</f>
        <v>130</v>
      </c>
      <c r="F79" s="550">
        <f t="shared" si="0"/>
        <v>2.1666666666666665</v>
      </c>
      <c r="G79" s="548">
        <f>AF65</f>
        <v>177</v>
      </c>
      <c r="H79" s="549">
        <f t="shared" si="1"/>
        <v>2.95</v>
      </c>
      <c r="I79" s="548">
        <f>AG65</f>
        <v>75</v>
      </c>
      <c r="J79" s="549">
        <f t="shared" si="1"/>
        <v>1.25</v>
      </c>
    </row>
    <row r="80" spans="1:42" ht="22.5" customHeight="1" thickBot="1" x14ac:dyDescent="0.45">
      <c r="B80" s="541" t="s">
        <v>488</v>
      </c>
      <c r="C80" s="643">
        <f>AM65</f>
        <v>339</v>
      </c>
      <c r="D80" s="642">
        <f>C80/60</f>
        <v>5.65</v>
      </c>
      <c r="E80" s="643">
        <f>AN65</f>
        <v>302</v>
      </c>
      <c r="F80" s="644">
        <f>E80/60</f>
        <v>5.0333333333333332</v>
      </c>
      <c r="G80" s="643">
        <f>AO65</f>
        <v>157</v>
      </c>
      <c r="H80" s="642">
        <f>G80/60</f>
        <v>2.6166666666666667</v>
      </c>
      <c r="I80" s="643">
        <f>AP65</f>
        <v>87</v>
      </c>
      <c r="J80" s="642">
        <f>I80/60</f>
        <v>1.45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78.733333333333334</v>
      </c>
      <c r="E82" s="556"/>
      <c r="F82" s="557">
        <f>SUM(F76:F80)</f>
        <v>18.416666666666664</v>
      </c>
      <c r="G82" s="556"/>
      <c r="H82" s="557">
        <f>SUM(H76:H80)</f>
        <v>30.5</v>
      </c>
      <c r="I82" s="556"/>
      <c r="J82" s="558">
        <f>AVERAGE(J76:J80)</f>
        <v>1.3533333333333333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P1"/>
    <mergeCell ref="AQ1:AT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V82"/>
  <sheetViews>
    <sheetView zoomScale="55" zoomScaleNormal="55" workbookViewId="0">
      <pane xSplit="2" ySplit="2" topLeftCell="C66" activePane="bottomRight" state="frozen"/>
      <selection pane="topRight" activeCell="C1" sqref="C1"/>
      <selection pane="bottomLeft" activeCell="A3" sqref="A3"/>
      <selection pane="bottomRight" activeCell="I62" sqref="I62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21.15234375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28.6914062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43" width="10.69140625" style="423" customWidth="1"/>
    <col min="44" max="44" width="21.15234375" style="423" customWidth="1"/>
    <col min="45" max="45" width="26.3046875" style="423" customWidth="1"/>
    <col min="46" max="47" width="24.3828125" style="423" customWidth="1"/>
    <col min="48" max="48" width="26.53515625" style="423" customWidth="1"/>
    <col min="49" max="16384" width="8.84375" style="423"/>
  </cols>
  <sheetData>
    <row r="1" spans="1:48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4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5</v>
      </c>
      <c r="AE1" s="1471"/>
      <c r="AF1" s="1471"/>
      <c r="AG1" s="1471"/>
      <c r="AH1" s="1473" t="s">
        <v>206</v>
      </c>
      <c r="AI1" s="1473"/>
      <c r="AJ1" s="1473"/>
      <c r="AK1" s="1474"/>
      <c r="AM1" s="1471" t="s">
        <v>482</v>
      </c>
      <c r="AN1" s="1471"/>
      <c r="AO1" s="1471"/>
      <c r="AP1" s="1471"/>
      <c r="AQ1" s="1471"/>
      <c r="AR1" s="1473" t="s">
        <v>206</v>
      </c>
      <c r="AS1" s="1473"/>
      <c r="AT1" s="1473"/>
      <c r="AU1" s="1473"/>
      <c r="AV1" s="1474"/>
    </row>
    <row r="2" spans="1:48" ht="42.65" customHeight="1" x14ac:dyDescent="0.35">
      <c r="A2" s="634" t="s">
        <v>0</v>
      </c>
      <c r="B2" s="426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  <c r="AM2" s="424" t="s">
        <v>199</v>
      </c>
      <c r="AN2" s="424" t="s">
        <v>200</v>
      </c>
      <c r="AO2" s="424" t="s">
        <v>201</v>
      </c>
      <c r="AP2" s="424" t="s">
        <v>204</v>
      </c>
      <c r="AQ2" s="424" t="s">
        <v>204</v>
      </c>
      <c r="AR2" s="425" t="s">
        <v>199</v>
      </c>
      <c r="AS2" s="424" t="s">
        <v>200</v>
      </c>
      <c r="AT2" s="424" t="s">
        <v>201</v>
      </c>
      <c r="AU2" s="424" t="s">
        <v>204</v>
      </c>
      <c r="AV2" s="424" t="s">
        <v>204</v>
      </c>
    </row>
    <row r="3" spans="1:48" ht="30" customHeight="1" x14ac:dyDescent="0.35">
      <c r="A3" s="1478">
        <v>45078</v>
      </c>
      <c r="B3" s="501">
        <v>1</v>
      </c>
      <c r="C3" s="490"/>
      <c r="D3" s="491"/>
      <c r="E3" s="640"/>
      <c r="F3" s="492"/>
      <c r="G3" s="566"/>
      <c r="H3" s="514"/>
      <c r="I3" s="641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522"/>
      <c r="X3" s="508"/>
      <c r="Y3" s="469"/>
      <c r="Z3" s="521"/>
      <c r="AA3" s="600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80"/>
      <c r="AQ3" s="520"/>
      <c r="AR3" s="521"/>
      <c r="AS3" s="522"/>
      <c r="AT3" s="6"/>
      <c r="AU3" s="80"/>
      <c r="AV3" s="520"/>
    </row>
    <row r="4" spans="1:48" ht="36.65" customHeight="1" x14ac:dyDescent="0.35">
      <c r="A4" s="1477"/>
      <c r="B4" s="472">
        <v>2</v>
      </c>
      <c r="C4" s="493"/>
      <c r="D4" s="494"/>
      <c r="E4" s="494"/>
      <c r="F4" s="495"/>
      <c r="G4" s="566"/>
      <c r="H4" s="514"/>
      <c r="I4" s="515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/>
      <c r="X4" s="508"/>
      <c r="Y4" s="469"/>
      <c r="Z4" s="514"/>
      <c r="AA4" s="579"/>
      <c r="AB4" s="603"/>
      <c r="AC4" s="66"/>
      <c r="AD4" s="470"/>
      <c r="AE4" s="6"/>
      <c r="AF4" s="6"/>
      <c r="AG4" s="508"/>
      <c r="AH4" s="509"/>
      <c r="AI4" s="514"/>
      <c r="AJ4" s="6"/>
      <c r="AK4" s="508"/>
      <c r="AM4" s="470"/>
      <c r="AN4" s="6"/>
      <c r="AO4" s="6"/>
      <c r="AP4" s="47"/>
      <c r="AQ4" s="508"/>
      <c r="AR4" s="509"/>
      <c r="AS4" s="515"/>
      <c r="AT4" s="6"/>
      <c r="AU4" s="47"/>
      <c r="AV4" s="508"/>
    </row>
    <row r="5" spans="1:48" ht="60" customHeight="1" x14ac:dyDescent="0.35">
      <c r="A5" s="1478">
        <v>45079</v>
      </c>
      <c r="B5" s="472">
        <v>1</v>
      </c>
      <c r="C5" s="493"/>
      <c r="D5" s="494"/>
      <c r="E5" s="494">
        <v>27</v>
      </c>
      <c r="F5" s="495"/>
      <c r="G5" s="566"/>
      <c r="H5" s="514"/>
      <c r="I5" s="515" t="s">
        <v>152</v>
      </c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600"/>
      <c r="AB5" s="604"/>
      <c r="AC5" s="66"/>
      <c r="AD5" s="470"/>
      <c r="AE5" s="6"/>
      <c r="AF5" s="6"/>
      <c r="AG5" s="508"/>
      <c r="AH5" s="509"/>
      <c r="AI5" s="6"/>
      <c r="AJ5" s="600"/>
      <c r="AK5" s="508"/>
      <c r="AM5" s="470"/>
      <c r="AN5" s="6"/>
      <c r="AO5" s="6"/>
      <c r="AP5" s="47"/>
      <c r="AQ5" s="508">
        <v>634</v>
      </c>
      <c r="AR5" s="509"/>
      <c r="AS5" s="6"/>
      <c r="AT5" s="502"/>
      <c r="AU5" s="636"/>
      <c r="AV5" s="526" t="s">
        <v>669</v>
      </c>
    </row>
    <row r="6" spans="1:48" ht="80.5" customHeight="1" x14ac:dyDescent="0.35">
      <c r="A6" s="1477"/>
      <c r="B6" s="472">
        <v>2</v>
      </c>
      <c r="C6" s="493"/>
      <c r="D6" s="494"/>
      <c r="E6" s="494">
        <v>20</v>
      </c>
      <c r="F6" s="495"/>
      <c r="G6" s="565"/>
      <c r="H6" s="514"/>
      <c r="I6" s="515" t="s">
        <v>670</v>
      </c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/>
      <c r="X6" s="508"/>
      <c r="Y6" s="469"/>
      <c r="Z6" s="6"/>
      <c r="AA6" s="579"/>
      <c r="AB6" s="508"/>
      <c r="AC6" s="66"/>
      <c r="AD6" s="470"/>
      <c r="AE6" s="6"/>
      <c r="AF6" s="6"/>
      <c r="AG6" s="508"/>
      <c r="AH6" s="509"/>
      <c r="AI6" s="6"/>
      <c r="AJ6" s="6"/>
      <c r="AK6" s="508"/>
      <c r="AM6" s="470"/>
      <c r="AN6" s="6"/>
      <c r="AO6" s="6"/>
      <c r="AP6" s="47"/>
      <c r="AQ6" s="508">
        <v>720</v>
      </c>
      <c r="AR6" s="509"/>
      <c r="AS6" s="6"/>
      <c r="AT6" s="502"/>
      <c r="AU6" s="636"/>
      <c r="AV6" s="526" t="s">
        <v>669</v>
      </c>
    </row>
    <row r="7" spans="1:48" ht="71.5" customHeight="1" x14ac:dyDescent="0.35">
      <c r="A7" s="1478">
        <v>45080</v>
      </c>
      <c r="B7" s="472">
        <v>1</v>
      </c>
      <c r="C7" s="493"/>
      <c r="D7" s="494"/>
      <c r="E7" s="494"/>
      <c r="F7" s="495"/>
      <c r="G7" s="566"/>
      <c r="H7" s="515"/>
      <c r="I7" s="515"/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6"/>
      <c r="W7" s="6"/>
      <c r="X7" s="508"/>
      <c r="Y7" s="509"/>
      <c r="Z7" s="6"/>
      <c r="AA7" s="579"/>
      <c r="AB7" s="508"/>
      <c r="AC7" s="66"/>
      <c r="AD7" s="470"/>
      <c r="AE7" s="6"/>
      <c r="AF7" s="6">
        <v>10</v>
      </c>
      <c r="AG7" s="508"/>
      <c r="AH7" s="509"/>
      <c r="AI7" s="6"/>
      <c r="AJ7" s="515" t="s">
        <v>152</v>
      </c>
      <c r="AK7" s="508"/>
      <c r="AM7" s="470"/>
      <c r="AN7" s="6"/>
      <c r="AO7" s="6"/>
      <c r="AP7" s="47"/>
      <c r="AQ7" s="508">
        <v>720</v>
      </c>
      <c r="AR7" s="509"/>
      <c r="AS7" s="6"/>
      <c r="AT7" s="515"/>
      <c r="AU7" s="573"/>
      <c r="AV7" s="526" t="s">
        <v>669</v>
      </c>
    </row>
    <row r="8" spans="1:48" ht="69.650000000000006" customHeight="1" x14ac:dyDescent="0.35">
      <c r="A8" s="1477"/>
      <c r="B8" s="472">
        <v>2</v>
      </c>
      <c r="C8" s="493"/>
      <c r="D8" s="494"/>
      <c r="E8" s="494">
        <v>10</v>
      </c>
      <c r="F8" s="495"/>
      <c r="G8" s="565"/>
      <c r="H8" s="515"/>
      <c r="I8" s="515" t="s">
        <v>152</v>
      </c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>
        <v>10</v>
      </c>
      <c r="X8" s="508"/>
      <c r="Y8" s="469"/>
      <c r="Z8" s="6"/>
      <c r="AA8" s="6" t="s">
        <v>152</v>
      </c>
      <c r="AB8" s="527"/>
      <c r="AC8" s="66"/>
      <c r="AD8" s="470"/>
      <c r="AE8" s="6"/>
      <c r="AF8" s="6">
        <v>10</v>
      </c>
      <c r="AG8" s="508"/>
      <c r="AH8" s="509"/>
      <c r="AI8" s="502"/>
      <c r="AJ8" s="515" t="s">
        <v>152</v>
      </c>
      <c r="AK8" s="527"/>
      <c r="AM8" s="470"/>
      <c r="AN8" s="6"/>
      <c r="AO8" s="6"/>
      <c r="AP8" s="47"/>
      <c r="AQ8" s="508">
        <v>720</v>
      </c>
      <c r="AR8" s="509"/>
      <c r="AS8" s="6"/>
      <c r="AT8" s="6"/>
      <c r="AU8" s="47"/>
      <c r="AV8" s="526" t="s">
        <v>669</v>
      </c>
    </row>
    <row r="9" spans="1:48" ht="76.95" customHeight="1" x14ac:dyDescent="0.35">
      <c r="A9" s="1478">
        <v>45081</v>
      </c>
      <c r="B9" s="472">
        <v>1</v>
      </c>
      <c r="C9" s="493"/>
      <c r="D9" s="494"/>
      <c r="E9" s="494">
        <v>21</v>
      </c>
      <c r="F9" s="495"/>
      <c r="G9" s="565"/>
      <c r="H9" s="514"/>
      <c r="I9" s="515" t="s">
        <v>152</v>
      </c>
      <c r="J9" s="527"/>
      <c r="K9" s="66"/>
      <c r="L9" s="470"/>
      <c r="M9" s="6"/>
      <c r="N9" s="6"/>
      <c r="O9" s="508"/>
      <c r="P9" s="469"/>
      <c r="Q9" s="515"/>
      <c r="R9" s="502"/>
      <c r="S9" s="527"/>
      <c r="T9" s="66"/>
      <c r="U9" s="470"/>
      <c r="V9" s="6"/>
      <c r="W9" s="6"/>
      <c r="X9" s="508"/>
      <c r="Y9" s="509"/>
      <c r="Z9" s="6"/>
      <c r="AA9" s="6"/>
      <c r="AB9" s="527"/>
      <c r="AC9" s="66"/>
      <c r="AD9" s="470"/>
      <c r="AE9" s="6"/>
      <c r="AF9" s="6">
        <v>10</v>
      </c>
      <c r="AG9" s="508"/>
      <c r="AH9" s="509"/>
      <c r="AI9" s="6"/>
      <c r="AJ9" s="6" t="s">
        <v>336</v>
      </c>
      <c r="AK9" s="527"/>
      <c r="AM9" s="470"/>
      <c r="AN9" s="6"/>
      <c r="AO9" s="6"/>
      <c r="AP9" s="47"/>
      <c r="AQ9" s="508">
        <v>720</v>
      </c>
      <c r="AR9" s="509"/>
      <c r="AS9" s="6"/>
      <c r="AT9" s="502"/>
      <c r="AU9" s="636"/>
      <c r="AV9" s="526" t="s">
        <v>671</v>
      </c>
    </row>
    <row r="10" spans="1:48" ht="67.2" customHeight="1" x14ac:dyDescent="0.35">
      <c r="A10" s="1477"/>
      <c r="B10" s="472">
        <v>2</v>
      </c>
      <c r="C10" s="493"/>
      <c r="D10" s="494"/>
      <c r="E10" s="494">
        <v>25</v>
      </c>
      <c r="F10" s="495"/>
      <c r="G10" s="566"/>
      <c r="H10" s="514"/>
      <c r="I10" s="641" t="s">
        <v>152</v>
      </c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>
        <v>600</v>
      </c>
      <c r="V10" s="6"/>
      <c r="W10" s="6">
        <v>35</v>
      </c>
      <c r="X10" s="508"/>
      <c r="Y10" s="465" t="s">
        <v>491</v>
      </c>
      <c r="Z10" s="469"/>
      <c r="AA10" s="579" t="s">
        <v>562</v>
      </c>
      <c r="AB10" s="527"/>
      <c r="AC10" s="66"/>
      <c r="AD10" s="470"/>
      <c r="AE10" s="6">
        <v>10</v>
      </c>
      <c r="AF10" s="6"/>
      <c r="AG10" s="508"/>
      <c r="AH10" s="469"/>
      <c r="AI10" s="502" t="s">
        <v>672</v>
      </c>
      <c r="AJ10" s="6"/>
      <c r="AK10" s="527"/>
      <c r="AM10" s="470"/>
      <c r="AN10" s="6"/>
      <c r="AO10" s="6"/>
      <c r="AP10" s="47"/>
      <c r="AQ10" s="508">
        <v>720</v>
      </c>
      <c r="AR10" s="509"/>
      <c r="AS10" s="6"/>
      <c r="AT10" s="6"/>
      <c r="AU10" s="47"/>
      <c r="AV10" s="526" t="s">
        <v>671</v>
      </c>
    </row>
    <row r="11" spans="1:48" ht="60" customHeight="1" x14ac:dyDescent="0.35">
      <c r="A11" s="1478">
        <v>45082</v>
      </c>
      <c r="B11" s="472">
        <v>1</v>
      </c>
      <c r="C11" s="493"/>
      <c r="D11" s="494"/>
      <c r="E11" s="494"/>
      <c r="F11" s="495"/>
      <c r="G11" s="565"/>
      <c r="H11" s="514"/>
      <c r="I11" s="515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6"/>
      <c r="AB11" s="508"/>
      <c r="AC11" s="66"/>
      <c r="AD11" s="470"/>
      <c r="AE11" s="6"/>
      <c r="AF11" s="6"/>
      <c r="AG11" s="508"/>
      <c r="AH11" s="509"/>
      <c r="AI11" s="6"/>
      <c r="AJ11" s="6"/>
      <c r="AK11" s="508"/>
      <c r="AM11" s="470"/>
      <c r="AN11" s="6"/>
      <c r="AO11" s="6"/>
      <c r="AP11" s="47"/>
      <c r="AQ11" s="508">
        <v>60</v>
      </c>
      <c r="AR11" s="509"/>
      <c r="AS11" s="6"/>
      <c r="AT11" s="6"/>
      <c r="AU11" s="47"/>
      <c r="AV11" s="526" t="s">
        <v>671</v>
      </c>
    </row>
    <row r="12" spans="1:48" ht="36.65" customHeight="1" x14ac:dyDescent="0.35">
      <c r="A12" s="1477"/>
      <c r="B12" s="472">
        <v>2</v>
      </c>
      <c r="C12" s="493"/>
      <c r="D12" s="494"/>
      <c r="E12" s="494"/>
      <c r="F12" s="495"/>
      <c r="G12" s="566"/>
      <c r="H12" s="514"/>
      <c r="I12" s="515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509"/>
      <c r="Z12" s="6"/>
      <c r="AA12" s="602"/>
      <c r="AB12" s="527"/>
      <c r="AC12" s="66"/>
      <c r="AD12" s="470">
        <v>45</v>
      </c>
      <c r="AE12" s="6">
        <v>53</v>
      </c>
      <c r="AF12" s="6">
        <v>16</v>
      </c>
      <c r="AG12" s="508"/>
      <c r="AH12" s="509" t="s">
        <v>673</v>
      </c>
      <c r="AI12" s="502" t="s">
        <v>672</v>
      </c>
      <c r="AJ12" s="6" t="s">
        <v>455</v>
      </c>
      <c r="AK12" s="527"/>
      <c r="AM12" s="470"/>
      <c r="AN12" s="6"/>
      <c r="AO12" s="6"/>
      <c r="AP12" s="47"/>
      <c r="AQ12" s="508"/>
      <c r="AR12" s="509"/>
      <c r="AS12" s="6"/>
      <c r="AT12" s="6"/>
      <c r="AU12" s="47"/>
      <c r="AV12" s="527"/>
    </row>
    <row r="13" spans="1:48" ht="34.950000000000003" customHeight="1" x14ac:dyDescent="0.35">
      <c r="A13" s="1478">
        <v>45083</v>
      </c>
      <c r="B13" s="472">
        <v>1</v>
      </c>
      <c r="C13" s="493"/>
      <c r="D13" s="494"/>
      <c r="E13" s="494"/>
      <c r="F13" s="495"/>
      <c r="G13" s="566"/>
      <c r="H13" s="514"/>
      <c r="I13" s="515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/>
      <c r="X13" s="495"/>
      <c r="Y13" s="469"/>
      <c r="Z13" s="502"/>
      <c r="AA13" s="6"/>
      <c r="AB13" s="527"/>
      <c r="AC13" s="66"/>
      <c r="AD13" s="470"/>
      <c r="AE13" s="6"/>
      <c r="AF13" s="6"/>
      <c r="AG13" s="495"/>
      <c r="AH13" s="509"/>
      <c r="AI13" s="6"/>
      <c r="AJ13" s="6"/>
      <c r="AK13" s="527"/>
      <c r="AM13" s="470"/>
      <c r="AN13" s="6"/>
      <c r="AO13" s="6"/>
      <c r="AP13" s="47"/>
      <c r="AQ13" s="495"/>
      <c r="AR13" s="509"/>
      <c r="AS13" s="6"/>
      <c r="AT13" s="6"/>
      <c r="AU13" s="47"/>
      <c r="AV13" s="527"/>
    </row>
    <row r="14" spans="1:48" ht="49.2" customHeight="1" x14ac:dyDescent="0.35">
      <c r="A14" s="1477"/>
      <c r="B14" s="472">
        <v>2</v>
      </c>
      <c r="C14" s="493"/>
      <c r="D14" s="494"/>
      <c r="E14" s="494"/>
      <c r="F14" s="495"/>
      <c r="G14" s="566"/>
      <c r="H14" s="515"/>
      <c r="I14" s="515"/>
      <c r="J14" s="527"/>
      <c r="K14" s="66"/>
      <c r="L14" s="470"/>
      <c r="M14" s="6">
        <v>24</v>
      </c>
      <c r="N14" s="6"/>
      <c r="O14" s="495"/>
      <c r="P14" s="509"/>
      <c r="Q14" s="6" t="s">
        <v>553</v>
      </c>
      <c r="R14" s="6"/>
      <c r="S14" s="527"/>
      <c r="T14" s="66"/>
      <c r="U14" s="470">
        <v>37</v>
      </c>
      <c r="V14" s="6"/>
      <c r="W14" s="6">
        <v>10</v>
      </c>
      <c r="X14" s="495"/>
      <c r="Y14" s="469" t="s">
        <v>675</v>
      </c>
      <c r="Z14" s="502"/>
      <c r="AA14" s="502" t="s">
        <v>455</v>
      </c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/>
      <c r="AN14" s="6">
        <v>95</v>
      </c>
      <c r="AO14" s="6"/>
      <c r="AP14" s="47"/>
      <c r="AQ14" s="495"/>
      <c r="AR14" s="469"/>
      <c r="AS14" s="6" t="s">
        <v>674</v>
      </c>
      <c r="AT14" s="6"/>
      <c r="AU14" s="47"/>
      <c r="AV14" s="527"/>
    </row>
    <row r="15" spans="1:48" ht="48" customHeight="1" x14ac:dyDescent="0.35">
      <c r="A15" s="1478">
        <v>45084</v>
      </c>
      <c r="B15" s="472">
        <v>1</v>
      </c>
      <c r="C15" s="493"/>
      <c r="D15" s="494"/>
      <c r="E15" s="6"/>
      <c r="F15" s="495"/>
      <c r="G15" s="566"/>
      <c r="H15" s="515"/>
      <c r="I15" s="515"/>
      <c r="J15" s="527"/>
      <c r="K15" s="66"/>
      <c r="L15" s="470"/>
      <c r="M15" s="6"/>
      <c r="N15" s="6"/>
      <c r="O15" s="495"/>
      <c r="P15" s="470"/>
      <c r="Q15" s="515"/>
      <c r="R15" s="6"/>
      <c r="S15" s="527"/>
      <c r="T15" s="66"/>
      <c r="U15" s="470"/>
      <c r="V15" s="6"/>
      <c r="W15" s="6"/>
      <c r="X15" s="495"/>
      <c r="Y15" s="470"/>
      <c r="Z15" s="515"/>
      <c r="AA15" s="609"/>
      <c r="AB15" s="527"/>
      <c r="AC15" s="66"/>
      <c r="AD15" s="470"/>
      <c r="AE15" s="6"/>
      <c r="AF15" s="66"/>
      <c r="AG15" s="495"/>
      <c r="AH15" s="645"/>
      <c r="AI15" s="573"/>
      <c r="AJ15" s="6"/>
      <c r="AK15" s="527"/>
      <c r="AM15" s="470"/>
      <c r="AN15" s="6">
        <v>129</v>
      </c>
      <c r="AO15" s="66"/>
      <c r="AP15" s="66"/>
      <c r="AQ15" s="495"/>
      <c r="AR15" s="646"/>
      <c r="AS15" s="573" t="s">
        <v>553</v>
      </c>
      <c r="AT15" s="502"/>
      <c r="AU15" s="636"/>
      <c r="AV15" s="527"/>
    </row>
    <row r="16" spans="1:48" ht="54.65" customHeight="1" x14ac:dyDescent="0.35">
      <c r="A16" s="1477"/>
      <c r="B16" s="472">
        <v>2</v>
      </c>
      <c r="C16" s="493"/>
      <c r="D16" s="494"/>
      <c r="E16" s="494">
        <v>15</v>
      </c>
      <c r="F16" s="495"/>
      <c r="G16" s="565"/>
      <c r="H16" s="638"/>
      <c r="I16" s="641" t="s">
        <v>152</v>
      </c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/>
      <c r="W16" s="6">
        <v>15</v>
      </c>
      <c r="X16" s="495"/>
      <c r="Y16" s="565"/>
      <c r="Z16" s="638"/>
      <c r="AA16" s="515" t="s">
        <v>152</v>
      </c>
      <c r="AB16" s="527"/>
      <c r="AC16" s="66"/>
      <c r="AD16" s="470">
        <v>23</v>
      </c>
      <c r="AE16" s="6"/>
      <c r="AF16" s="6">
        <v>7</v>
      </c>
      <c r="AG16" s="495"/>
      <c r="AH16" s="565" t="s">
        <v>113</v>
      </c>
      <c r="AI16" s="638"/>
      <c r="AJ16" s="515" t="s">
        <v>562</v>
      </c>
      <c r="AK16" s="527"/>
      <c r="AM16" s="470"/>
      <c r="AN16" s="6"/>
      <c r="AO16" s="6"/>
      <c r="AP16" s="47"/>
      <c r="AQ16" s="495"/>
      <c r="AR16" s="565"/>
      <c r="AS16" s="638"/>
      <c r="AT16" s="515"/>
      <c r="AU16" s="573"/>
      <c r="AV16" s="527"/>
    </row>
    <row r="17" spans="1:48" ht="66" customHeight="1" x14ac:dyDescent="0.35">
      <c r="A17" s="1478">
        <v>45085</v>
      </c>
      <c r="B17" s="534">
        <v>1</v>
      </c>
      <c r="C17" s="493"/>
      <c r="D17" s="494"/>
      <c r="E17" s="494"/>
      <c r="F17" s="495"/>
      <c r="G17" s="566"/>
      <c r="H17" s="514"/>
      <c r="I17" s="515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/>
      <c r="X17" s="495"/>
      <c r="Y17" s="566"/>
      <c r="Z17" s="514"/>
      <c r="AA17" s="515"/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47"/>
      <c r="AQ17" s="495"/>
      <c r="AR17" s="566"/>
      <c r="AS17" s="514"/>
      <c r="AT17" s="515"/>
      <c r="AU17" s="573"/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638"/>
      <c r="I18" s="515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6">
        <v>67</v>
      </c>
      <c r="X18" s="495"/>
      <c r="Y18" s="565"/>
      <c r="Z18" s="515"/>
      <c r="AA18" s="515" t="s">
        <v>152</v>
      </c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/>
      <c r="AP18" s="47"/>
      <c r="AQ18" s="495"/>
      <c r="AR18" s="565"/>
      <c r="AS18" s="515"/>
      <c r="AT18" s="514"/>
      <c r="AU18" s="638"/>
      <c r="AV18" s="527"/>
    </row>
    <row r="19" spans="1:48" ht="33.65" customHeight="1" x14ac:dyDescent="0.35">
      <c r="A19" s="1478">
        <v>45086</v>
      </c>
      <c r="B19" s="472">
        <v>1</v>
      </c>
      <c r="C19" s="66"/>
      <c r="D19" s="494"/>
      <c r="E19" s="494">
        <v>66</v>
      </c>
      <c r="F19" s="495"/>
      <c r="G19" s="465"/>
      <c r="H19" s="6"/>
      <c r="I19" s="641" t="s">
        <v>152</v>
      </c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>
        <v>39</v>
      </c>
      <c r="X19" s="495"/>
      <c r="Y19" s="470"/>
      <c r="Z19" s="502"/>
      <c r="AA19" s="515" t="s">
        <v>152</v>
      </c>
      <c r="AB19" s="527"/>
      <c r="AC19" s="66"/>
      <c r="AD19" s="470"/>
      <c r="AE19" s="6"/>
      <c r="AF19" s="6">
        <v>17</v>
      </c>
      <c r="AG19" s="495"/>
      <c r="AH19" s="470"/>
      <c r="AI19" s="6"/>
      <c r="AJ19" s="6" t="s">
        <v>152</v>
      </c>
      <c r="AK19" s="527"/>
      <c r="AM19" s="470"/>
      <c r="AN19" s="6"/>
      <c r="AO19" s="6">
        <v>32</v>
      </c>
      <c r="AP19" s="47"/>
      <c r="AQ19" s="495"/>
      <c r="AR19" s="470"/>
      <c r="AS19" s="6"/>
      <c r="AT19" s="502" t="s">
        <v>152</v>
      </c>
      <c r="AU19" s="636"/>
      <c r="AV19" s="527"/>
    </row>
    <row r="20" spans="1:48" ht="31.2" customHeight="1" x14ac:dyDescent="0.35">
      <c r="A20" s="1477"/>
      <c r="B20" s="472">
        <v>2</v>
      </c>
      <c r="C20" s="493"/>
      <c r="D20" s="494"/>
      <c r="E20" s="494"/>
      <c r="F20" s="495"/>
      <c r="G20" s="465"/>
      <c r="H20" s="502"/>
      <c r="I20" s="515"/>
      <c r="J20" s="527"/>
      <c r="K20" s="66"/>
      <c r="L20" s="470"/>
      <c r="M20" s="6"/>
      <c r="N20" s="6"/>
      <c r="O20" s="495"/>
      <c r="P20" s="470"/>
      <c r="Q20" s="502"/>
      <c r="R20" s="605"/>
      <c r="S20" s="527"/>
      <c r="T20" s="66"/>
      <c r="U20" s="470"/>
      <c r="V20" s="214"/>
      <c r="W20" s="6"/>
      <c r="X20" s="495"/>
      <c r="Y20" s="470"/>
      <c r="Z20" s="502"/>
      <c r="AA20" s="605"/>
      <c r="AB20" s="527"/>
      <c r="AC20" s="66"/>
      <c r="AD20" s="470"/>
      <c r="AE20" s="6"/>
      <c r="AF20" s="6"/>
      <c r="AG20" s="495"/>
      <c r="AH20" s="470"/>
      <c r="AI20" s="502"/>
      <c r="AJ20" s="625"/>
      <c r="AK20" s="527"/>
      <c r="AM20" s="470"/>
      <c r="AN20" s="6"/>
      <c r="AO20" s="6">
        <v>26</v>
      </c>
      <c r="AP20" s="47"/>
      <c r="AQ20" s="495"/>
      <c r="AR20" s="470"/>
      <c r="AS20" s="502"/>
      <c r="AT20" s="502" t="s">
        <v>152</v>
      </c>
      <c r="AU20" s="66"/>
      <c r="AV20" s="527"/>
    </row>
    <row r="21" spans="1:48" ht="39.65" customHeight="1" x14ac:dyDescent="0.35">
      <c r="A21" s="1478">
        <v>45087</v>
      </c>
      <c r="B21" s="472">
        <v>1</v>
      </c>
      <c r="C21" s="493"/>
      <c r="D21" s="494"/>
      <c r="E21" s="494">
        <v>41</v>
      </c>
      <c r="F21" s="495"/>
      <c r="G21" s="569"/>
      <c r="H21" s="514"/>
      <c r="I21" s="641" t="s">
        <v>152</v>
      </c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>
        <v>120</v>
      </c>
      <c r="X21" s="495"/>
      <c r="Y21" s="470"/>
      <c r="Z21" s="6"/>
      <c r="AA21" s="502" t="s">
        <v>676</v>
      </c>
      <c r="AB21" s="527"/>
      <c r="AC21" s="66"/>
      <c r="AD21" s="470"/>
      <c r="AE21" s="6"/>
      <c r="AF21" s="6"/>
      <c r="AG21" s="495"/>
      <c r="AH21" s="470"/>
      <c r="AI21" s="6"/>
      <c r="AJ21" s="6"/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31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515"/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>
        <v>720</v>
      </c>
      <c r="V22" s="6"/>
      <c r="W22" s="6"/>
      <c r="X22" s="495"/>
      <c r="Y22" s="465" t="s">
        <v>677</v>
      </c>
      <c r="Z22" s="6"/>
      <c r="AA22" s="502"/>
      <c r="AB22" s="527"/>
      <c r="AC22" s="66"/>
      <c r="AD22" s="470"/>
      <c r="AE22" s="6"/>
      <c r="AF22" s="6"/>
      <c r="AG22" s="495"/>
      <c r="AH22" s="465"/>
      <c r="AI22" s="6"/>
      <c r="AJ22" s="6"/>
      <c r="AK22" s="607"/>
      <c r="AM22" s="470"/>
      <c r="AN22" s="6"/>
      <c r="AO22" s="6"/>
      <c r="AP22" s="47"/>
      <c r="AQ22" s="495"/>
      <c r="AR22" s="470"/>
      <c r="AS22" s="502"/>
      <c r="AT22" s="47"/>
      <c r="AU22" s="47"/>
      <c r="AV22" s="527"/>
    </row>
    <row r="23" spans="1:48" ht="47.5" customHeight="1" x14ac:dyDescent="0.35">
      <c r="A23" s="1478">
        <v>45088</v>
      </c>
      <c r="B23" s="534">
        <v>1</v>
      </c>
      <c r="C23" s="493"/>
      <c r="D23" s="494"/>
      <c r="E23" s="494"/>
      <c r="F23" s="495"/>
      <c r="G23" s="566"/>
      <c r="H23" s="514"/>
      <c r="I23" s="515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>
        <v>720</v>
      </c>
      <c r="V23" s="6"/>
      <c r="W23" s="6"/>
      <c r="X23" s="495"/>
      <c r="Y23" s="465" t="s">
        <v>678</v>
      </c>
      <c r="Z23" s="514"/>
      <c r="AA23" s="515"/>
      <c r="AB23" s="527"/>
      <c r="AC23" s="66"/>
      <c r="AD23" s="470"/>
      <c r="AE23" s="6"/>
      <c r="AF23" s="6"/>
      <c r="AG23" s="495"/>
      <c r="AH23" s="6"/>
      <c r="AI23" s="514"/>
      <c r="AJ23" s="515"/>
      <c r="AK23" s="607"/>
      <c r="AM23" s="470"/>
      <c r="AN23" s="6"/>
      <c r="AO23" s="6"/>
      <c r="AP23" s="47"/>
      <c r="AQ23" s="495"/>
      <c r="AR23" s="6"/>
      <c r="AS23" s="514"/>
      <c r="AT23" s="573"/>
      <c r="AU23" s="573"/>
      <c r="AV23" s="527"/>
    </row>
    <row r="24" spans="1:48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4"/>
      <c r="I24" s="515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>
        <v>720</v>
      </c>
      <c r="V24" s="6"/>
      <c r="W24" s="6"/>
      <c r="X24" s="495"/>
      <c r="Y24" s="465" t="s">
        <v>678</v>
      </c>
      <c r="Z24" s="514"/>
      <c r="AA24" s="515"/>
      <c r="AB24" s="527"/>
      <c r="AC24" s="66"/>
      <c r="AD24" s="470"/>
      <c r="AE24" s="6"/>
      <c r="AF24" s="6"/>
      <c r="AG24" s="495"/>
      <c r="AH24" s="6"/>
      <c r="AI24" s="514"/>
      <c r="AJ24" s="6"/>
      <c r="AK24" s="607"/>
      <c r="AM24" s="470"/>
      <c r="AN24" s="6"/>
      <c r="AO24" s="6"/>
      <c r="AP24" s="47"/>
      <c r="AQ24" s="495"/>
      <c r="AR24" s="6"/>
      <c r="AS24" s="514"/>
      <c r="AT24" s="636"/>
      <c r="AU24" s="636"/>
      <c r="AV24" s="527"/>
    </row>
    <row r="25" spans="1:48" ht="46.2" customHeight="1" x14ac:dyDescent="0.35">
      <c r="A25" s="1478">
        <v>45089</v>
      </c>
      <c r="B25" s="472">
        <v>1</v>
      </c>
      <c r="C25" s="493"/>
      <c r="D25" s="494"/>
      <c r="E25" s="494"/>
      <c r="F25" s="495"/>
      <c r="G25" s="566"/>
      <c r="H25" s="514"/>
      <c r="I25" s="515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>
        <v>720</v>
      </c>
      <c r="X25" s="495"/>
      <c r="Y25" s="465" t="s">
        <v>678</v>
      </c>
      <c r="Z25" s="502"/>
      <c r="AA25" s="502" t="s">
        <v>688</v>
      </c>
      <c r="AB25" s="527"/>
      <c r="AC25" s="66"/>
      <c r="AD25" s="470"/>
      <c r="AE25" s="6"/>
      <c r="AF25" s="6"/>
      <c r="AG25" s="495"/>
      <c r="AH25" s="6"/>
      <c r="AI25" s="6"/>
      <c r="AJ25" s="6"/>
      <c r="AK25" s="607"/>
      <c r="AM25" s="470"/>
      <c r="AN25" s="6"/>
      <c r="AO25" s="6"/>
      <c r="AP25" s="47"/>
      <c r="AQ25" s="495"/>
      <c r="AR25" s="6"/>
      <c r="AS25" s="6"/>
      <c r="AT25" s="47"/>
      <c r="AU25" s="47"/>
      <c r="AV25" s="527"/>
    </row>
    <row r="26" spans="1:48" ht="42" customHeight="1" x14ac:dyDescent="0.35">
      <c r="A26" s="1477"/>
      <c r="B26" s="472">
        <v>2</v>
      </c>
      <c r="C26" s="493"/>
      <c r="D26" s="494"/>
      <c r="E26" s="494"/>
      <c r="F26" s="495">
        <v>720</v>
      </c>
      <c r="G26" s="566"/>
      <c r="H26" s="515"/>
      <c r="I26" s="573"/>
      <c r="J26" s="527" t="s">
        <v>679</v>
      </c>
      <c r="K26" s="66"/>
      <c r="L26" s="470"/>
      <c r="M26" s="6"/>
      <c r="N26" s="6"/>
      <c r="O26" s="495">
        <v>720</v>
      </c>
      <c r="P26" s="566"/>
      <c r="Q26" s="515"/>
      <c r="R26" s="573"/>
      <c r="S26" s="527" t="s">
        <v>679</v>
      </c>
      <c r="T26" s="66"/>
      <c r="U26" s="470"/>
      <c r="V26" s="494"/>
      <c r="W26" s="6"/>
      <c r="X26" s="495">
        <v>720</v>
      </c>
      <c r="Y26" s="566"/>
      <c r="Z26" s="515"/>
      <c r="AA26" s="573"/>
      <c r="AB26" s="527" t="s">
        <v>679</v>
      </c>
      <c r="AC26" s="66"/>
      <c r="AD26" s="470"/>
      <c r="AE26" s="494"/>
      <c r="AF26" s="6"/>
      <c r="AG26" s="495">
        <v>720</v>
      </c>
      <c r="AH26" s="566"/>
      <c r="AI26" s="515"/>
      <c r="AJ26" s="573"/>
      <c r="AK26" s="527" t="s">
        <v>679</v>
      </c>
      <c r="AM26" s="470"/>
      <c r="AN26" s="494"/>
      <c r="AO26" s="6"/>
      <c r="AP26" s="651"/>
      <c r="AQ26" s="495">
        <v>720</v>
      </c>
      <c r="AR26" s="566"/>
      <c r="AS26" s="515"/>
      <c r="AT26" s="573"/>
      <c r="AU26" s="527" t="s">
        <v>679</v>
      </c>
      <c r="AV26" s="527"/>
    </row>
    <row r="27" spans="1:48" ht="49.95" customHeight="1" x14ac:dyDescent="0.35">
      <c r="A27" s="1478">
        <v>45090</v>
      </c>
      <c r="B27" s="534">
        <v>1</v>
      </c>
      <c r="C27" s="493"/>
      <c r="D27" s="494"/>
      <c r="E27" s="494"/>
      <c r="F27" s="495">
        <v>720</v>
      </c>
      <c r="G27" s="566"/>
      <c r="H27" s="514"/>
      <c r="I27" s="573"/>
      <c r="J27" s="527" t="s">
        <v>680</v>
      </c>
      <c r="K27" s="66"/>
      <c r="L27" s="470"/>
      <c r="M27" s="6"/>
      <c r="N27" s="6"/>
      <c r="O27" s="495">
        <v>720</v>
      </c>
      <c r="P27" s="566"/>
      <c r="Q27" s="514"/>
      <c r="R27" s="515"/>
      <c r="S27" s="527" t="s">
        <v>680</v>
      </c>
      <c r="T27" s="66"/>
      <c r="U27" s="470"/>
      <c r="V27" s="6"/>
      <c r="W27" s="6"/>
      <c r="X27" s="495">
        <v>720</v>
      </c>
      <c r="Y27" s="566"/>
      <c r="Z27" s="514"/>
      <c r="AA27" s="515"/>
      <c r="AB27" s="527" t="s">
        <v>680</v>
      </c>
      <c r="AC27" s="66"/>
      <c r="AD27" s="470"/>
      <c r="AE27" s="6"/>
      <c r="AF27" s="6"/>
      <c r="AG27" s="495">
        <v>720</v>
      </c>
      <c r="AH27" s="6"/>
      <c r="AI27" s="6"/>
      <c r="AJ27" s="515"/>
      <c r="AK27" s="527" t="s">
        <v>680</v>
      </c>
      <c r="AM27" s="470"/>
      <c r="AN27" s="6"/>
      <c r="AO27" s="6"/>
      <c r="AP27" s="47"/>
      <c r="AQ27" s="495">
        <v>720</v>
      </c>
      <c r="AR27" s="6"/>
      <c r="AS27" s="6"/>
      <c r="AT27" s="573"/>
      <c r="AU27" s="527" t="s">
        <v>680</v>
      </c>
      <c r="AV27" s="527"/>
    </row>
    <row r="28" spans="1:48" ht="49.2" customHeight="1" x14ac:dyDescent="0.35">
      <c r="A28" s="1477"/>
      <c r="B28" s="472">
        <v>2</v>
      </c>
      <c r="C28" s="493"/>
      <c r="D28" s="494"/>
      <c r="E28" s="494"/>
      <c r="F28" s="495">
        <v>720</v>
      </c>
      <c r="G28" s="515"/>
      <c r="H28" s="515"/>
      <c r="I28" s="515"/>
      <c r="J28" s="527" t="s">
        <v>681</v>
      </c>
      <c r="K28" s="66"/>
      <c r="L28" s="470"/>
      <c r="M28" s="6"/>
      <c r="N28" s="6"/>
      <c r="O28" s="495">
        <v>720</v>
      </c>
      <c r="P28" s="515"/>
      <c r="Q28" s="515"/>
      <c r="R28" s="515"/>
      <c r="S28" s="527" t="s">
        <v>681</v>
      </c>
      <c r="T28" s="66"/>
      <c r="U28" s="470"/>
      <c r="V28" s="6"/>
      <c r="W28" s="66"/>
      <c r="X28" s="495">
        <v>720</v>
      </c>
      <c r="Y28" s="515"/>
      <c r="Z28" s="6"/>
      <c r="AA28" s="573"/>
      <c r="AB28" s="527" t="s">
        <v>681</v>
      </c>
      <c r="AC28" s="66"/>
      <c r="AD28" s="470"/>
      <c r="AE28" s="6"/>
      <c r="AF28" s="6"/>
      <c r="AG28" s="495">
        <v>720</v>
      </c>
      <c r="AH28" s="502"/>
      <c r="AI28" s="6"/>
      <c r="AJ28" s="573"/>
      <c r="AK28" s="527" t="s">
        <v>681</v>
      </c>
      <c r="AM28" s="470"/>
      <c r="AN28" s="6"/>
      <c r="AO28" s="6"/>
      <c r="AP28" s="47"/>
      <c r="AQ28" s="495">
        <v>720</v>
      </c>
      <c r="AR28" s="502"/>
      <c r="AS28" s="6"/>
      <c r="AT28" s="573"/>
      <c r="AU28" s="527" t="s">
        <v>681</v>
      </c>
      <c r="AV28" s="526"/>
    </row>
    <row r="29" spans="1:48" ht="45" customHeight="1" x14ac:dyDescent="0.35">
      <c r="A29" s="1478">
        <v>45091</v>
      </c>
      <c r="B29" s="472">
        <v>1</v>
      </c>
      <c r="C29" s="493"/>
      <c r="D29" s="494"/>
      <c r="E29" s="494"/>
      <c r="F29" s="495">
        <v>720</v>
      </c>
      <c r="G29" s="515"/>
      <c r="H29" s="514"/>
      <c r="I29" s="573"/>
      <c r="J29" s="527" t="s">
        <v>682</v>
      </c>
      <c r="K29" s="66"/>
      <c r="L29" s="470"/>
      <c r="M29" s="6"/>
      <c r="N29" s="6"/>
      <c r="O29" s="495">
        <v>720</v>
      </c>
      <c r="P29" s="566"/>
      <c r="Q29" s="514"/>
      <c r="R29" s="515"/>
      <c r="S29" s="527" t="s">
        <v>682</v>
      </c>
      <c r="T29" s="66"/>
      <c r="U29" s="470"/>
      <c r="V29" s="6"/>
      <c r="W29" s="6"/>
      <c r="X29" s="495">
        <v>720</v>
      </c>
      <c r="Y29" s="566"/>
      <c r="Z29" s="514"/>
      <c r="AA29" s="573"/>
      <c r="AB29" s="527" t="s">
        <v>682</v>
      </c>
      <c r="AC29" s="66"/>
      <c r="AD29" s="470"/>
      <c r="AE29" s="6"/>
      <c r="AF29" s="6"/>
      <c r="AG29" s="495">
        <v>720</v>
      </c>
      <c r="AH29" s="566"/>
      <c r="AI29" s="514"/>
      <c r="AJ29" s="515"/>
      <c r="AK29" s="527" t="s">
        <v>682</v>
      </c>
      <c r="AM29" s="470"/>
      <c r="AN29" s="6"/>
      <c r="AO29" s="6"/>
      <c r="AP29" s="47"/>
      <c r="AQ29" s="495">
        <v>720</v>
      </c>
      <c r="AR29" s="566"/>
      <c r="AS29" s="514"/>
      <c r="AT29" s="515"/>
      <c r="AU29" s="527" t="s">
        <v>682</v>
      </c>
      <c r="AV29" s="508"/>
    </row>
    <row r="30" spans="1:48" ht="30.65" customHeight="1" x14ac:dyDescent="0.35">
      <c r="A30" s="1477"/>
      <c r="B30" s="534">
        <v>2</v>
      </c>
      <c r="C30" s="493"/>
      <c r="D30" s="494"/>
      <c r="E30" s="494"/>
      <c r="F30" s="495">
        <v>720</v>
      </c>
      <c r="G30" s="566"/>
      <c r="H30" s="514"/>
      <c r="I30" s="515"/>
      <c r="J30" s="527" t="s">
        <v>683</v>
      </c>
      <c r="K30" s="66"/>
      <c r="L30" s="470"/>
      <c r="M30" s="6"/>
      <c r="N30" s="6"/>
      <c r="O30" s="495">
        <v>720</v>
      </c>
      <c r="P30" s="566"/>
      <c r="Q30" s="515"/>
      <c r="R30" s="515"/>
      <c r="S30" s="527" t="s">
        <v>683</v>
      </c>
      <c r="T30" s="66"/>
      <c r="U30" s="470"/>
      <c r="V30" s="6"/>
      <c r="W30" s="6"/>
      <c r="X30" s="495">
        <v>720</v>
      </c>
      <c r="Y30" s="566"/>
      <c r="Z30" s="514"/>
      <c r="AA30" s="515"/>
      <c r="AB30" s="527" t="s">
        <v>683</v>
      </c>
      <c r="AC30" s="66"/>
      <c r="AD30" s="470"/>
      <c r="AE30" s="6"/>
      <c r="AF30" s="6"/>
      <c r="AG30" s="495">
        <v>720</v>
      </c>
      <c r="AH30" s="566"/>
      <c r="AI30" s="514"/>
      <c r="AJ30" s="515"/>
      <c r="AK30" s="527" t="s">
        <v>683</v>
      </c>
      <c r="AM30" s="470"/>
      <c r="AN30" s="6"/>
      <c r="AO30" s="6"/>
      <c r="AP30" s="47"/>
      <c r="AQ30" s="495">
        <v>720</v>
      </c>
      <c r="AR30" s="509"/>
      <c r="AS30" s="502"/>
      <c r="AT30" s="636"/>
      <c r="AU30" s="527" t="s">
        <v>683</v>
      </c>
      <c r="AV30" s="508"/>
    </row>
    <row r="31" spans="1:48" ht="39.65" customHeight="1" x14ac:dyDescent="0.35">
      <c r="A31" s="1478">
        <v>45092</v>
      </c>
      <c r="B31" s="472">
        <v>1</v>
      </c>
      <c r="C31" s="493"/>
      <c r="D31" s="494"/>
      <c r="E31" s="494"/>
      <c r="F31" s="495">
        <v>720</v>
      </c>
      <c r="G31" s="566"/>
      <c r="H31" s="514"/>
      <c r="I31" s="515"/>
      <c r="J31" s="527" t="s">
        <v>684</v>
      </c>
      <c r="K31" s="66"/>
      <c r="L31" s="470"/>
      <c r="M31" s="6"/>
      <c r="N31" s="6"/>
      <c r="O31" s="495">
        <v>720</v>
      </c>
      <c r="P31" s="509"/>
      <c r="Q31" s="6"/>
      <c r="R31" s="6"/>
      <c r="S31" s="527" t="s">
        <v>684</v>
      </c>
      <c r="T31" s="66"/>
      <c r="U31" s="470"/>
      <c r="V31" s="6"/>
      <c r="W31" s="6"/>
      <c r="X31" s="495">
        <v>720</v>
      </c>
      <c r="Y31" s="469"/>
      <c r="Z31" s="6"/>
      <c r="AA31" s="6"/>
      <c r="AB31" s="527" t="s">
        <v>684</v>
      </c>
      <c r="AC31" s="66"/>
      <c r="AD31" s="470"/>
      <c r="AE31" s="6"/>
      <c r="AF31" s="6"/>
      <c r="AG31" s="495">
        <v>720</v>
      </c>
      <c r="AH31" s="509"/>
      <c r="AI31" s="6"/>
      <c r="AJ31" s="6"/>
      <c r="AK31" s="527" t="s">
        <v>684</v>
      </c>
      <c r="AM31" s="470"/>
      <c r="AN31" s="6"/>
      <c r="AO31" s="6"/>
      <c r="AP31" s="47"/>
      <c r="AQ31" s="495">
        <v>720</v>
      </c>
      <c r="AR31" s="509"/>
      <c r="AS31" s="6"/>
      <c r="AT31" s="6"/>
      <c r="AU31" s="527" t="s">
        <v>684</v>
      </c>
      <c r="AV31" s="527"/>
    </row>
    <row r="32" spans="1:48" ht="63" customHeight="1" x14ac:dyDescent="0.35">
      <c r="A32" s="1477"/>
      <c r="B32" s="472">
        <v>2</v>
      </c>
      <c r="C32" s="493"/>
      <c r="D32" s="494"/>
      <c r="E32" s="494"/>
      <c r="F32" s="495">
        <v>720</v>
      </c>
      <c r="G32" s="566"/>
      <c r="H32" s="566"/>
      <c r="I32" s="565"/>
      <c r="J32" s="527" t="s">
        <v>685</v>
      </c>
      <c r="K32" s="66"/>
      <c r="L32" s="470"/>
      <c r="M32" s="6"/>
      <c r="N32" s="6"/>
      <c r="O32" s="495">
        <v>720</v>
      </c>
      <c r="P32" s="509"/>
      <c r="Q32" s="6"/>
      <c r="R32" s="6"/>
      <c r="S32" s="527" t="s">
        <v>685</v>
      </c>
      <c r="T32" s="66"/>
      <c r="U32" s="470"/>
      <c r="V32" s="6"/>
      <c r="W32" s="494"/>
      <c r="X32" s="495">
        <v>720</v>
      </c>
      <c r="Y32" s="566"/>
      <c r="Z32" s="566"/>
      <c r="AA32" s="565"/>
      <c r="AB32" s="527" t="s">
        <v>685</v>
      </c>
      <c r="AC32" s="66"/>
      <c r="AD32" s="470"/>
      <c r="AE32" s="6"/>
      <c r="AF32" s="494"/>
      <c r="AG32" s="495">
        <v>720</v>
      </c>
      <c r="AH32" s="566"/>
      <c r="AI32" s="566"/>
      <c r="AJ32" s="565"/>
      <c r="AK32" s="527" t="s">
        <v>685</v>
      </c>
      <c r="AM32" s="470"/>
      <c r="AN32" s="6"/>
      <c r="AO32" s="6"/>
      <c r="AP32" s="47"/>
      <c r="AQ32" s="495">
        <v>720</v>
      </c>
      <c r="AR32" s="509"/>
      <c r="AS32" s="502"/>
      <c r="AT32" s="636"/>
      <c r="AU32" s="527" t="s">
        <v>685</v>
      </c>
      <c r="AV32" s="508"/>
    </row>
    <row r="33" spans="1:48" ht="43.2" customHeight="1" x14ac:dyDescent="0.35">
      <c r="A33" s="1478">
        <v>45093</v>
      </c>
      <c r="B33" s="472">
        <v>1</v>
      </c>
      <c r="C33" s="493"/>
      <c r="D33" s="494"/>
      <c r="E33" s="494"/>
      <c r="F33" s="495">
        <v>720</v>
      </c>
      <c r="G33" s="566"/>
      <c r="H33" s="514"/>
      <c r="I33" s="565"/>
      <c r="J33" s="527" t="s">
        <v>686</v>
      </c>
      <c r="K33" s="66"/>
      <c r="L33" s="470"/>
      <c r="M33" s="6"/>
      <c r="N33" s="6"/>
      <c r="O33" s="495">
        <v>720</v>
      </c>
      <c r="P33" s="509"/>
      <c r="Q33" s="6"/>
      <c r="R33" s="6"/>
      <c r="S33" s="527" t="s">
        <v>686</v>
      </c>
      <c r="T33" s="66"/>
      <c r="U33" s="470"/>
      <c r="V33" s="6"/>
      <c r="W33" s="6"/>
      <c r="X33" s="495">
        <v>720</v>
      </c>
      <c r="Y33" s="509"/>
      <c r="Z33" s="6"/>
      <c r="AA33" s="502"/>
      <c r="AB33" s="527" t="s">
        <v>686</v>
      </c>
      <c r="AC33" s="66"/>
      <c r="AD33" s="470"/>
      <c r="AE33" s="6"/>
      <c r="AF33" s="6"/>
      <c r="AG33" s="495">
        <v>720</v>
      </c>
      <c r="AH33" s="509"/>
      <c r="AI33" s="502"/>
      <c r="AJ33" s="6"/>
      <c r="AK33" s="527" t="s">
        <v>686</v>
      </c>
      <c r="AM33" s="470"/>
      <c r="AN33" s="6"/>
      <c r="AO33" s="6"/>
      <c r="AP33" s="47"/>
      <c r="AQ33" s="495">
        <v>720</v>
      </c>
      <c r="AR33" s="509"/>
      <c r="AS33" s="502"/>
      <c r="AT33" s="6"/>
      <c r="AU33" s="527" t="s">
        <v>686</v>
      </c>
      <c r="AV33" s="508"/>
    </row>
    <row r="34" spans="1:48" ht="50.5" customHeight="1" x14ac:dyDescent="0.35">
      <c r="A34" s="1477"/>
      <c r="B34" s="534">
        <v>2</v>
      </c>
      <c r="C34" s="494"/>
      <c r="D34" s="494"/>
      <c r="E34" s="494"/>
      <c r="F34" s="637">
        <v>553</v>
      </c>
      <c r="G34" s="566"/>
      <c r="H34" s="515"/>
      <c r="I34" s="515"/>
      <c r="J34" s="527" t="s">
        <v>687</v>
      </c>
      <c r="K34" s="66"/>
      <c r="L34" s="470"/>
      <c r="M34" s="6"/>
      <c r="N34" s="6"/>
      <c r="O34" s="508">
        <v>580</v>
      </c>
      <c r="P34" s="509"/>
      <c r="Q34" s="515"/>
      <c r="R34" s="6"/>
      <c r="S34" s="527" t="s">
        <v>687</v>
      </c>
      <c r="T34" s="66"/>
      <c r="U34" s="470"/>
      <c r="V34" s="6"/>
      <c r="W34" s="6"/>
      <c r="X34" s="508"/>
      <c r="Y34" s="502"/>
      <c r="Z34" s="502"/>
      <c r="AA34" s="565" t="s">
        <v>688</v>
      </c>
      <c r="AB34" s="527"/>
      <c r="AC34" s="66"/>
      <c r="AD34" s="470"/>
      <c r="AE34" s="6"/>
      <c r="AF34" s="6"/>
      <c r="AG34" s="508"/>
      <c r="AH34" s="509"/>
      <c r="AI34" s="6"/>
      <c r="AJ34" s="6"/>
      <c r="AK34" s="508"/>
      <c r="AM34" s="470"/>
      <c r="AN34" s="6"/>
      <c r="AO34" s="6"/>
      <c r="AP34" s="47"/>
      <c r="AQ34" s="508"/>
      <c r="AR34" s="509"/>
      <c r="AS34" s="6"/>
      <c r="AT34" s="6"/>
      <c r="AU34" s="47"/>
      <c r="AV34" s="508"/>
    </row>
    <row r="35" spans="1:48" ht="51" customHeight="1" x14ac:dyDescent="0.35">
      <c r="A35" s="1478">
        <v>45094</v>
      </c>
      <c r="B35" s="472">
        <v>1</v>
      </c>
      <c r="C35" s="494"/>
      <c r="D35" s="494"/>
      <c r="E35" s="47"/>
      <c r="F35" s="636"/>
      <c r="G35" s="465"/>
      <c r="H35" s="509"/>
      <c r="I35" s="502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>
        <v>89</v>
      </c>
      <c r="W35" s="47">
        <v>106</v>
      </c>
      <c r="X35" s="526"/>
      <c r="Y35" s="465"/>
      <c r="Z35" s="6" t="s">
        <v>689</v>
      </c>
      <c r="AA35" s="565" t="s">
        <v>140</v>
      </c>
      <c r="AB35" s="508"/>
      <c r="AC35" s="66"/>
      <c r="AD35" s="470"/>
      <c r="AE35" s="6"/>
      <c r="AF35" s="6"/>
      <c r="AG35" s="469"/>
      <c r="AH35" s="465"/>
      <c r="AI35" s="6"/>
      <c r="AJ35" s="565"/>
      <c r="AK35" s="508"/>
      <c r="AM35" s="470"/>
      <c r="AN35" s="6">
        <v>25</v>
      </c>
      <c r="AO35" s="47"/>
      <c r="AP35" s="47"/>
      <c r="AQ35" s="526"/>
      <c r="AR35" s="465"/>
      <c r="AS35" s="573" t="s">
        <v>553</v>
      </c>
      <c r="AT35" s="502"/>
      <c r="AU35" s="636"/>
      <c r="AV35" s="508"/>
    </row>
    <row r="36" spans="1:48" ht="46.95" customHeight="1" x14ac:dyDescent="0.35">
      <c r="A36" s="1477"/>
      <c r="B36" s="472">
        <v>2</v>
      </c>
      <c r="C36" s="47"/>
      <c r="D36" s="6"/>
      <c r="E36" s="47">
        <v>15</v>
      </c>
      <c r="F36" s="636"/>
      <c r="G36" s="573"/>
      <c r="H36" s="469"/>
      <c r="I36" s="573" t="s">
        <v>152</v>
      </c>
      <c r="J36" s="527"/>
      <c r="K36" s="66"/>
      <c r="L36" s="465"/>
      <c r="M36" s="6">
        <v>239</v>
      </c>
      <c r="N36" s="6"/>
      <c r="O36" s="469"/>
      <c r="P36" s="465"/>
      <c r="Q36" s="502" t="s">
        <v>317</v>
      </c>
      <c r="R36" s="502"/>
      <c r="S36" s="527"/>
      <c r="T36" s="66"/>
      <c r="U36" s="470"/>
      <c r="V36" s="6"/>
      <c r="W36" s="6"/>
      <c r="X36" s="469"/>
      <c r="Y36" s="465"/>
      <c r="Z36" s="502"/>
      <c r="AA36" s="565"/>
      <c r="AB36" s="508"/>
      <c r="AC36" s="66"/>
      <c r="AD36" s="470"/>
      <c r="AE36" s="6"/>
      <c r="AF36" s="47"/>
      <c r="AG36" s="526"/>
      <c r="AH36" s="465"/>
      <c r="AI36" s="502"/>
      <c r="AJ36" s="565"/>
      <c r="AK36" s="508"/>
      <c r="AM36" s="470"/>
      <c r="AN36" s="6"/>
      <c r="AO36" s="6"/>
      <c r="AP36" s="509"/>
      <c r="AQ36" s="469"/>
      <c r="AR36" s="465"/>
      <c r="AS36" s="502"/>
      <c r="AT36" s="502"/>
      <c r="AU36" s="636"/>
      <c r="AV36" s="508"/>
    </row>
    <row r="37" spans="1:48" ht="59.5" customHeight="1" x14ac:dyDescent="0.35">
      <c r="A37" s="1478">
        <v>45095</v>
      </c>
      <c r="B37" s="534">
        <v>1</v>
      </c>
      <c r="C37" s="47"/>
      <c r="D37" s="494"/>
      <c r="E37" s="47"/>
      <c r="F37" s="47"/>
      <c r="G37" s="573"/>
      <c r="H37" s="469"/>
      <c r="I37" s="573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/>
      <c r="X37" s="508"/>
      <c r="Y37" s="509"/>
      <c r="Z37" s="502"/>
      <c r="AA37" s="565"/>
      <c r="AB37" s="527"/>
      <c r="AC37" s="66"/>
      <c r="AD37" s="470"/>
      <c r="AE37" s="6"/>
      <c r="AF37" s="6"/>
      <c r="AG37" s="508"/>
      <c r="AH37" s="509"/>
      <c r="AI37" s="6"/>
      <c r="AJ37" s="565"/>
      <c r="AK37" s="508"/>
      <c r="AM37" s="470"/>
      <c r="AN37" s="6"/>
      <c r="AO37" s="6"/>
      <c r="AP37" s="47"/>
      <c r="AQ37" s="508"/>
      <c r="AR37" s="509"/>
      <c r="AS37" s="6"/>
      <c r="AT37" s="6"/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/>
      <c r="E38" s="47"/>
      <c r="F38" s="637"/>
      <c r="G38" s="573"/>
      <c r="H38" s="469"/>
      <c r="I38" s="573"/>
      <c r="J38" s="527"/>
      <c r="K38" s="66"/>
      <c r="L38" s="470"/>
      <c r="M38" s="6">
        <v>62</v>
      </c>
      <c r="N38" s="6"/>
      <c r="O38" s="508"/>
      <c r="P38" s="469"/>
      <c r="Q38" s="469" t="s">
        <v>334</v>
      </c>
      <c r="R38" s="6"/>
      <c r="S38" s="527"/>
      <c r="T38" s="66"/>
      <c r="U38" s="470"/>
      <c r="V38" s="6"/>
      <c r="W38" s="6"/>
      <c r="X38" s="508"/>
      <c r="Y38" s="509"/>
      <c r="Z38" s="502"/>
      <c r="AA38" s="6"/>
      <c r="AB38" s="527"/>
      <c r="AC38" s="66"/>
      <c r="AD38" s="470"/>
      <c r="AE38" s="6">
        <v>131</v>
      </c>
      <c r="AF38" s="6"/>
      <c r="AG38" s="508"/>
      <c r="AH38" s="469"/>
      <c r="AI38" s="6" t="s">
        <v>590</v>
      </c>
      <c r="AJ38" s="502"/>
      <c r="AK38" s="527"/>
      <c r="AM38" s="470"/>
      <c r="AN38" s="6"/>
      <c r="AO38" s="6"/>
      <c r="AP38" s="47"/>
      <c r="AQ38" s="508"/>
      <c r="AR38" s="509"/>
      <c r="AS38" s="6"/>
      <c r="AT38" s="502"/>
      <c r="AU38" s="636"/>
      <c r="AV38" s="527"/>
    </row>
    <row r="39" spans="1:48" ht="39" customHeight="1" x14ac:dyDescent="0.35">
      <c r="A39" s="1478">
        <v>45096</v>
      </c>
      <c r="B39" s="472">
        <v>1</v>
      </c>
      <c r="C39" s="47"/>
      <c r="D39" s="494"/>
      <c r="E39" s="47"/>
      <c r="F39" s="495"/>
      <c r="G39" s="573"/>
      <c r="H39" s="514"/>
      <c r="I39" s="573"/>
      <c r="J39" s="568"/>
      <c r="K39" s="66"/>
      <c r="L39" s="470"/>
      <c r="M39" s="6"/>
      <c r="N39" s="6"/>
      <c r="O39" s="495"/>
      <c r="P39" s="566"/>
      <c r="Q39" s="514"/>
      <c r="R39" s="573"/>
      <c r="S39" s="568"/>
      <c r="T39" s="66"/>
      <c r="U39" s="470"/>
      <c r="V39" s="6"/>
      <c r="W39" s="6"/>
      <c r="X39" s="495"/>
      <c r="Y39" s="566"/>
      <c r="Z39" s="514"/>
      <c r="AA39" s="573"/>
      <c r="AB39" s="568"/>
      <c r="AC39" s="66"/>
      <c r="AD39" s="470"/>
      <c r="AE39" s="6"/>
      <c r="AF39" s="6"/>
      <c r="AG39" s="495"/>
      <c r="AH39" s="566"/>
      <c r="AI39" s="514"/>
      <c r="AJ39" s="573"/>
      <c r="AK39" s="568"/>
      <c r="AM39" s="470"/>
      <c r="AN39" s="6"/>
      <c r="AO39" s="6"/>
      <c r="AP39" s="47"/>
      <c r="AQ39" s="495"/>
      <c r="AR39" s="566"/>
      <c r="AS39" s="514"/>
      <c r="AT39" s="573"/>
      <c r="AU39" s="573"/>
      <c r="AV39" s="568"/>
    </row>
    <row r="40" spans="1:48" ht="72.650000000000006" customHeight="1" x14ac:dyDescent="0.35">
      <c r="A40" s="1477"/>
      <c r="B40" s="472">
        <v>2</v>
      </c>
      <c r="C40" s="494"/>
      <c r="D40" s="494"/>
      <c r="E40" s="494"/>
      <c r="F40" s="508">
        <v>140</v>
      </c>
      <c r="G40" s="573"/>
      <c r="H40" s="515"/>
      <c r="I40" s="573"/>
      <c r="J40" s="527" t="s">
        <v>690</v>
      </c>
      <c r="K40" s="66"/>
      <c r="L40" s="470"/>
      <c r="M40" s="6"/>
      <c r="N40" s="6"/>
      <c r="O40" s="508">
        <v>134</v>
      </c>
      <c r="P40" s="566"/>
      <c r="Q40" s="514"/>
      <c r="R40" s="573"/>
      <c r="S40" s="527" t="s">
        <v>690</v>
      </c>
      <c r="T40" s="66"/>
      <c r="U40" s="470"/>
      <c r="V40" s="6"/>
      <c r="W40" s="6"/>
      <c r="X40" s="508">
        <v>212</v>
      </c>
      <c r="Y40" s="566"/>
      <c r="Z40" s="514"/>
      <c r="AA40" s="573"/>
      <c r="AB40" s="527" t="s">
        <v>690</v>
      </c>
      <c r="AC40" s="66"/>
      <c r="AD40" s="470"/>
      <c r="AE40" s="6"/>
      <c r="AF40" s="6"/>
      <c r="AG40" s="508">
        <v>210</v>
      </c>
      <c r="AH40" s="566"/>
      <c r="AI40" s="514"/>
      <c r="AJ40" s="573"/>
      <c r="AK40" s="527" t="s">
        <v>690</v>
      </c>
      <c r="AM40" s="470"/>
      <c r="AN40" s="6"/>
      <c r="AO40" s="6"/>
      <c r="AP40" s="47"/>
      <c r="AQ40" s="508">
        <v>278</v>
      </c>
      <c r="AR40" s="566"/>
      <c r="AS40" s="514"/>
      <c r="AT40" s="573"/>
      <c r="AU40" s="573"/>
      <c r="AV40" s="527" t="s">
        <v>690</v>
      </c>
    </row>
    <row r="41" spans="1:48" ht="39.65" customHeight="1" x14ac:dyDescent="0.35">
      <c r="A41" s="1478">
        <v>45097</v>
      </c>
      <c r="B41" s="472">
        <v>1</v>
      </c>
      <c r="C41" s="493"/>
      <c r="D41" s="494"/>
      <c r="E41" s="494"/>
      <c r="F41" s="508"/>
      <c r="G41" s="566"/>
      <c r="H41" s="515"/>
      <c r="I41" s="573"/>
      <c r="J41" s="568"/>
      <c r="K41" s="66"/>
      <c r="L41" s="470"/>
      <c r="M41" s="6">
        <v>36</v>
      </c>
      <c r="N41" s="6"/>
      <c r="O41" s="508"/>
      <c r="P41" s="509"/>
      <c r="Q41" s="6" t="s">
        <v>317</v>
      </c>
      <c r="R41" s="6"/>
      <c r="S41" s="527"/>
      <c r="T41" s="66"/>
      <c r="U41" s="470"/>
      <c r="V41" s="6"/>
      <c r="W41" s="6"/>
      <c r="X41" s="508"/>
      <c r="Y41" s="509"/>
      <c r="Z41" s="502"/>
      <c r="AA41" s="502"/>
      <c r="AB41" s="508"/>
      <c r="AC41" s="66"/>
      <c r="AD41" s="470"/>
      <c r="AE41" s="6"/>
      <c r="AF41" s="6"/>
      <c r="AG41" s="508"/>
      <c r="AH41" s="509"/>
      <c r="AI41" s="502"/>
      <c r="AJ41" s="6"/>
      <c r="AK41" s="508"/>
      <c r="AM41" s="470"/>
      <c r="AN41" s="6"/>
      <c r="AO41" s="6"/>
      <c r="AP41" s="47"/>
      <c r="AQ41" s="508"/>
      <c r="AR41" s="509"/>
      <c r="AS41" s="502"/>
      <c r="AT41" s="6"/>
      <c r="AU41" s="47"/>
      <c r="AV41" s="508"/>
    </row>
    <row r="42" spans="1:48" ht="33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4"/>
      <c r="I42" s="573"/>
      <c r="J42" s="568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/>
      <c r="X42" s="508"/>
      <c r="Y42" s="469"/>
      <c r="Z42" s="6"/>
      <c r="AA42" s="502"/>
      <c r="AB42" s="527"/>
      <c r="AC42" s="66"/>
      <c r="AD42" s="470"/>
      <c r="AE42" s="6"/>
      <c r="AF42" s="6"/>
      <c r="AG42" s="508"/>
      <c r="AH42" s="509"/>
      <c r="AI42" s="6"/>
      <c r="AJ42" s="6"/>
      <c r="AK42" s="508"/>
      <c r="AM42" s="470"/>
      <c r="AN42" s="6"/>
      <c r="AO42" s="6"/>
      <c r="AP42" s="47"/>
      <c r="AQ42" s="508"/>
      <c r="AR42" s="509"/>
      <c r="AS42" s="6"/>
      <c r="AT42" s="6"/>
      <c r="AU42" s="47"/>
      <c r="AV42" s="508"/>
    </row>
    <row r="43" spans="1:48" ht="33.65" customHeight="1" x14ac:dyDescent="0.35">
      <c r="A43" s="1478">
        <v>45098</v>
      </c>
      <c r="B43" s="472">
        <v>1</v>
      </c>
      <c r="C43" s="494"/>
      <c r="D43" s="494"/>
      <c r="E43" s="494"/>
      <c r="F43" s="495"/>
      <c r="G43" s="514"/>
      <c r="H43" s="514"/>
      <c r="I43" s="515"/>
      <c r="J43" s="527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/>
      <c r="W43" s="6"/>
      <c r="X43" s="508"/>
      <c r="Y43" s="509"/>
      <c r="Z43" s="6"/>
      <c r="AA43" s="515"/>
      <c r="AB43" s="508"/>
      <c r="AC43" s="66"/>
      <c r="AD43" s="470"/>
      <c r="AE43" s="6"/>
      <c r="AF43" s="6"/>
      <c r="AG43" s="508"/>
      <c r="AH43" s="502"/>
      <c r="AI43" s="515"/>
      <c r="AJ43" s="6"/>
      <c r="AK43" s="508"/>
      <c r="AM43" s="470"/>
      <c r="AN43" s="6"/>
      <c r="AO43" s="6"/>
      <c r="AP43" s="47"/>
      <c r="AQ43" s="508"/>
      <c r="AR43" s="502"/>
      <c r="AS43" s="515"/>
      <c r="AT43" s="6"/>
      <c r="AU43" s="47"/>
      <c r="AV43" s="508"/>
    </row>
    <row r="44" spans="1:48" ht="36" customHeight="1" x14ac:dyDescent="0.35">
      <c r="A44" s="1477"/>
      <c r="B44" s="472">
        <v>2</v>
      </c>
      <c r="C44" s="494"/>
      <c r="D44" s="494"/>
      <c r="E44" s="494">
        <v>29</v>
      </c>
      <c r="F44" s="495"/>
      <c r="G44" s="514"/>
      <c r="H44" s="514"/>
      <c r="I44" s="573" t="s">
        <v>152</v>
      </c>
      <c r="J44" s="527"/>
      <c r="K44" s="66"/>
      <c r="L44" s="470"/>
      <c r="M44" s="6"/>
      <c r="N44" s="6"/>
      <c r="O44" s="508"/>
      <c r="P44" s="509"/>
      <c r="Q44" s="6"/>
      <c r="R44" s="502"/>
      <c r="S44" s="627"/>
      <c r="T44" s="66"/>
      <c r="U44" s="470"/>
      <c r="V44" s="6"/>
      <c r="W44" s="494"/>
      <c r="X44" s="495"/>
      <c r="Y44" s="514"/>
      <c r="Z44" s="515"/>
      <c r="AA44" s="502"/>
      <c r="AB44" s="527"/>
      <c r="AC44" s="66"/>
      <c r="AD44" s="470"/>
      <c r="AE44" s="6"/>
      <c r="AF44" s="6"/>
      <c r="AG44" s="508"/>
      <c r="AH44" s="509"/>
      <c r="AI44" s="502"/>
      <c r="AJ44" s="502"/>
      <c r="AK44" s="508"/>
      <c r="AM44" s="470">
        <v>302</v>
      </c>
      <c r="AN44" s="6"/>
      <c r="AO44" s="6"/>
      <c r="AP44" s="47"/>
      <c r="AQ44" s="508"/>
      <c r="AR44" s="509" t="s">
        <v>237</v>
      </c>
      <c r="AS44" s="502"/>
      <c r="AT44" s="502"/>
      <c r="AU44" s="636"/>
      <c r="AV44" s="508"/>
    </row>
    <row r="45" spans="1:48" ht="48" customHeight="1" x14ac:dyDescent="0.35">
      <c r="A45" s="1478">
        <v>45099</v>
      </c>
      <c r="B45" s="472">
        <v>1</v>
      </c>
      <c r="C45" s="494"/>
      <c r="D45" s="494"/>
      <c r="E45" s="494"/>
      <c r="F45" s="495"/>
      <c r="G45" s="514"/>
      <c r="H45" s="514"/>
      <c r="I45" s="515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14"/>
      <c r="Z45" s="515"/>
      <c r="AA45" s="502"/>
      <c r="AB45" s="508"/>
      <c r="AC45" s="66"/>
      <c r="AD45" s="470"/>
      <c r="AE45" s="6"/>
      <c r="AF45" s="6"/>
      <c r="AG45" s="508"/>
      <c r="AH45" s="509"/>
      <c r="AI45" s="502"/>
      <c r="AJ45" s="6"/>
      <c r="AK45" s="508"/>
      <c r="AM45" s="470">
        <v>720</v>
      </c>
      <c r="AN45" s="6"/>
      <c r="AO45" s="6"/>
      <c r="AP45" s="47"/>
      <c r="AQ45" s="508"/>
      <c r="AR45" s="509" t="s">
        <v>237</v>
      </c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515"/>
      <c r="J46" s="527"/>
      <c r="K46" s="66"/>
      <c r="L46" s="470"/>
      <c r="M46" s="6"/>
      <c r="N46" s="6"/>
      <c r="O46" s="633"/>
      <c r="P46" s="509"/>
      <c r="Q46" s="515"/>
      <c r="R46" s="6"/>
      <c r="S46" s="527"/>
      <c r="T46" s="66"/>
      <c r="U46" s="470"/>
      <c r="V46" s="6"/>
      <c r="W46" s="6"/>
      <c r="X46" s="508"/>
      <c r="Y46" s="469"/>
      <c r="Z46" s="6"/>
      <c r="AA46" s="502"/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>
        <v>695</v>
      </c>
      <c r="AN46" s="6"/>
      <c r="AO46" s="6"/>
      <c r="AP46" s="47"/>
      <c r="AQ46" s="508"/>
      <c r="AR46" s="509" t="s">
        <v>237</v>
      </c>
      <c r="AS46" s="6"/>
      <c r="AT46" s="6"/>
      <c r="AU46" s="47"/>
      <c r="AV46" s="527"/>
    </row>
    <row r="47" spans="1:48" ht="36" customHeight="1" x14ac:dyDescent="0.35">
      <c r="A47" s="1478">
        <v>45100</v>
      </c>
      <c r="B47" s="472">
        <v>1</v>
      </c>
      <c r="C47" s="494"/>
      <c r="D47" s="494"/>
      <c r="E47" s="494"/>
      <c r="F47" s="495"/>
      <c r="G47" s="515"/>
      <c r="H47" s="514"/>
      <c r="I47" s="573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09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6"/>
      <c r="AK47" s="508"/>
      <c r="AM47" s="470">
        <v>715</v>
      </c>
      <c r="AN47" s="6"/>
      <c r="AO47" s="6"/>
      <c r="AP47" s="47"/>
      <c r="AQ47" s="508"/>
      <c r="AR47" s="509" t="s">
        <v>237</v>
      </c>
      <c r="AS47" s="515"/>
      <c r="AT47" s="6"/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/>
      <c r="X48" s="508"/>
      <c r="Y48" s="469"/>
      <c r="Z48" s="6"/>
      <c r="AA48" s="502"/>
      <c r="AB48" s="508"/>
      <c r="AC48" s="66"/>
      <c r="AD48" s="470"/>
      <c r="AE48" s="6"/>
      <c r="AF48" s="6"/>
      <c r="AG48" s="508"/>
      <c r="AH48" s="509"/>
      <c r="AI48" s="502"/>
      <c r="AJ48" s="6"/>
      <c r="AK48" s="508"/>
      <c r="AM48" s="470">
        <v>679</v>
      </c>
      <c r="AN48" s="6"/>
      <c r="AO48" s="6"/>
      <c r="AP48" s="47"/>
      <c r="AQ48" s="508"/>
      <c r="AR48" s="509" t="s">
        <v>237</v>
      </c>
      <c r="AS48" s="502"/>
      <c r="AT48" s="6"/>
      <c r="AU48" s="47"/>
      <c r="AV48" s="508"/>
    </row>
    <row r="49" spans="1:48" ht="36" customHeight="1" x14ac:dyDescent="0.35">
      <c r="A49" s="1478">
        <v>45101</v>
      </c>
      <c r="B49" s="472">
        <v>1</v>
      </c>
      <c r="C49" s="494"/>
      <c r="D49" s="494"/>
      <c r="E49" s="494"/>
      <c r="F49" s="495"/>
      <c r="G49" s="515"/>
      <c r="H49" s="514"/>
      <c r="I49" s="573"/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/>
      <c r="X49" s="508"/>
      <c r="Y49" s="509"/>
      <c r="Z49" s="502"/>
      <c r="AA49" s="502"/>
      <c r="AB49" s="527"/>
      <c r="AC49" s="66"/>
      <c r="AD49" s="470"/>
      <c r="AE49" s="6"/>
      <c r="AF49" s="6"/>
      <c r="AG49" s="508"/>
      <c r="AH49" s="509"/>
      <c r="AI49" s="502"/>
      <c r="AJ49" s="573"/>
      <c r="AK49" s="508"/>
      <c r="AM49" s="470">
        <v>571</v>
      </c>
      <c r="AN49" s="6"/>
      <c r="AO49" s="6"/>
      <c r="AP49" s="47"/>
      <c r="AQ49" s="508"/>
      <c r="AR49" s="509" t="s">
        <v>237</v>
      </c>
      <c r="AS49" s="502"/>
      <c r="AT49" s="6"/>
      <c r="AU49" s="47"/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/>
      <c r="X50" s="495"/>
      <c r="Y50" s="515"/>
      <c r="Z50" s="514"/>
      <c r="AA50" s="573"/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>
        <v>505</v>
      </c>
      <c r="AN50" s="6">
        <v>65</v>
      </c>
      <c r="AO50" s="6"/>
      <c r="AP50" s="47"/>
      <c r="AQ50" s="495"/>
      <c r="AR50" s="509" t="s">
        <v>237</v>
      </c>
      <c r="AS50" s="514" t="s">
        <v>691</v>
      </c>
      <c r="AT50" s="573"/>
      <c r="AU50" s="573"/>
      <c r="AV50" s="527"/>
    </row>
    <row r="51" spans="1:48" ht="34.950000000000003" customHeight="1" x14ac:dyDescent="0.35">
      <c r="A51" s="1478">
        <v>45102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  <c r="AM51" s="470">
        <v>451</v>
      </c>
      <c r="AN51" s="6">
        <v>140</v>
      </c>
      <c r="AO51" s="6"/>
      <c r="AP51" s="47"/>
      <c r="AQ51" s="508"/>
      <c r="AR51" s="509" t="s">
        <v>237</v>
      </c>
      <c r="AS51" s="6" t="s">
        <v>334</v>
      </c>
      <c r="AT51" s="6"/>
      <c r="AU51" s="47"/>
      <c r="AV51" s="508"/>
    </row>
    <row r="52" spans="1:48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573"/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/>
      <c r="W52" s="6"/>
      <c r="X52" s="495"/>
      <c r="Y52" s="515"/>
      <c r="Z52" s="515"/>
      <c r="AA52" s="573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>
        <v>310</v>
      </c>
      <c r="AN52" s="508">
        <v>130</v>
      </c>
      <c r="AO52" s="508"/>
      <c r="AP52" s="508"/>
      <c r="AQ52" s="508"/>
      <c r="AR52" s="509" t="s">
        <v>237</v>
      </c>
      <c r="AS52" s="6" t="s">
        <v>334</v>
      </c>
      <c r="AT52" s="6"/>
      <c r="AU52" s="47"/>
      <c r="AV52" s="508"/>
    </row>
    <row r="53" spans="1:48" ht="40.200000000000003" customHeight="1" x14ac:dyDescent="0.35">
      <c r="A53" s="1478">
        <v>45103</v>
      </c>
      <c r="B53" s="472">
        <v>1</v>
      </c>
      <c r="C53" s="494"/>
      <c r="D53" s="494"/>
      <c r="E53" s="494">
        <v>25</v>
      </c>
      <c r="F53" s="495"/>
      <c r="G53" s="514"/>
      <c r="H53" s="514"/>
      <c r="I53" s="573" t="s">
        <v>521</v>
      </c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/>
      <c r="AP53" s="47"/>
      <c r="AQ53" s="508"/>
      <c r="AR53" s="509"/>
      <c r="AS53" s="502"/>
      <c r="AT53" s="6"/>
      <c r="AU53" s="47"/>
      <c r="AV53" s="508"/>
    </row>
    <row r="54" spans="1:48" ht="39.65" customHeight="1" x14ac:dyDescent="0.35">
      <c r="A54" s="1477"/>
      <c r="B54" s="500">
        <v>2</v>
      </c>
      <c r="C54" s="494"/>
      <c r="D54" s="494"/>
      <c r="E54" s="494">
        <v>13</v>
      </c>
      <c r="F54" s="495"/>
      <c r="G54" s="514"/>
      <c r="H54" s="514"/>
      <c r="I54" s="573" t="s">
        <v>152</v>
      </c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>
        <v>37</v>
      </c>
      <c r="X54" s="495"/>
      <c r="Y54" s="515"/>
      <c r="Z54" s="514"/>
      <c r="AA54" s="515" t="s">
        <v>152</v>
      </c>
      <c r="AB54" s="527"/>
      <c r="AC54" s="66"/>
      <c r="AD54" s="470"/>
      <c r="AE54" s="6"/>
      <c r="AF54" s="6"/>
      <c r="AG54" s="508"/>
      <c r="AH54" s="509"/>
      <c r="AI54" s="514"/>
      <c r="AJ54" s="6"/>
      <c r="AK54" s="527"/>
      <c r="AM54" s="470"/>
      <c r="AN54" s="6"/>
      <c r="AO54" s="6"/>
      <c r="AP54" s="47"/>
      <c r="AQ54" s="495"/>
      <c r="AR54" s="514"/>
      <c r="AS54" s="514"/>
      <c r="AT54" s="514"/>
      <c r="AU54" s="638"/>
      <c r="AV54" s="527"/>
    </row>
    <row r="55" spans="1:48" ht="39.65" customHeight="1" x14ac:dyDescent="0.35">
      <c r="A55" s="1478">
        <v>45104</v>
      </c>
      <c r="B55" s="472">
        <v>1</v>
      </c>
      <c r="C55" s="493"/>
      <c r="D55" s="494"/>
      <c r="E55" s="494"/>
      <c r="F55" s="495"/>
      <c r="G55" s="514"/>
      <c r="H55" s="514"/>
      <c r="I55" s="573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5"/>
      <c r="AA55" s="6"/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47"/>
      <c r="AQ55" s="508"/>
      <c r="AR55" s="509"/>
      <c r="AS55" s="515"/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515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15"/>
      <c r="AB56" s="527"/>
      <c r="AC56" s="66"/>
      <c r="AD56" s="470"/>
      <c r="AE56" s="6"/>
      <c r="AF56" s="6">
        <v>109</v>
      </c>
      <c r="AG56" s="495"/>
      <c r="AH56" s="515"/>
      <c r="AI56" s="514"/>
      <c r="AJ56" s="515" t="s">
        <v>336</v>
      </c>
      <c r="AK56" s="527"/>
      <c r="AM56" s="470">
        <v>85</v>
      </c>
      <c r="AN56" s="6"/>
      <c r="AO56" s="6"/>
      <c r="AP56" s="47"/>
      <c r="AQ56" s="495"/>
      <c r="AR56" s="515" t="s">
        <v>113</v>
      </c>
      <c r="AS56" s="514"/>
      <c r="AT56" s="515"/>
      <c r="AU56" s="573"/>
      <c r="AV56" s="527"/>
    </row>
    <row r="57" spans="1:48" ht="52.2" customHeight="1" x14ac:dyDescent="0.35">
      <c r="A57" s="1478">
        <v>45105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15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515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>
        <v>43</v>
      </c>
      <c r="W58" s="6"/>
      <c r="X58" s="495"/>
      <c r="Y58" s="515"/>
      <c r="Z58" s="514" t="s">
        <v>692</v>
      </c>
      <c r="AA58" s="515"/>
      <c r="AB58" s="527"/>
      <c r="AC58" s="66"/>
      <c r="AD58" s="470"/>
      <c r="AE58" s="6"/>
      <c r="AF58" s="6"/>
      <c r="AG58" s="495"/>
      <c r="AH58" s="515"/>
      <c r="AI58" s="514"/>
      <c r="AJ58" s="515"/>
      <c r="AK58" s="527"/>
      <c r="AM58" s="470"/>
      <c r="AN58" s="6"/>
      <c r="AO58" s="6"/>
      <c r="AP58" s="47"/>
      <c r="AQ58" s="495"/>
      <c r="AR58" s="515"/>
      <c r="AS58" s="514"/>
      <c r="AT58" s="515"/>
      <c r="AU58" s="573"/>
      <c r="AV58" s="527"/>
    </row>
    <row r="59" spans="1:48" ht="73.2" customHeight="1" x14ac:dyDescent="0.35">
      <c r="A59" s="1478">
        <v>45106</v>
      </c>
      <c r="B59" s="472">
        <v>1</v>
      </c>
      <c r="C59" s="493"/>
      <c r="D59" s="494"/>
      <c r="E59" s="494"/>
      <c r="F59" s="495"/>
      <c r="G59" s="514"/>
      <c r="H59" s="514"/>
      <c r="I59" s="573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02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573"/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502"/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47"/>
      <c r="AQ60" s="508"/>
      <c r="AR60" s="509"/>
      <c r="AS60" s="6"/>
      <c r="AT60" s="502"/>
      <c r="AU60" s="636"/>
      <c r="AV60" s="527"/>
    </row>
    <row r="61" spans="1:48" ht="32.5" customHeight="1" x14ac:dyDescent="0.35">
      <c r="A61" s="1478">
        <v>45107</v>
      </c>
      <c r="B61" s="472">
        <v>1</v>
      </c>
      <c r="C61" s="618"/>
      <c r="D61" s="619"/>
      <c r="E61" s="494">
        <v>15</v>
      </c>
      <c r="F61" s="620"/>
      <c r="G61" s="514"/>
      <c r="H61" s="576"/>
      <c r="I61" s="573" t="s">
        <v>693</v>
      </c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47"/>
      <c r="AQ61" s="508"/>
      <c r="AR61" s="509"/>
      <c r="AS61" s="6"/>
      <c r="AT61" s="502"/>
      <c r="AU61" s="648"/>
      <c r="AV61" s="624"/>
    </row>
    <row r="62" spans="1:48" ht="33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47"/>
      <c r="AQ62" s="508"/>
      <c r="AR62" s="509"/>
      <c r="AS62" s="6"/>
      <c r="AT62" s="502"/>
      <c r="AU62" s="648"/>
      <c r="AV62" s="624"/>
    </row>
    <row r="63" spans="1:48" ht="33.65" customHeight="1" x14ac:dyDescent="0.35">
      <c r="A63" s="1478"/>
      <c r="B63" s="472">
        <v>1</v>
      </c>
      <c r="C63" s="587"/>
      <c r="D63" s="588"/>
      <c r="E63" s="588"/>
      <c r="F63" s="589"/>
      <c r="G63" s="598"/>
      <c r="H63" s="590"/>
      <c r="I63" s="515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6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7"/>
      <c r="AQ63" s="495"/>
      <c r="AR63" s="566"/>
      <c r="AS63" s="514"/>
      <c r="AT63" s="514"/>
      <c r="AU63" s="649"/>
      <c r="AV63" s="586"/>
    </row>
    <row r="64" spans="1:48" ht="30.6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647"/>
      <c r="AQ64" s="528"/>
      <c r="AR64" s="529"/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0</v>
      </c>
      <c r="D65" s="65">
        <f>SUM(D3:D64)</f>
        <v>0</v>
      </c>
      <c r="E65" s="631">
        <f>SUM(E3:E64)</f>
        <v>322</v>
      </c>
      <c r="F65" s="65">
        <f>SUM(F3:F64)</f>
        <v>6453</v>
      </c>
      <c r="L65" s="65">
        <f>SUM(L3:L64)</f>
        <v>0</v>
      </c>
      <c r="M65" s="65">
        <f>SUM(M3:M64)</f>
        <v>361</v>
      </c>
      <c r="N65" s="65">
        <f>SUM(N3:N64)</f>
        <v>0</v>
      </c>
      <c r="O65" s="65">
        <f>SUM(O3:O64)</f>
        <v>6474</v>
      </c>
      <c r="U65" s="65">
        <f>SUM(U3:U64)</f>
        <v>2797</v>
      </c>
      <c r="V65" s="65">
        <f>SUM(V3:V64)</f>
        <v>132</v>
      </c>
      <c r="W65" s="65">
        <f>SUM(W3:W64)</f>
        <v>1159</v>
      </c>
      <c r="X65" s="65">
        <f>SUM(X3:X64)</f>
        <v>5972</v>
      </c>
      <c r="AD65" s="65">
        <f>SUM(AD3:AD64)</f>
        <v>68</v>
      </c>
      <c r="AE65" s="65">
        <f>SUM(AE3:AE64)</f>
        <v>194</v>
      </c>
      <c r="AF65" s="65">
        <f>SUM(AF3:AF64)</f>
        <v>179</v>
      </c>
      <c r="AG65" s="65">
        <f>SUM(AG3:AG64)</f>
        <v>5970</v>
      </c>
      <c r="AM65" s="65">
        <f>SUM(AM3:AM64)</f>
        <v>5033</v>
      </c>
      <c r="AN65" s="65">
        <f>SUM(AN3:AN64)</f>
        <v>584</v>
      </c>
      <c r="AO65" s="65">
        <f>SUM(AO3:AO64)</f>
        <v>58</v>
      </c>
      <c r="AP65" s="65"/>
      <c r="AQ65" s="65">
        <f>SUM(AQ3:AQ64)</f>
        <v>10332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0</v>
      </c>
      <c r="D76" s="543">
        <f>C76/60</f>
        <v>0</v>
      </c>
      <c r="E76" s="542">
        <f>D65</f>
        <v>0</v>
      </c>
      <c r="F76" s="544">
        <f>E76/60</f>
        <v>0</v>
      </c>
      <c r="G76" s="542">
        <f>E65</f>
        <v>322</v>
      </c>
      <c r="H76" s="543">
        <f>G76/60</f>
        <v>5.3666666666666663</v>
      </c>
      <c r="I76" s="542">
        <f>F65</f>
        <v>6453</v>
      </c>
      <c r="J76" s="543">
        <f>I76/60</f>
        <v>107.55</v>
      </c>
    </row>
    <row r="77" spans="1:43" ht="19.5" customHeight="1" x14ac:dyDescent="0.4">
      <c r="B77" s="541" t="s">
        <v>219</v>
      </c>
      <c r="C77" s="545">
        <f>L65</f>
        <v>0</v>
      </c>
      <c r="D77" s="546">
        <f>C77/60</f>
        <v>0</v>
      </c>
      <c r="E77" s="545">
        <f>M65</f>
        <v>361</v>
      </c>
      <c r="F77" s="547">
        <f>E77/60</f>
        <v>6.0166666666666666</v>
      </c>
      <c r="G77" s="545">
        <f>N65</f>
        <v>0</v>
      </c>
      <c r="H77" s="546">
        <f>G77/60</f>
        <v>0</v>
      </c>
      <c r="I77" s="545">
        <f>O65</f>
        <v>6474</v>
      </c>
      <c r="J77" s="546">
        <f>I77/60</f>
        <v>107.9</v>
      </c>
    </row>
    <row r="78" spans="1:43" ht="20.25" customHeight="1" x14ac:dyDescent="0.4">
      <c r="B78" s="541" t="s">
        <v>220</v>
      </c>
      <c r="C78" s="545">
        <f>U65</f>
        <v>2797</v>
      </c>
      <c r="D78" s="546">
        <f>C78/60</f>
        <v>46.616666666666667</v>
      </c>
      <c r="E78" s="545">
        <f>V65</f>
        <v>132</v>
      </c>
      <c r="F78" s="547">
        <f>E78/60</f>
        <v>2.2000000000000002</v>
      </c>
      <c r="G78" s="545">
        <f>W65</f>
        <v>1159</v>
      </c>
      <c r="H78" s="546">
        <f>G78/60</f>
        <v>19.316666666666666</v>
      </c>
      <c r="I78" s="545">
        <f>X65</f>
        <v>5972</v>
      </c>
      <c r="J78" s="546">
        <f>I78/60</f>
        <v>99.533333333333331</v>
      </c>
    </row>
    <row r="79" spans="1:43" ht="22.5" customHeight="1" thickBot="1" x14ac:dyDescent="0.45">
      <c r="B79" s="541" t="s">
        <v>221</v>
      </c>
      <c r="C79" s="548">
        <f>AD65</f>
        <v>68</v>
      </c>
      <c r="D79" s="549">
        <f>C79/60</f>
        <v>1.1333333333333333</v>
      </c>
      <c r="E79" s="548">
        <f>AE65</f>
        <v>194</v>
      </c>
      <c r="F79" s="550">
        <f>E79/60</f>
        <v>3.2333333333333334</v>
      </c>
      <c r="G79" s="548">
        <f>AF65</f>
        <v>179</v>
      </c>
      <c r="H79" s="549">
        <f>G79/60</f>
        <v>2.9833333333333334</v>
      </c>
      <c r="I79" s="548">
        <f>AG65</f>
        <v>5970</v>
      </c>
      <c r="J79" s="549">
        <f>I79/60</f>
        <v>99.5</v>
      </c>
    </row>
    <row r="80" spans="1:43" ht="22.5" customHeight="1" thickBot="1" x14ac:dyDescent="0.45">
      <c r="B80" s="541" t="s">
        <v>488</v>
      </c>
      <c r="C80" s="643">
        <f>AM65</f>
        <v>5033</v>
      </c>
      <c r="D80" s="642">
        <f>C80/60</f>
        <v>83.88333333333334</v>
      </c>
      <c r="E80" s="643">
        <f>AN65</f>
        <v>584</v>
      </c>
      <c r="F80" s="644">
        <f>E80/60</f>
        <v>9.7333333333333325</v>
      </c>
      <c r="G80" s="643">
        <f>AO65</f>
        <v>58</v>
      </c>
      <c r="H80" s="642">
        <f>G80/60</f>
        <v>0.96666666666666667</v>
      </c>
      <c r="I80" s="643">
        <f>AQ65</f>
        <v>10332</v>
      </c>
      <c r="J80" s="642">
        <f>I80/60</f>
        <v>172.2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131.63333333333333</v>
      </c>
      <c r="E82" s="556"/>
      <c r="F82" s="557">
        <f>SUM(F76:F80)</f>
        <v>21.18333333333333</v>
      </c>
      <c r="G82" s="556"/>
      <c r="H82" s="557">
        <f>SUM(H76:H80)</f>
        <v>28.633333333333333</v>
      </c>
      <c r="I82" s="556"/>
      <c r="J82" s="558">
        <f>AVERAGE(J76:J80)</f>
        <v>117.33666666666667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Q1"/>
    <mergeCell ref="AR1:AV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V82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63" sqref="G63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3" width="10.69140625" style="423" customWidth="1"/>
    <col min="44" max="44" width="21.15234375" style="423" customWidth="1"/>
    <col min="45" max="45" width="26.3046875" style="423" customWidth="1"/>
    <col min="46" max="47" width="24.3828125" style="423" customWidth="1"/>
    <col min="48" max="48" width="26.53515625" style="423" customWidth="1"/>
    <col min="49" max="16384" width="8.84375" style="423"/>
  </cols>
  <sheetData>
    <row r="1" spans="1:48" x14ac:dyDescent="0.35">
      <c r="C1" s="1472" t="s">
        <v>1</v>
      </c>
      <c r="D1" s="1471"/>
      <c r="E1" s="1471"/>
      <c r="F1" s="1471"/>
      <c r="G1" s="1475" t="s">
        <v>206</v>
      </c>
      <c r="H1" s="1473"/>
      <c r="I1" s="1473"/>
      <c r="J1" s="1474"/>
      <c r="L1" s="1471" t="s">
        <v>4</v>
      </c>
      <c r="M1" s="1471"/>
      <c r="N1" s="1471"/>
      <c r="O1" s="1471"/>
      <c r="P1" s="1473" t="s">
        <v>206</v>
      </c>
      <c r="Q1" s="1473"/>
      <c r="R1" s="1473"/>
      <c r="S1" s="1474"/>
      <c r="U1" s="1471" t="s">
        <v>2</v>
      </c>
      <c r="V1" s="1471"/>
      <c r="W1" s="1471"/>
      <c r="X1" s="1471"/>
      <c r="Y1" s="1473" t="s">
        <v>206</v>
      </c>
      <c r="Z1" s="1473"/>
      <c r="AA1" s="1473"/>
      <c r="AB1" s="1474"/>
      <c r="AD1" s="1471" t="s">
        <v>5</v>
      </c>
      <c r="AE1" s="1471"/>
      <c r="AF1" s="1471"/>
      <c r="AG1" s="1471"/>
      <c r="AH1" s="1473" t="s">
        <v>206</v>
      </c>
      <c r="AI1" s="1473"/>
      <c r="AJ1" s="1473"/>
      <c r="AK1" s="1474"/>
      <c r="AM1" s="1471" t="s">
        <v>482</v>
      </c>
      <c r="AN1" s="1471"/>
      <c r="AO1" s="1471"/>
      <c r="AP1" s="1471"/>
      <c r="AQ1" s="1471"/>
      <c r="AR1" s="1473" t="s">
        <v>206</v>
      </c>
      <c r="AS1" s="1473"/>
      <c r="AT1" s="1473"/>
      <c r="AU1" s="1473"/>
      <c r="AV1" s="1474"/>
    </row>
    <row r="2" spans="1:48" ht="42.65" customHeight="1" x14ac:dyDescent="0.35">
      <c r="A2" s="634" t="s">
        <v>0</v>
      </c>
      <c r="B2" s="426" t="s">
        <v>198</v>
      </c>
      <c r="C2" s="427" t="s">
        <v>199</v>
      </c>
      <c r="D2" s="424" t="s">
        <v>200</v>
      </c>
      <c r="E2" s="424" t="s">
        <v>201</v>
      </c>
      <c r="F2" s="424" t="s">
        <v>204</v>
      </c>
      <c r="G2" s="473" t="s">
        <v>199</v>
      </c>
      <c r="H2" s="473" t="s">
        <v>200</v>
      </c>
      <c r="I2" s="473" t="s">
        <v>201</v>
      </c>
      <c r="J2" s="473" t="s">
        <v>204</v>
      </c>
      <c r="K2" s="423" t="s">
        <v>269</v>
      </c>
      <c r="L2" s="424" t="s">
        <v>199</v>
      </c>
      <c r="M2" s="424" t="s">
        <v>200</v>
      </c>
      <c r="N2" s="424" t="s">
        <v>201</v>
      </c>
      <c r="O2" s="424" t="s">
        <v>204</v>
      </c>
      <c r="P2" s="425" t="s">
        <v>199</v>
      </c>
      <c r="Q2" s="424" t="s">
        <v>200</v>
      </c>
      <c r="R2" s="424" t="s">
        <v>201</v>
      </c>
      <c r="S2" s="424" t="s">
        <v>204</v>
      </c>
      <c r="U2" s="424" t="s">
        <v>199</v>
      </c>
      <c r="V2" s="424" t="s">
        <v>200</v>
      </c>
      <c r="W2" s="424" t="s">
        <v>201</v>
      </c>
      <c r="X2" s="424" t="s">
        <v>204</v>
      </c>
      <c r="Y2" s="540" t="s">
        <v>199</v>
      </c>
      <c r="Z2" s="424" t="s">
        <v>200</v>
      </c>
      <c r="AA2" s="424" t="s">
        <v>201</v>
      </c>
      <c r="AB2" s="424" t="s">
        <v>204</v>
      </c>
      <c r="AD2" s="424" t="s">
        <v>199</v>
      </c>
      <c r="AE2" s="424" t="s">
        <v>200</v>
      </c>
      <c r="AF2" s="424" t="s">
        <v>201</v>
      </c>
      <c r="AG2" s="424" t="s">
        <v>204</v>
      </c>
      <c r="AH2" s="425" t="s">
        <v>199</v>
      </c>
      <c r="AI2" s="424" t="s">
        <v>200</v>
      </c>
      <c r="AJ2" s="424" t="s">
        <v>201</v>
      </c>
      <c r="AK2" s="424" t="s">
        <v>204</v>
      </c>
      <c r="AM2" s="424" t="s">
        <v>199</v>
      </c>
      <c r="AN2" s="424" t="s">
        <v>200</v>
      </c>
      <c r="AO2" s="424" t="s">
        <v>201</v>
      </c>
      <c r="AP2" s="424" t="s">
        <v>204</v>
      </c>
      <c r="AQ2" s="424" t="s">
        <v>204</v>
      </c>
      <c r="AR2" s="425" t="s">
        <v>199</v>
      </c>
      <c r="AS2" s="424" t="s">
        <v>200</v>
      </c>
      <c r="AT2" s="424" t="s">
        <v>201</v>
      </c>
      <c r="AU2" s="424" t="s">
        <v>204</v>
      </c>
      <c r="AV2" s="424" t="s">
        <v>204</v>
      </c>
    </row>
    <row r="3" spans="1:48" ht="30" customHeight="1" x14ac:dyDescent="0.35">
      <c r="A3" s="1478">
        <v>45108</v>
      </c>
      <c r="B3" s="501">
        <v>1</v>
      </c>
      <c r="C3" s="490"/>
      <c r="D3" s="491"/>
      <c r="E3" s="640">
        <v>15</v>
      </c>
      <c r="F3" s="492"/>
      <c r="G3" s="566"/>
      <c r="H3" s="514"/>
      <c r="I3" s="641" t="s">
        <v>152</v>
      </c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522"/>
      <c r="X3" s="508"/>
      <c r="Y3" s="469"/>
      <c r="Z3" s="521"/>
      <c r="AA3" s="600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>
        <v>53</v>
      </c>
      <c r="AO3" s="6"/>
      <c r="AP3" s="80"/>
      <c r="AQ3" s="520"/>
      <c r="AR3" s="521"/>
      <c r="AS3" s="538" t="s">
        <v>694</v>
      </c>
      <c r="AT3" s="6"/>
      <c r="AU3" s="80"/>
      <c r="AV3" s="520"/>
    </row>
    <row r="4" spans="1:48" ht="36.65" customHeight="1" x14ac:dyDescent="0.35">
      <c r="A4" s="1477"/>
      <c r="B4" s="472">
        <v>2</v>
      </c>
      <c r="C4" s="493"/>
      <c r="D4" s="494"/>
      <c r="E4" s="494">
        <v>15</v>
      </c>
      <c r="F4" s="495"/>
      <c r="G4" s="566"/>
      <c r="H4" s="514"/>
      <c r="I4" s="641" t="s">
        <v>152</v>
      </c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>
        <v>20</v>
      </c>
      <c r="X4" s="508"/>
      <c r="Y4" s="469"/>
      <c r="Z4" s="514"/>
      <c r="AA4" s="579" t="s">
        <v>152</v>
      </c>
      <c r="AB4" s="603"/>
      <c r="AC4" s="66"/>
      <c r="AD4" s="470"/>
      <c r="AE4" s="6"/>
      <c r="AF4" s="6"/>
      <c r="AG4" s="508"/>
      <c r="AH4" s="509"/>
      <c r="AI4" s="514"/>
      <c r="AJ4" s="6"/>
      <c r="AK4" s="508"/>
      <c r="AM4" s="470"/>
      <c r="AN4" s="6"/>
      <c r="AO4" s="6"/>
      <c r="AP4" s="47"/>
      <c r="AQ4" s="508"/>
      <c r="AR4" s="509"/>
      <c r="AS4" s="515"/>
      <c r="AT4" s="6"/>
      <c r="AU4" s="47"/>
      <c r="AV4" s="508"/>
    </row>
    <row r="5" spans="1:48" ht="60" customHeight="1" x14ac:dyDescent="0.35">
      <c r="A5" s="1478">
        <v>45109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>
        <v>8</v>
      </c>
      <c r="X5" s="508"/>
      <c r="Y5" s="469"/>
      <c r="Z5" s="6"/>
      <c r="AA5" s="579" t="s">
        <v>152</v>
      </c>
      <c r="AB5" s="604"/>
      <c r="AC5" s="66"/>
      <c r="AD5" s="470"/>
      <c r="AE5" s="6"/>
      <c r="AF5" s="6"/>
      <c r="AG5" s="508"/>
      <c r="AH5" s="509"/>
      <c r="AI5" s="6"/>
      <c r="AJ5" s="600"/>
      <c r="AK5" s="508"/>
      <c r="AM5" s="470"/>
      <c r="AN5" s="6">
        <v>5</v>
      </c>
      <c r="AO5" s="6"/>
      <c r="AP5" s="47"/>
      <c r="AQ5" s="508"/>
      <c r="AR5" s="509"/>
      <c r="AS5" s="6" t="s">
        <v>691</v>
      </c>
      <c r="AT5" s="502"/>
      <c r="AU5" s="636"/>
      <c r="AV5" s="526"/>
    </row>
    <row r="6" spans="1:48" ht="80.5" customHeight="1" x14ac:dyDescent="0.35">
      <c r="A6" s="1477"/>
      <c r="B6" s="472">
        <v>2</v>
      </c>
      <c r="C6" s="493"/>
      <c r="D6" s="494"/>
      <c r="E6" s="494">
        <v>33</v>
      </c>
      <c r="F6" s="495"/>
      <c r="G6" s="565"/>
      <c r="H6" s="514"/>
      <c r="I6" s="515" t="s">
        <v>695</v>
      </c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>
        <v>8</v>
      </c>
      <c r="X6" s="508"/>
      <c r="Y6" s="469"/>
      <c r="Z6" s="6"/>
      <c r="AA6" s="579" t="s">
        <v>152</v>
      </c>
      <c r="AB6" s="508"/>
      <c r="AC6" s="66"/>
      <c r="AD6" s="470"/>
      <c r="AE6" s="6"/>
      <c r="AF6" s="6">
        <f>18+15+22+30</f>
        <v>85</v>
      </c>
      <c r="AG6" s="508"/>
      <c r="AH6" s="509"/>
      <c r="AI6" s="6"/>
      <c r="AJ6" s="6" t="s">
        <v>152</v>
      </c>
      <c r="AK6" s="508"/>
      <c r="AM6" s="470"/>
      <c r="AN6" s="6"/>
      <c r="AO6" s="6">
        <v>15</v>
      </c>
      <c r="AP6" s="47"/>
      <c r="AQ6" s="508"/>
      <c r="AR6" s="509"/>
      <c r="AS6" s="6"/>
      <c r="AT6" s="502" t="s">
        <v>152</v>
      </c>
      <c r="AU6" s="636"/>
      <c r="AV6" s="526"/>
    </row>
    <row r="7" spans="1:48" ht="71.5" customHeight="1" x14ac:dyDescent="0.35">
      <c r="A7" s="1478">
        <v>45110</v>
      </c>
      <c r="B7" s="472">
        <v>1</v>
      </c>
      <c r="C7" s="493"/>
      <c r="D7" s="494"/>
      <c r="E7" s="494">
        <v>26</v>
      </c>
      <c r="F7" s="495"/>
      <c r="G7" s="566"/>
      <c r="H7" s="515"/>
      <c r="I7" s="515" t="s">
        <v>152</v>
      </c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6"/>
      <c r="W7" s="6">
        <v>20</v>
      </c>
      <c r="X7" s="508"/>
      <c r="Y7" s="509"/>
      <c r="Z7" s="6"/>
      <c r="AA7" s="579" t="s">
        <v>152</v>
      </c>
      <c r="AB7" s="508"/>
      <c r="AC7" s="66"/>
      <c r="AD7" s="470"/>
      <c r="AE7" s="6"/>
      <c r="AF7" s="6">
        <v>33</v>
      </c>
      <c r="AG7" s="508"/>
      <c r="AH7" s="509"/>
      <c r="AI7" s="6"/>
      <c r="AJ7" s="6" t="s">
        <v>629</v>
      </c>
      <c r="AK7" s="508"/>
      <c r="AM7" s="470"/>
      <c r="AN7" s="6"/>
      <c r="AO7" s="6"/>
      <c r="AP7" s="47"/>
      <c r="AQ7" s="508"/>
      <c r="AR7" s="509"/>
      <c r="AS7" s="6"/>
      <c r="AT7" s="515"/>
      <c r="AU7" s="573"/>
      <c r="AV7" s="526"/>
    </row>
    <row r="8" spans="1:48" ht="69.650000000000006" customHeight="1" x14ac:dyDescent="0.35">
      <c r="A8" s="1477"/>
      <c r="B8" s="472">
        <v>2</v>
      </c>
      <c r="C8" s="493">
        <f>340</f>
        <v>340</v>
      </c>
      <c r="D8" s="494"/>
      <c r="E8" s="494">
        <v>20</v>
      </c>
      <c r="F8" s="495"/>
      <c r="G8" s="565" t="s">
        <v>583</v>
      </c>
      <c r="H8" s="515"/>
      <c r="I8" s="515" t="s">
        <v>152</v>
      </c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>
        <f>15+14</f>
        <v>29</v>
      </c>
      <c r="X8" s="508"/>
      <c r="Y8" s="469"/>
      <c r="Z8" s="6"/>
      <c r="AA8" s="579" t="s">
        <v>152</v>
      </c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/>
      <c r="AN8" s="6"/>
      <c r="AO8" s="6"/>
      <c r="AP8" s="47"/>
      <c r="AQ8" s="508"/>
      <c r="AR8" s="509"/>
      <c r="AS8" s="6"/>
      <c r="AT8" s="6"/>
      <c r="AU8" s="47"/>
      <c r="AV8" s="526"/>
    </row>
    <row r="9" spans="1:48" ht="76.95" customHeight="1" x14ac:dyDescent="0.35">
      <c r="A9" s="1478">
        <v>45111</v>
      </c>
      <c r="B9" s="472">
        <v>1</v>
      </c>
      <c r="C9" s="493"/>
      <c r="D9" s="494"/>
      <c r="E9" s="494">
        <v>26</v>
      </c>
      <c r="F9" s="495"/>
      <c r="G9" s="565"/>
      <c r="H9" s="514"/>
      <c r="I9" s="515" t="s">
        <v>152</v>
      </c>
      <c r="J9" s="527"/>
      <c r="K9" s="66"/>
      <c r="L9" s="470"/>
      <c r="M9" s="6"/>
      <c r="N9" s="6"/>
      <c r="O9" s="508"/>
      <c r="P9" s="469"/>
      <c r="Q9" s="515"/>
      <c r="R9" s="502"/>
      <c r="S9" s="527"/>
      <c r="T9" s="66"/>
      <c r="U9" s="470"/>
      <c r="V9" s="6"/>
      <c r="W9" s="6">
        <v>20</v>
      </c>
      <c r="X9" s="508"/>
      <c r="Y9" s="509"/>
      <c r="Z9" s="6"/>
      <c r="AA9" s="579" t="s">
        <v>152</v>
      </c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>
        <v>20</v>
      </c>
      <c r="AP9" s="47"/>
      <c r="AQ9" s="508"/>
      <c r="AR9" s="509"/>
      <c r="AS9" s="6"/>
      <c r="AT9" s="502" t="s">
        <v>152</v>
      </c>
      <c r="AU9" s="636"/>
      <c r="AV9" s="526"/>
    </row>
    <row r="10" spans="1:48" ht="67.2" customHeight="1" x14ac:dyDescent="0.35">
      <c r="A10" s="1477"/>
      <c r="B10" s="472">
        <v>2</v>
      </c>
      <c r="C10" s="493">
        <v>42</v>
      </c>
      <c r="D10" s="494"/>
      <c r="E10" s="494">
        <v>23</v>
      </c>
      <c r="F10" s="495"/>
      <c r="G10" s="566" t="s">
        <v>186</v>
      </c>
      <c r="H10" s="514"/>
      <c r="I10" s="641" t="s">
        <v>696</v>
      </c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>
        <v>130</v>
      </c>
      <c r="V10" s="6">
        <v>186</v>
      </c>
      <c r="W10" s="6">
        <v>17</v>
      </c>
      <c r="X10" s="508"/>
      <c r="Y10" s="465" t="s">
        <v>583</v>
      </c>
      <c r="Z10" s="469" t="s">
        <v>697</v>
      </c>
      <c r="AA10" s="579" t="s">
        <v>562</v>
      </c>
      <c r="AB10" s="527"/>
      <c r="AC10" s="66"/>
      <c r="AD10" s="470"/>
      <c r="AE10" s="6"/>
      <c r="AF10" s="6"/>
      <c r="AG10" s="508"/>
      <c r="AH10" s="469"/>
      <c r="AI10" s="502"/>
      <c r="AJ10" s="6"/>
      <c r="AK10" s="527"/>
      <c r="AM10" s="470"/>
      <c r="AN10" s="6"/>
      <c r="AO10" s="6"/>
      <c r="AP10" s="47"/>
      <c r="AQ10" s="508"/>
      <c r="AR10" s="509"/>
      <c r="AS10" s="6"/>
      <c r="AT10" s="6"/>
      <c r="AU10" s="47"/>
      <c r="AV10" s="526"/>
    </row>
    <row r="11" spans="1:48" ht="60" customHeight="1" x14ac:dyDescent="0.35">
      <c r="A11" s="1478">
        <v>45112</v>
      </c>
      <c r="B11" s="472">
        <v>1</v>
      </c>
      <c r="C11" s="493"/>
      <c r="D11" s="494"/>
      <c r="E11" s="494">
        <f>4+10+10+6+7+15+12</f>
        <v>64</v>
      </c>
      <c r="F11" s="495"/>
      <c r="G11" s="565"/>
      <c r="H11" s="514"/>
      <c r="I11" s="515" t="s">
        <v>152</v>
      </c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>
        <f>10+11+6+8+10</f>
        <v>45</v>
      </c>
      <c r="X11" s="508"/>
      <c r="Y11" s="509"/>
      <c r="Z11" s="6"/>
      <c r="AA11" s="579" t="s">
        <v>152</v>
      </c>
      <c r="AB11" s="508"/>
      <c r="AC11" s="66"/>
      <c r="AD11" s="470"/>
      <c r="AE11" s="6"/>
      <c r="AF11" s="6"/>
      <c r="AG11" s="508"/>
      <c r="AH11" s="509"/>
      <c r="AI11" s="6"/>
      <c r="AJ11" s="6"/>
      <c r="AK11" s="508"/>
      <c r="AM11" s="470"/>
      <c r="AN11" s="6"/>
      <c r="AO11" s="6"/>
      <c r="AP11" s="47"/>
      <c r="AQ11" s="508"/>
      <c r="AR11" s="509"/>
      <c r="AS11" s="6"/>
      <c r="AT11" s="6"/>
      <c r="AU11" s="47"/>
      <c r="AV11" s="526"/>
    </row>
    <row r="12" spans="1:48" ht="55.2" customHeight="1" x14ac:dyDescent="0.35">
      <c r="A12" s="1477"/>
      <c r="B12" s="472">
        <v>2</v>
      </c>
      <c r="C12" s="493"/>
      <c r="D12" s="494"/>
      <c r="E12" s="494">
        <f>22+5+9+10+10+10</f>
        <v>66</v>
      </c>
      <c r="F12" s="495"/>
      <c r="G12" s="566"/>
      <c r="H12" s="514"/>
      <c r="I12" s="515" t="s">
        <v>699</v>
      </c>
      <c r="J12" s="527"/>
      <c r="K12" s="66"/>
      <c r="L12" s="470"/>
      <c r="M12" s="6"/>
      <c r="N12" s="6">
        <v>88</v>
      </c>
      <c r="O12" s="508"/>
      <c r="P12" s="469"/>
      <c r="Q12" s="6"/>
      <c r="R12" s="502" t="s">
        <v>698</v>
      </c>
      <c r="S12" s="527"/>
      <c r="T12" s="66"/>
      <c r="U12" s="470"/>
      <c r="V12" s="6"/>
      <c r="W12" s="6">
        <f>11+5</f>
        <v>16</v>
      </c>
      <c r="X12" s="508"/>
      <c r="Y12" s="509"/>
      <c r="Z12" s="6"/>
      <c r="AA12" s="579" t="s">
        <v>152</v>
      </c>
      <c r="AB12" s="527"/>
      <c r="AC12" s="66"/>
      <c r="AD12" s="470">
        <v>129</v>
      </c>
      <c r="AE12" s="6"/>
      <c r="AF12" s="6">
        <v>16</v>
      </c>
      <c r="AG12" s="508"/>
      <c r="AH12" s="509" t="s">
        <v>583</v>
      </c>
      <c r="AI12" s="502"/>
      <c r="AJ12" s="6" t="s">
        <v>562</v>
      </c>
      <c r="AK12" s="527"/>
      <c r="AM12" s="470"/>
      <c r="AN12" s="6"/>
      <c r="AO12" s="6"/>
      <c r="AP12" s="47"/>
      <c r="AQ12" s="508"/>
      <c r="AR12" s="509"/>
      <c r="AS12" s="6"/>
      <c r="AT12" s="6"/>
      <c r="AU12" s="47"/>
      <c r="AV12" s="527"/>
    </row>
    <row r="13" spans="1:48" ht="34.950000000000003" customHeight="1" x14ac:dyDescent="0.35">
      <c r="A13" s="1478">
        <v>45113</v>
      </c>
      <c r="B13" s="472">
        <v>1</v>
      </c>
      <c r="C13" s="493"/>
      <c r="D13" s="494"/>
      <c r="E13" s="494"/>
      <c r="F13" s="495"/>
      <c r="G13" s="566"/>
      <c r="H13" s="514"/>
      <c r="I13" s="515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/>
      <c r="X13" s="495"/>
      <c r="Y13" s="469"/>
      <c r="Z13" s="502"/>
      <c r="AA13" s="6"/>
      <c r="AB13" s="527"/>
      <c r="AC13" s="66"/>
      <c r="AD13" s="470"/>
      <c r="AE13" s="6"/>
      <c r="AF13" s="6"/>
      <c r="AG13" s="495"/>
      <c r="AH13" s="509"/>
      <c r="AI13" s="6"/>
      <c r="AJ13" s="6"/>
      <c r="AK13" s="527"/>
      <c r="AM13" s="470"/>
      <c r="AN13" s="6"/>
      <c r="AO13" s="6"/>
      <c r="AP13" s="47"/>
      <c r="AQ13" s="495"/>
      <c r="AR13" s="509"/>
      <c r="AS13" s="6"/>
      <c r="AT13" s="6"/>
      <c r="AU13" s="47"/>
      <c r="AV13" s="527"/>
    </row>
    <row r="14" spans="1:48" ht="49.2" customHeight="1" x14ac:dyDescent="0.35">
      <c r="A14" s="1477"/>
      <c r="B14" s="472">
        <v>2</v>
      </c>
      <c r="C14" s="493"/>
      <c r="D14" s="494"/>
      <c r="E14" s="494"/>
      <c r="F14" s="495"/>
      <c r="G14" s="566"/>
      <c r="H14" s="515"/>
      <c r="I14" s="515"/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02"/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>
        <v>324</v>
      </c>
      <c r="AN14" s="6"/>
      <c r="AO14" s="6">
        <v>12</v>
      </c>
      <c r="AP14" s="47"/>
      <c r="AQ14" s="495"/>
      <c r="AR14" s="469" t="s">
        <v>583</v>
      </c>
      <c r="AS14" s="6"/>
      <c r="AT14" s="6" t="s">
        <v>562</v>
      </c>
      <c r="AU14" s="47"/>
      <c r="AV14" s="527"/>
    </row>
    <row r="15" spans="1:48" ht="48" customHeight="1" x14ac:dyDescent="0.35">
      <c r="A15" s="1478">
        <v>45114</v>
      </c>
      <c r="B15" s="472">
        <v>1</v>
      </c>
      <c r="C15" s="493"/>
      <c r="D15" s="494"/>
      <c r="E15" s="6"/>
      <c r="F15" s="495"/>
      <c r="G15" s="566"/>
      <c r="H15" s="515"/>
      <c r="I15" s="515"/>
      <c r="J15" s="527"/>
      <c r="K15" s="66"/>
      <c r="L15" s="470"/>
      <c r="M15" s="6"/>
      <c r="N15" s="6"/>
      <c r="O15" s="495"/>
      <c r="P15" s="470"/>
      <c r="Q15" s="515"/>
      <c r="R15" s="6"/>
      <c r="S15" s="527"/>
      <c r="T15" s="66"/>
      <c r="U15" s="470"/>
      <c r="V15" s="6"/>
      <c r="W15" s="6">
        <f>13+9+12</f>
        <v>34</v>
      </c>
      <c r="X15" s="495"/>
      <c r="Y15" s="470"/>
      <c r="Z15" s="515"/>
      <c r="AA15" s="652" t="s">
        <v>700</v>
      </c>
      <c r="AB15" s="527"/>
      <c r="AC15" s="66"/>
      <c r="AD15" s="470"/>
      <c r="AE15" s="6"/>
      <c r="AF15" s="66">
        <f>10+13</f>
        <v>23</v>
      </c>
      <c r="AG15" s="495"/>
      <c r="AH15" s="645"/>
      <c r="AI15" s="573"/>
      <c r="AJ15" s="6" t="s">
        <v>336</v>
      </c>
      <c r="AK15" s="527"/>
      <c r="AM15" s="470"/>
      <c r="AN15" s="6"/>
      <c r="AO15" s="66"/>
      <c r="AP15" s="66"/>
      <c r="AQ15" s="495"/>
      <c r="AR15" s="646"/>
      <c r="AS15" s="573"/>
      <c r="AT15" s="502"/>
      <c r="AU15" s="636"/>
      <c r="AV15" s="527"/>
    </row>
    <row r="16" spans="1:48" ht="54.65" customHeight="1" x14ac:dyDescent="0.35">
      <c r="A16" s="1477"/>
      <c r="B16" s="472">
        <v>2</v>
      </c>
      <c r="C16" s="493"/>
      <c r="D16" s="494"/>
      <c r="E16" s="494">
        <v>15</v>
      </c>
      <c r="F16" s="495"/>
      <c r="G16" s="565"/>
      <c r="H16" s="638"/>
      <c r="I16" s="641" t="s">
        <v>152</v>
      </c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/>
      <c r="W16" s="6">
        <v>10</v>
      </c>
      <c r="X16" s="495"/>
      <c r="Y16" s="565"/>
      <c r="Z16" s="638"/>
      <c r="AA16" s="515" t="s">
        <v>152</v>
      </c>
      <c r="AB16" s="527"/>
      <c r="AC16" s="66"/>
      <c r="AD16" s="470"/>
      <c r="AE16" s="6"/>
      <c r="AF16" s="6">
        <v>10</v>
      </c>
      <c r="AG16" s="495"/>
      <c r="AH16" s="565"/>
      <c r="AI16" s="638"/>
      <c r="AJ16" s="6" t="s">
        <v>336</v>
      </c>
      <c r="AK16" s="527"/>
      <c r="AM16" s="470"/>
      <c r="AN16" s="6"/>
      <c r="AO16" s="6">
        <v>600</v>
      </c>
      <c r="AP16" s="47"/>
      <c r="AQ16" s="495"/>
      <c r="AR16" s="565"/>
      <c r="AS16" s="638"/>
      <c r="AT16" s="515" t="s">
        <v>701</v>
      </c>
      <c r="AU16" s="573"/>
      <c r="AV16" s="527"/>
    </row>
    <row r="17" spans="1:48" ht="66" customHeight="1" x14ac:dyDescent="0.35">
      <c r="A17" s="1478">
        <v>45115</v>
      </c>
      <c r="B17" s="534">
        <v>1</v>
      </c>
      <c r="C17" s="493"/>
      <c r="D17" s="494"/>
      <c r="E17" s="494"/>
      <c r="F17" s="495"/>
      <c r="G17" s="566"/>
      <c r="H17" s="514"/>
      <c r="I17" s="515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/>
      <c r="X17" s="495"/>
      <c r="Y17" s="566"/>
      <c r="Z17" s="514"/>
      <c r="AA17" s="515"/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>
        <v>720</v>
      </c>
      <c r="AP17" s="47"/>
      <c r="AQ17" s="495"/>
      <c r="AR17" s="566"/>
      <c r="AS17" s="514"/>
      <c r="AT17" s="515" t="s">
        <v>701</v>
      </c>
      <c r="AU17" s="573"/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638"/>
      <c r="I18" s="515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6"/>
      <c r="X18" s="495"/>
      <c r="Y18" s="565"/>
      <c r="Z18" s="515"/>
      <c r="AA18" s="515"/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>
        <v>720</v>
      </c>
      <c r="AP18" s="47"/>
      <c r="AQ18" s="495"/>
      <c r="AR18" s="565"/>
      <c r="AS18" s="515"/>
      <c r="AT18" s="515" t="s">
        <v>701</v>
      </c>
      <c r="AU18" s="638"/>
      <c r="AV18" s="527"/>
    </row>
    <row r="19" spans="1:48" ht="33.65" customHeight="1" x14ac:dyDescent="0.35">
      <c r="A19" s="1478">
        <v>45116</v>
      </c>
      <c r="B19" s="472">
        <v>1</v>
      </c>
      <c r="C19" s="66"/>
      <c r="D19" s="494"/>
      <c r="E19" s="494"/>
      <c r="F19" s="495"/>
      <c r="G19" s="465"/>
      <c r="H19" s="6"/>
      <c r="I19" s="641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515"/>
      <c r="AB19" s="527"/>
      <c r="AC19" s="66"/>
      <c r="AD19" s="470"/>
      <c r="AE19" s="6"/>
      <c r="AF19" s="6"/>
      <c r="AG19" s="495"/>
      <c r="AH19" s="470"/>
      <c r="AI19" s="6"/>
      <c r="AJ19" s="6"/>
      <c r="AK19" s="527"/>
      <c r="AM19" s="470"/>
      <c r="AN19" s="6"/>
      <c r="AO19" s="6">
        <v>720</v>
      </c>
      <c r="AP19" s="47"/>
      <c r="AQ19" s="495"/>
      <c r="AR19" s="470"/>
      <c r="AS19" s="6"/>
      <c r="AT19" s="515" t="s">
        <v>701</v>
      </c>
      <c r="AU19" s="636"/>
      <c r="AV19" s="527"/>
    </row>
    <row r="20" spans="1:48" ht="31.2" customHeight="1" x14ac:dyDescent="0.35">
      <c r="A20" s="1477"/>
      <c r="B20" s="472">
        <v>2</v>
      </c>
      <c r="C20" s="493"/>
      <c r="D20" s="494"/>
      <c r="E20" s="494"/>
      <c r="F20" s="495"/>
      <c r="G20" s="465"/>
      <c r="H20" s="502"/>
      <c r="I20" s="515"/>
      <c r="J20" s="527"/>
      <c r="K20" s="66"/>
      <c r="L20" s="470"/>
      <c r="M20" s="6"/>
      <c r="N20" s="6"/>
      <c r="O20" s="495"/>
      <c r="P20" s="470"/>
      <c r="Q20" s="502"/>
      <c r="R20" s="605"/>
      <c r="S20" s="527"/>
      <c r="T20" s="66"/>
      <c r="U20" s="470"/>
      <c r="V20" s="214"/>
      <c r="W20" s="6"/>
      <c r="X20" s="495"/>
      <c r="Y20" s="470"/>
      <c r="Z20" s="502"/>
      <c r="AA20" s="605"/>
      <c r="AB20" s="527"/>
      <c r="AC20" s="66"/>
      <c r="AD20" s="470"/>
      <c r="AE20" s="6"/>
      <c r="AF20" s="6"/>
      <c r="AG20" s="495"/>
      <c r="AH20" s="470"/>
      <c r="AI20" s="502"/>
      <c r="AJ20" s="625"/>
      <c r="AK20" s="527"/>
      <c r="AM20" s="470"/>
      <c r="AN20" s="6"/>
      <c r="AO20" s="6">
        <v>663</v>
      </c>
      <c r="AP20" s="47"/>
      <c r="AQ20" s="495"/>
      <c r="AR20" s="470"/>
      <c r="AS20" s="502"/>
      <c r="AT20" s="502" t="s">
        <v>702</v>
      </c>
      <c r="AU20" s="66"/>
      <c r="AV20" s="527"/>
    </row>
    <row r="21" spans="1:48" ht="39.65" customHeight="1" x14ac:dyDescent="0.35">
      <c r="A21" s="1478">
        <v>45117</v>
      </c>
      <c r="B21" s="472">
        <v>1</v>
      </c>
      <c r="C21" s="493"/>
      <c r="D21" s="494">
        <v>153</v>
      </c>
      <c r="E21" s="494">
        <v>10</v>
      </c>
      <c r="F21" s="495"/>
      <c r="G21" s="569"/>
      <c r="H21" s="514" t="s">
        <v>366</v>
      </c>
      <c r="I21" s="641" t="s">
        <v>576</v>
      </c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70"/>
      <c r="Z21" s="6"/>
      <c r="AA21" s="502"/>
      <c r="AB21" s="527"/>
      <c r="AC21" s="66"/>
      <c r="AD21" s="470"/>
      <c r="AE21" s="6"/>
      <c r="AF21" s="6"/>
      <c r="AG21" s="495"/>
      <c r="AH21" s="470"/>
      <c r="AI21" s="6"/>
      <c r="AJ21" s="6"/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31.95" customHeight="1" x14ac:dyDescent="0.35">
      <c r="A22" s="1477"/>
      <c r="B22" s="472">
        <v>2</v>
      </c>
      <c r="C22" s="493"/>
      <c r="D22" s="494">
        <v>17</v>
      </c>
      <c r="E22" s="494">
        <f>15+10+10+15+20+18+10</f>
        <v>98</v>
      </c>
      <c r="F22" s="495"/>
      <c r="G22" s="562"/>
      <c r="H22" s="515" t="s">
        <v>553</v>
      </c>
      <c r="I22" s="515" t="s">
        <v>152</v>
      </c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>
        <v>18</v>
      </c>
      <c r="X22" s="495"/>
      <c r="Y22" s="465"/>
      <c r="Z22" s="6"/>
      <c r="AA22" s="502" t="s">
        <v>152</v>
      </c>
      <c r="AB22" s="527"/>
      <c r="AC22" s="66"/>
      <c r="AD22" s="470"/>
      <c r="AE22" s="6"/>
      <c r="AF22" s="6"/>
      <c r="AG22" s="495"/>
      <c r="AH22" s="465"/>
      <c r="AI22" s="6"/>
      <c r="AJ22" s="6"/>
      <c r="AK22" s="607"/>
      <c r="AM22" s="470"/>
      <c r="AN22" s="6"/>
      <c r="AO22" s="6"/>
      <c r="AP22" s="47"/>
      <c r="AQ22" s="495"/>
      <c r="AR22" s="470"/>
      <c r="AS22" s="502"/>
      <c r="AT22" s="47"/>
      <c r="AU22" s="47"/>
      <c r="AV22" s="527"/>
    </row>
    <row r="23" spans="1:48" ht="47.5" customHeight="1" x14ac:dyDescent="0.35">
      <c r="A23" s="1478">
        <v>45118</v>
      </c>
      <c r="B23" s="534">
        <v>1</v>
      </c>
      <c r="C23" s="493"/>
      <c r="D23" s="494"/>
      <c r="E23" s="494">
        <f>8+5+8</f>
        <v>21</v>
      </c>
      <c r="F23" s="495"/>
      <c r="G23" s="566"/>
      <c r="H23" s="514"/>
      <c r="I23" s="515" t="s">
        <v>152</v>
      </c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465"/>
      <c r="Z23" s="514"/>
      <c r="AA23" s="515"/>
      <c r="AB23" s="527"/>
      <c r="AC23" s="66"/>
      <c r="AD23" s="470"/>
      <c r="AE23" s="6"/>
      <c r="AF23" s="6"/>
      <c r="AG23" s="495"/>
      <c r="AH23" s="6"/>
      <c r="AI23" s="514"/>
      <c r="AJ23" s="515"/>
      <c r="AK23" s="607"/>
      <c r="AM23" s="470"/>
      <c r="AN23" s="6"/>
      <c r="AO23" s="6"/>
      <c r="AP23" s="47"/>
      <c r="AQ23" s="495"/>
      <c r="AR23" s="6"/>
      <c r="AS23" s="514"/>
      <c r="AT23" s="573"/>
      <c r="AU23" s="573"/>
      <c r="AV23" s="527"/>
    </row>
    <row r="24" spans="1:48" ht="49.95" customHeight="1" x14ac:dyDescent="0.35">
      <c r="A24" s="1477"/>
      <c r="B24" s="472">
        <v>2</v>
      </c>
      <c r="C24" s="493"/>
      <c r="D24" s="494"/>
      <c r="E24" s="494">
        <f>15+15+15+10+10+13+10</f>
        <v>88</v>
      </c>
      <c r="F24" s="495"/>
      <c r="G24" s="566"/>
      <c r="H24" s="514"/>
      <c r="I24" s="515" t="s">
        <v>152</v>
      </c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/>
      <c r="X24" s="495"/>
      <c r="Y24" s="465"/>
      <c r="Z24" s="514"/>
      <c r="AA24" s="515"/>
      <c r="AB24" s="527"/>
      <c r="AC24" s="66"/>
      <c r="AD24" s="470"/>
      <c r="AE24" s="6"/>
      <c r="AF24" s="6"/>
      <c r="AG24" s="495"/>
      <c r="AH24" s="6"/>
      <c r="AI24" s="514"/>
      <c r="AJ24" s="6"/>
      <c r="AK24" s="607"/>
      <c r="AM24" s="470"/>
      <c r="AN24" s="6"/>
      <c r="AO24" s="6"/>
      <c r="AP24" s="47"/>
      <c r="AQ24" s="495"/>
      <c r="AR24" s="6"/>
      <c r="AS24" s="514"/>
      <c r="AT24" s="636"/>
      <c r="AU24" s="636"/>
      <c r="AV24" s="527"/>
    </row>
    <row r="25" spans="1:48" ht="46.2" customHeight="1" x14ac:dyDescent="0.35">
      <c r="A25" s="1478">
        <v>45119</v>
      </c>
      <c r="B25" s="472">
        <v>1</v>
      </c>
      <c r="C25" s="493"/>
      <c r="D25" s="494"/>
      <c r="E25" s="494"/>
      <c r="F25" s="495"/>
      <c r="G25" s="566"/>
      <c r="H25" s="514"/>
      <c r="I25" s="515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65"/>
      <c r="Z25" s="502"/>
      <c r="AA25" s="502"/>
      <c r="AB25" s="527"/>
      <c r="AC25" s="66"/>
      <c r="AD25" s="470"/>
      <c r="AE25" s="6"/>
      <c r="AF25" s="6"/>
      <c r="AG25" s="495"/>
      <c r="AH25" s="6"/>
      <c r="AI25" s="6"/>
      <c r="AJ25" s="6"/>
      <c r="AK25" s="607"/>
      <c r="AM25" s="470"/>
      <c r="AN25" s="6"/>
      <c r="AO25" s="6"/>
      <c r="AP25" s="47"/>
      <c r="AQ25" s="495"/>
      <c r="AR25" s="6"/>
      <c r="AS25" s="6"/>
      <c r="AT25" s="47"/>
      <c r="AU25" s="47"/>
      <c r="AV25" s="527"/>
    </row>
    <row r="26" spans="1:48" ht="42" customHeight="1" x14ac:dyDescent="0.35">
      <c r="A26" s="1477"/>
      <c r="B26" s="472">
        <v>2</v>
      </c>
      <c r="C26" s="493"/>
      <c r="D26" s="494">
        <f>7+22+33+54</f>
        <v>116</v>
      </c>
      <c r="E26" s="494"/>
      <c r="F26" s="495"/>
      <c r="G26" s="566"/>
      <c r="H26" s="515" t="s">
        <v>553</v>
      </c>
      <c r="I26" s="573"/>
      <c r="J26" s="527"/>
      <c r="K26" s="66"/>
      <c r="L26" s="470">
        <v>35</v>
      </c>
      <c r="M26" s="6">
        <v>14</v>
      </c>
      <c r="N26" s="6"/>
      <c r="O26" s="495"/>
      <c r="P26" s="566" t="s">
        <v>703</v>
      </c>
      <c r="Q26" s="515" t="s">
        <v>553</v>
      </c>
      <c r="R26" s="573"/>
      <c r="S26" s="527"/>
      <c r="T26" s="66"/>
      <c r="U26" s="470"/>
      <c r="V26" s="494"/>
      <c r="W26" s="6"/>
      <c r="X26" s="495"/>
      <c r="Y26" s="566"/>
      <c r="Z26" s="515"/>
      <c r="AA26" s="573"/>
      <c r="AB26" s="527"/>
      <c r="AC26" s="66"/>
      <c r="AD26" s="470">
        <v>86</v>
      </c>
      <c r="AE26" s="494"/>
      <c r="AF26" s="6">
        <v>10</v>
      </c>
      <c r="AG26" s="495"/>
      <c r="AH26" s="566" t="s">
        <v>704</v>
      </c>
      <c r="AI26" s="515"/>
      <c r="AJ26" s="573" t="s">
        <v>562</v>
      </c>
      <c r="AK26" s="527"/>
      <c r="AM26" s="470"/>
      <c r="AN26" s="494"/>
      <c r="AO26" s="6"/>
      <c r="AP26" s="651"/>
      <c r="AQ26" s="495"/>
      <c r="AR26" s="566"/>
      <c r="AS26" s="515"/>
      <c r="AT26" s="573"/>
      <c r="AU26" s="527"/>
      <c r="AV26" s="527"/>
    </row>
    <row r="27" spans="1:48" ht="49.95" customHeight="1" x14ac:dyDescent="0.35">
      <c r="A27" s="1478">
        <v>45120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>
        <v>20</v>
      </c>
      <c r="X27" s="495"/>
      <c r="Y27" s="566"/>
      <c r="Z27" s="514"/>
      <c r="AA27" s="515" t="s">
        <v>152</v>
      </c>
      <c r="AB27" s="527"/>
      <c r="AC27" s="66"/>
      <c r="AD27" s="470"/>
      <c r="AE27" s="6">
        <v>13</v>
      </c>
      <c r="AF27" s="6"/>
      <c r="AG27" s="495"/>
      <c r="AH27" s="6"/>
      <c r="AI27" s="6" t="s">
        <v>334</v>
      </c>
      <c r="AJ27" s="515"/>
      <c r="AK27" s="527"/>
      <c r="AM27" s="470"/>
      <c r="AN27" s="6"/>
      <c r="AO27" s="6"/>
      <c r="AP27" s="47"/>
      <c r="AQ27" s="495"/>
      <c r="AR27" s="6"/>
      <c r="AS27" s="6"/>
      <c r="AT27" s="573"/>
      <c r="AU27" s="527"/>
      <c r="AV27" s="527"/>
    </row>
    <row r="28" spans="1:48" ht="49.2" customHeight="1" x14ac:dyDescent="0.35">
      <c r="A28" s="1477"/>
      <c r="B28" s="472">
        <v>2</v>
      </c>
      <c r="C28" s="493">
        <v>34</v>
      </c>
      <c r="D28" s="494">
        <f>18+10+80</f>
        <v>108</v>
      </c>
      <c r="E28" s="494">
        <v>15</v>
      </c>
      <c r="F28" s="495"/>
      <c r="G28" s="515" t="s">
        <v>704</v>
      </c>
      <c r="H28" s="515" t="s">
        <v>706</v>
      </c>
      <c r="I28" s="515" t="s">
        <v>705</v>
      </c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/>
      <c r="V28" s="6"/>
      <c r="W28" s="66"/>
      <c r="X28" s="495"/>
      <c r="Y28" s="515"/>
      <c r="Z28" s="6"/>
      <c r="AA28" s="573"/>
      <c r="AB28" s="527"/>
      <c r="AC28" s="66"/>
      <c r="AD28" s="470"/>
      <c r="AE28" s="6"/>
      <c r="AF28" s="6"/>
      <c r="AG28" s="495"/>
      <c r="AH28" s="502"/>
      <c r="AI28" s="6"/>
      <c r="AJ28" s="573"/>
      <c r="AK28" s="527"/>
      <c r="AM28" s="470"/>
      <c r="AN28" s="6"/>
      <c r="AO28" s="6"/>
      <c r="AP28" s="47"/>
      <c r="AQ28" s="495"/>
      <c r="AR28" s="502"/>
      <c r="AS28" s="6"/>
      <c r="AT28" s="573"/>
      <c r="AU28" s="527"/>
      <c r="AV28" s="526"/>
    </row>
    <row r="29" spans="1:48" ht="45" customHeight="1" x14ac:dyDescent="0.35">
      <c r="A29" s="1478">
        <v>45121</v>
      </c>
      <c r="B29" s="472">
        <v>1</v>
      </c>
      <c r="C29" s="493"/>
      <c r="D29" s="494">
        <v>21</v>
      </c>
      <c r="E29" s="494"/>
      <c r="F29" s="495"/>
      <c r="G29" s="515"/>
      <c r="H29" s="514" t="s">
        <v>707</v>
      </c>
      <c r="I29" s="573"/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/>
      <c r="X29" s="495"/>
      <c r="Y29" s="566"/>
      <c r="Z29" s="514"/>
      <c r="AA29" s="573"/>
      <c r="AB29" s="527"/>
      <c r="AC29" s="66"/>
      <c r="AD29" s="470"/>
      <c r="AE29" s="6"/>
      <c r="AF29" s="6"/>
      <c r="AG29" s="495"/>
      <c r="AH29" s="566"/>
      <c r="AI29" s="514"/>
      <c r="AJ29" s="515"/>
      <c r="AK29" s="527"/>
      <c r="AM29" s="470"/>
      <c r="AN29" s="6"/>
      <c r="AO29" s="6"/>
      <c r="AP29" s="47"/>
      <c r="AQ29" s="495"/>
      <c r="AR29" s="566"/>
      <c r="AS29" s="514"/>
      <c r="AT29" s="515"/>
      <c r="AU29" s="527"/>
      <c r="AV29" s="508"/>
    </row>
    <row r="30" spans="1:48" ht="30.65" customHeight="1" x14ac:dyDescent="0.35">
      <c r="A30" s="1477"/>
      <c r="B30" s="534">
        <v>2</v>
      </c>
      <c r="C30" s="493"/>
      <c r="D30" s="494">
        <v>43</v>
      </c>
      <c r="E30" s="494"/>
      <c r="F30" s="495"/>
      <c r="G30" s="566"/>
      <c r="H30" s="514" t="s">
        <v>707</v>
      </c>
      <c r="I30" s="515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/>
      <c r="X30" s="495"/>
      <c r="Y30" s="566"/>
      <c r="Z30" s="514"/>
      <c r="AA30" s="515"/>
      <c r="AB30" s="527"/>
      <c r="AC30" s="66"/>
      <c r="AD30" s="470">
        <v>60</v>
      </c>
      <c r="AE30" s="6"/>
      <c r="AF30" s="6">
        <v>22</v>
      </c>
      <c r="AG30" s="495"/>
      <c r="AH30" s="565" t="s">
        <v>708</v>
      </c>
      <c r="AI30" s="514"/>
      <c r="AJ30" s="515" t="s">
        <v>562</v>
      </c>
      <c r="AK30" s="527"/>
      <c r="AM30" s="470"/>
      <c r="AN30" s="6"/>
      <c r="AO30" s="6"/>
      <c r="AP30" s="47"/>
      <c r="AQ30" s="495"/>
      <c r="AR30" s="509"/>
      <c r="AS30" s="502"/>
      <c r="AT30" s="636"/>
      <c r="AU30" s="527"/>
      <c r="AV30" s="508"/>
    </row>
    <row r="31" spans="1:48" ht="39.65" customHeight="1" x14ac:dyDescent="0.35">
      <c r="A31" s="1478">
        <v>45122</v>
      </c>
      <c r="B31" s="472">
        <v>1</v>
      </c>
      <c r="C31" s="493"/>
      <c r="D31" s="494"/>
      <c r="E31" s="494"/>
      <c r="F31" s="495"/>
      <c r="G31" s="566"/>
      <c r="H31" s="514"/>
      <c r="I31" s="515"/>
      <c r="J31" s="527"/>
      <c r="K31" s="66"/>
      <c r="L31" s="470"/>
      <c r="M31" s="6">
        <v>13</v>
      </c>
      <c r="N31" s="6"/>
      <c r="O31" s="495"/>
      <c r="P31" s="509"/>
      <c r="Q31" s="6" t="s">
        <v>709</v>
      </c>
      <c r="R31" s="6"/>
      <c r="S31" s="527"/>
      <c r="T31" s="66"/>
      <c r="U31" s="470"/>
      <c r="V31" s="6"/>
      <c r="W31" s="6"/>
      <c r="X31" s="495"/>
      <c r="Y31" s="469"/>
      <c r="Z31" s="6"/>
      <c r="AA31" s="6"/>
      <c r="AB31" s="527"/>
      <c r="AC31" s="66"/>
      <c r="AD31" s="470"/>
      <c r="AE31" s="6"/>
      <c r="AF31" s="6"/>
      <c r="AG31" s="495"/>
      <c r="AH31" s="509"/>
      <c r="AI31" s="6"/>
      <c r="AJ31" s="6"/>
      <c r="AK31" s="527"/>
      <c r="AM31" s="470"/>
      <c r="AN31" s="6"/>
      <c r="AO31" s="6"/>
      <c r="AP31" s="47"/>
      <c r="AQ31" s="495"/>
      <c r="AR31" s="509"/>
      <c r="AS31" s="6"/>
      <c r="AT31" s="6"/>
      <c r="AU31" s="527"/>
      <c r="AV31" s="527"/>
    </row>
    <row r="32" spans="1:48" ht="63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66"/>
      <c r="I32" s="565"/>
      <c r="J32" s="527"/>
      <c r="K32" s="66"/>
      <c r="L32" s="470"/>
      <c r="M32" s="6"/>
      <c r="N32" s="6"/>
      <c r="O32" s="495"/>
      <c r="P32" s="509"/>
      <c r="Q32" s="6"/>
      <c r="R32" s="6"/>
      <c r="S32" s="527"/>
      <c r="T32" s="66"/>
      <c r="U32" s="470"/>
      <c r="V32" s="6"/>
      <c r="W32" s="494"/>
      <c r="X32" s="495"/>
      <c r="Y32" s="566"/>
      <c r="Z32" s="566"/>
      <c r="AA32" s="565"/>
      <c r="AB32" s="527"/>
      <c r="AC32" s="66"/>
      <c r="AD32" s="470"/>
      <c r="AE32" s="6"/>
      <c r="AF32" s="494"/>
      <c r="AG32" s="495"/>
      <c r="AH32" s="566"/>
      <c r="AI32" s="566"/>
      <c r="AJ32" s="565"/>
      <c r="AK32" s="527"/>
      <c r="AM32" s="470"/>
      <c r="AN32" s="6"/>
      <c r="AO32" s="6"/>
      <c r="AP32" s="47"/>
      <c r="AQ32" s="495"/>
      <c r="AR32" s="509"/>
      <c r="AS32" s="502"/>
      <c r="AT32" s="636"/>
      <c r="AU32" s="527"/>
      <c r="AV32" s="508"/>
    </row>
    <row r="33" spans="1:48" ht="43.2" customHeight="1" x14ac:dyDescent="0.35">
      <c r="A33" s="1478">
        <v>45123</v>
      </c>
      <c r="B33" s="472">
        <v>1</v>
      </c>
      <c r="C33" s="493"/>
      <c r="D33" s="494"/>
      <c r="E33" s="494">
        <v>30</v>
      </c>
      <c r="F33" s="495"/>
      <c r="G33" s="566"/>
      <c r="H33" s="514"/>
      <c r="I33" s="565" t="s">
        <v>710</v>
      </c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/>
      <c r="X33" s="495"/>
      <c r="Y33" s="509"/>
      <c r="Z33" s="6"/>
      <c r="AA33" s="502"/>
      <c r="AB33" s="527"/>
      <c r="AC33" s="66"/>
      <c r="AD33" s="470"/>
      <c r="AE33" s="6"/>
      <c r="AF33" s="6"/>
      <c r="AG33" s="495"/>
      <c r="AH33" s="509"/>
      <c r="AI33" s="502"/>
      <c r="AJ33" s="6"/>
      <c r="AK33" s="527"/>
      <c r="AM33" s="470"/>
      <c r="AN33" s="6"/>
      <c r="AO33" s="6"/>
      <c r="AP33" s="47"/>
      <c r="AQ33" s="495"/>
      <c r="AR33" s="509"/>
      <c r="AS33" s="502"/>
      <c r="AT33" s="6"/>
      <c r="AU33" s="527"/>
      <c r="AV33" s="508"/>
    </row>
    <row r="34" spans="1:48" ht="67.95" customHeight="1" x14ac:dyDescent="0.35">
      <c r="A34" s="1477"/>
      <c r="B34" s="534">
        <v>2</v>
      </c>
      <c r="C34" s="494">
        <v>12</v>
      </c>
      <c r="D34" s="494"/>
      <c r="E34" s="494">
        <v>7</v>
      </c>
      <c r="F34" s="637"/>
      <c r="G34" s="565" t="s">
        <v>693</v>
      </c>
      <c r="H34" s="515"/>
      <c r="I34" s="515" t="s">
        <v>562</v>
      </c>
      <c r="J34" s="527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/>
      <c r="X34" s="508"/>
      <c r="Y34" s="502"/>
      <c r="Z34" s="502"/>
      <c r="AA34" s="565"/>
      <c r="AB34" s="527"/>
      <c r="AC34" s="66"/>
      <c r="AD34" s="470"/>
      <c r="AE34" s="6"/>
      <c r="AF34" s="6"/>
      <c r="AG34" s="508"/>
      <c r="AH34" s="509"/>
      <c r="AI34" s="6"/>
      <c r="AJ34" s="6"/>
      <c r="AK34" s="508"/>
      <c r="AM34" s="470"/>
      <c r="AN34" s="6"/>
      <c r="AO34" s="6"/>
      <c r="AP34" s="47"/>
      <c r="AQ34" s="508"/>
      <c r="AR34" s="509"/>
      <c r="AS34" s="6"/>
      <c r="AT34" s="6"/>
      <c r="AU34" s="47"/>
      <c r="AV34" s="508"/>
    </row>
    <row r="35" spans="1:48" ht="51" customHeight="1" x14ac:dyDescent="0.35">
      <c r="A35" s="1478">
        <v>45124</v>
      </c>
      <c r="B35" s="472">
        <v>1</v>
      </c>
      <c r="C35" s="494"/>
      <c r="D35" s="494"/>
      <c r="E35" s="47"/>
      <c r="F35" s="636"/>
      <c r="G35" s="465"/>
      <c r="H35" s="509"/>
      <c r="I35" s="502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/>
      <c r="X35" s="526"/>
      <c r="Y35" s="465"/>
      <c r="Z35" s="6"/>
      <c r="AA35" s="565"/>
      <c r="AB35" s="508"/>
      <c r="AC35" s="66"/>
      <c r="AD35" s="470"/>
      <c r="AE35" s="6"/>
      <c r="AF35" s="6"/>
      <c r="AG35" s="469"/>
      <c r="AH35" s="465"/>
      <c r="AI35" s="6"/>
      <c r="AJ35" s="565"/>
      <c r="AK35" s="508"/>
      <c r="AM35" s="470"/>
      <c r="AN35" s="6"/>
      <c r="AO35" s="47"/>
      <c r="AP35" s="47"/>
      <c r="AQ35" s="526"/>
      <c r="AR35" s="465"/>
      <c r="AS35" s="573"/>
      <c r="AT35" s="502"/>
      <c r="AU35" s="636"/>
      <c r="AV35" s="508"/>
    </row>
    <row r="36" spans="1:48" ht="46.95" customHeight="1" x14ac:dyDescent="0.35">
      <c r="A36" s="1477"/>
      <c r="B36" s="472">
        <v>2</v>
      </c>
      <c r="C36" s="47">
        <v>207</v>
      </c>
      <c r="D36" s="6"/>
      <c r="E36" s="47">
        <v>15</v>
      </c>
      <c r="F36" s="636"/>
      <c r="G36" s="573" t="s">
        <v>186</v>
      </c>
      <c r="H36" s="469"/>
      <c r="I36" s="515" t="s">
        <v>562</v>
      </c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/>
      <c r="W36" s="6">
        <v>33</v>
      </c>
      <c r="X36" s="469"/>
      <c r="Y36" s="465"/>
      <c r="Z36" s="502"/>
      <c r="AA36" s="565" t="s">
        <v>152</v>
      </c>
      <c r="AB36" s="508"/>
      <c r="AC36" s="66"/>
      <c r="AD36" s="470"/>
      <c r="AE36" s="6"/>
      <c r="AF36" s="47"/>
      <c r="AG36" s="526"/>
      <c r="AH36" s="465"/>
      <c r="AI36" s="502"/>
      <c r="AJ36" s="565"/>
      <c r="AK36" s="508"/>
      <c r="AM36" s="470"/>
      <c r="AN36" s="6"/>
      <c r="AO36" s="6"/>
      <c r="AP36" s="509"/>
      <c r="AQ36" s="469"/>
      <c r="AR36" s="465"/>
      <c r="AS36" s="502"/>
      <c r="AT36" s="502"/>
      <c r="AU36" s="636"/>
      <c r="AV36" s="508"/>
    </row>
    <row r="37" spans="1:48" ht="59.5" customHeight="1" x14ac:dyDescent="0.35">
      <c r="A37" s="1478">
        <v>45125</v>
      </c>
      <c r="B37" s="534">
        <v>1</v>
      </c>
      <c r="C37" s="47"/>
      <c r="D37" s="494"/>
      <c r="E37" s="47"/>
      <c r="F37" s="47"/>
      <c r="G37" s="573"/>
      <c r="H37" s="469"/>
      <c r="I37" s="573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>
        <v>25</v>
      </c>
      <c r="X37" s="508"/>
      <c r="Y37" s="509"/>
      <c r="Z37" s="502"/>
      <c r="AA37" s="565" t="s">
        <v>711</v>
      </c>
      <c r="AB37" s="527"/>
      <c r="AC37" s="66"/>
      <c r="AD37" s="470"/>
      <c r="AE37" s="6"/>
      <c r="AF37" s="6"/>
      <c r="AG37" s="508"/>
      <c r="AH37" s="509"/>
      <c r="AI37" s="6"/>
      <c r="AJ37" s="565"/>
      <c r="AK37" s="508"/>
      <c r="AM37" s="470"/>
      <c r="AN37" s="6"/>
      <c r="AO37" s="6"/>
      <c r="AP37" s="47"/>
      <c r="AQ37" s="508"/>
      <c r="AR37" s="509"/>
      <c r="AS37" s="6"/>
      <c r="AT37" s="6"/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/>
      <c r="E38" s="47">
        <v>10</v>
      </c>
      <c r="F38" s="637"/>
      <c r="G38" s="573"/>
      <c r="H38" s="469"/>
      <c r="I38" s="573" t="s">
        <v>152</v>
      </c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/>
      <c r="V38" s="6"/>
      <c r="W38" s="6">
        <f>5+7+10</f>
        <v>22</v>
      </c>
      <c r="X38" s="508"/>
      <c r="Y38" s="509"/>
      <c r="Z38" s="502"/>
      <c r="AA38" s="565" t="s">
        <v>712</v>
      </c>
      <c r="AB38" s="527"/>
      <c r="AC38" s="66"/>
      <c r="AD38" s="470">
        <v>328</v>
      </c>
      <c r="AE38" s="6"/>
      <c r="AF38" s="6">
        <v>23</v>
      </c>
      <c r="AG38" s="508"/>
      <c r="AH38" s="469" t="s">
        <v>186</v>
      </c>
      <c r="AI38" s="6"/>
      <c r="AJ38" s="502" t="s">
        <v>713</v>
      </c>
      <c r="AK38" s="527"/>
      <c r="AM38" s="470"/>
      <c r="AN38" s="6"/>
      <c r="AO38" s="6"/>
      <c r="AP38" s="47"/>
      <c r="AQ38" s="508"/>
      <c r="AR38" s="509"/>
      <c r="AS38" s="6"/>
      <c r="AT38" s="502"/>
      <c r="AU38" s="636"/>
      <c r="AV38" s="527"/>
    </row>
    <row r="39" spans="1:48" ht="39" customHeight="1" x14ac:dyDescent="0.35">
      <c r="A39" s="1478">
        <v>45126</v>
      </c>
      <c r="B39" s="472">
        <v>1</v>
      </c>
      <c r="C39" s="47"/>
      <c r="D39" s="494"/>
      <c r="E39" s="47">
        <v>17</v>
      </c>
      <c r="F39" s="495"/>
      <c r="G39" s="573"/>
      <c r="H39" s="514"/>
      <c r="I39" s="573" t="s">
        <v>140</v>
      </c>
      <c r="J39" s="568"/>
      <c r="K39" s="66"/>
      <c r="L39" s="470"/>
      <c r="M39" s="6"/>
      <c r="N39" s="6"/>
      <c r="O39" s="495"/>
      <c r="P39" s="566"/>
      <c r="Q39" s="514"/>
      <c r="R39" s="573"/>
      <c r="S39" s="568"/>
      <c r="T39" s="66"/>
      <c r="U39" s="470"/>
      <c r="V39" s="6"/>
      <c r="W39" s="6"/>
      <c r="X39" s="495"/>
      <c r="Y39" s="566"/>
      <c r="Z39" s="514"/>
      <c r="AA39" s="573"/>
      <c r="AB39" s="568"/>
      <c r="AC39" s="66"/>
      <c r="AD39" s="470"/>
      <c r="AE39" s="6"/>
      <c r="AF39" s="6"/>
      <c r="AG39" s="495"/>
      <c r="AH39" s="566"/>
      <c r="AI39" s="514"/>
      <c r="AJ39" s="573"/>
      <c r="AK39" s="568"/>
      <c r="AM39" s="470"/>
      <c r="AN39" s="6"/>
      <c r="AO39" s="6">
        <v>11</v>
      </c>
      <c r="AP39" s="47"/>
      <c r="AQ39" s="495"/>
      <c r="AR39" s="566"/>
      <c r="AS39" s="514"/>
      <c r="AT39" s="573" t="s">
        <v>152</v>
      </c>
      <c r="AU39" s="573"/>
      <c r="AV39" s="568"/>
    </row>
    <row r="40" spans="1:48" ht="72.650000000000006" customHeight="1" x14ac:dyDescent="0.35">
      <c r="A40" s="1477"/>
      <c r="B40" s="472">
        <v>2</v>
      </c>
      <c r="C40" s="494"/>
      <c r="D40" s="494"/>
      <c r="E40" s="494"/>
      <c r="F40" s="508"/>
      <c r="G40" s="573"/>
      <c r="H40" s="515"/>
      <c r="I40" s="573"/>
      <c r="J40" s="527"/>
      <c r="K40" s="66"/>
      <c r="L40" s="470"/>
      <c r="M40" s="6"/>
      <c r="N40" s="6"/>
      <c r="O40" s="508"/>
      <c r="P40" s="566"/>
      <c r="Q40" s="514"/>
      <c r="R40" s="573"/>
      <c r="S40" s="527"/>
      <c r="T40" s="66"/>
      <c r="U40" s="470">
        <v>145</v>
      </c>
      <c r="V40" s="6"/>
      <c r="W40" s="6">
        <v>51</v>
      </c>
      <c r="X40" s="508"/>
      <c r="Y40" s="566" t="s">
        <v>715</v>
      </c>
      <c r="Z40" s="514"/>
      <c r="AA40" s="573" t="s">
        <v>714</v>
      </c>
      <c r="AB40" s="527"/>
      <c r="AC40" s="66"/>
      <c r="AD40" s="470">
        <v>20</v>
      </c>
      <c r="AE40" s="6"/>
      <c r="AF40" s="6"/>
      <c r="AG40" s="508"/>
      <c r="AH40" s="465" t="s">
        <v>716</v>
      </c>
      <c r="AI40" s="514"/>
      <c r="AJ40" s="573"/>
      <c r="AK40" s="527"/>
      <c r="AM40" s="465">
        <v>58</v>
      </c>
      <c r="AN40" s="6"/>
      <c r="AO40" s="6">
        <v>12</v>
      </c>
      <c r="AP40" s="47"/>
      <c r="AQ40" s="508"/>
      <c r="AR40" s="566" t="s">
        <v>186</v>
      </c>
      <c r="AS40" s="514"/>
      <c r="AT40" s="573" t="s">
        <v>562</v>
      </c>
      <c r="AU40" s="573"/>
      <c r="AV40" s="527"/>
    </row>
    <row r="41" spans="1:48" ht="39.65" customHeight="1" x14ac:dyDescent="0.35">
      <c r="A41" s="1478">
        <v>45127</v>
      </c>
      <c r="B41" s="472">
        <v>1</v>
      </c>
      <c r="C41" s="493"/>
      <c r="D41" s="494"/>
      <c r="E41" s="494">
        <v>75</v>
      </c>
      <c r="F41" s="508"/>
      <c r="G41" s="566"/>
      <c r="H41" s="515"/>
      <c r="I41" s="573" t="s">
        <v>717</v>
      </c>
      <c r="J41" s="568"/>
      <c r="K41" s="66"/>
      <c r="L41" s="470"/>
      <c r="M41" s="6"/>
      <c r="N41" s="6">
        <v>67</v>
      </c>
      <c r="O41" s="508"/>
      <c r="P41" s="509"/>
      <c r="Q41" s="6"/>
      <c r="R41" s="573" t="s">
        <v>717</v>
      </c>
      <c r="S41" s="527"/>
      <c r="T41" s="66"/>
      <c r="U41" s="470"/>
      <c r="V41" s="6"/>
      <c r="W41" s="6">
        <v>78</v>
      </c>
      <c r="X41" s="508"/>
      <c r="Y41" s="509"/>
      <c r="Z41" s="502"/>
      <c r="AA41" s="573" t="s">
        <v>717</v>
      </c>
      <c r="AB41" s="508"/>
      <c r="AC41" s="66"/>
      <c r="AD41" s="470">
        <v>190</v>
      </c>
      <c r="AE41" s="6"/>
      <c r="AF41" s="6"/>
      <c r="AG41" s="508"/>
      <c r="AH41" s="465" t="s">
        <v>716</v>
      </c>
      <c r="AI41" s="502"/>
      <c r="AJ41" s="6"/>
      <c r="AK41" s="508"/>
      <c r="AM41" s="470"/>
      <c r="AN41" s="6"/>
      <c r="AO41" s="6">
        <v>83</v>
      </c>
      <c r="AP41" s="47"/>
      <c r="AQ41" s="508"/>
      <c r="AR41" s="509"/>
      <c r="AS41" s="502"/>
      <c r="AT41" s="573" t="s">
        <v>717</v>
      </c>
      <c r="AU41" s="47"/>
      <c r="AV41" s="508"/>
    </row>
    <row r="42" spans="1:48" ht="33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4"/>
      <c r="I42" s="573"/>
      <c r="J42" s="568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/>
      <c r="X42" s="508"/>
      <c r="Y42" s="469"/>
      <c r="Z42" s="6"/>
      <c r="AA42" s="502"/>
      <c r="AB42" s="527"/>
      <c r="AC42" s="66"/>
      <c r="AD42" s="470"/>
      <c r="AE42" s="6"/>
      <c r="AF42" s="6"/>
      <c r="AG42" s="508"/>
      <c r="AH42" s="509"/>
      <c r="AI42" s="6"/>
      <c r="AJ42" s="6"/>
      <c r="AK42" s="508"/>
      <c r="AM42" s="470"/>
      <c r="AN42" s="6"/>
      <c r="AO42" s="6"/>
      <c r="AP42" s="47"/>
      <c r="AQ42" s="508"/>
      <c r="AR42" s="509"/>
      <c r="AS42" s="6"/>
      <c r="AT42" s="6"/>
      <c r="AU42" s="47"/>
      <c r="AV42" s="508"/>
    </row>
    <row r="43" spans="1:48" ht="33.65" customHeight="1" x14ac:dyDescent="0.35">
      <c r="A43" s="1478">
        <v>45128</v>
      </c>
      <c r="B43" s="472">
        <v>1</v>
      </c>
      <c r="C43" s="494"/>
      <c r="D43" s="494"/>
      <c r="E43" s="494"/>
      <c r="F43" s="495"/>
      <c r="G43" s="514"/>
      <c r="H43" s="514"/>
      <c r="I43" s="515"/>
      <c r="J43" s="527"/>
      <c r="K43" s="66"/>
      <c r="L43" s="470"/>
      <c r="M43" s="6"/>
      <c r="N43" s="6"/>
      <c r="O43" s="508"/>
      <c r="P43" s="509"/>
      <c r="Q43" s="6"/>
      <c r="R43" s="6"/>
      <c r="S43" s="508"/>
      <c r="T43" s="66"/>
      <c r="U43" s="470"/>
      <c r="V43" s="6"/>
      <c r="W43" s="6"/>
      <c r="X43" s="508"/>
      <c r="Y43" s="509"/>
      <c r="Z43" s="6"/>
      <c r="AA43" s="515"/>
      <c r="AB43" s="508"/>
      <c r="AC43" s="66"/>
      <c r="AD43" s="470"/>
      <c r="AE43" s="6"/>
      <c r="AF43" s="6"/>
      <c r="AG43" s="508"/>
      <c r="AH43" s="502"/>
      <c r="AI43" s="515"/>
      <c r="AJ43" s="6"/>
      <c r="AK43" s="508"/>
      <c r="AM43" s="470"/>
      <c r="AN43" s="6"/>
      <c r="AO43" s="6"/>
      <c r="AP43" s="47"/>
      <c r="AQ43" s="508"/>
      <c r="AR43" s="502"/>
      <c r="AS43" s="515"/>
      <c r="AT43" s="6"/>
      <c r="AU43" s="47"/>
      <c r="AV43" s="508"/>
    </row>
    <row r="44" spans="1:48" ht="36" customHeight="1" x14ac:dyDescent="0.35">
      <c r="A44" s="1477"/>
      <c r="B44" s="472">
        <v>2</v>
      </c>
      <c r="C44" s="494"/>
      <c r="D44" s="494">
        <v>16</v>
      </c>
      <c r="E44" s="494"/>
      <c r="F44" s="495"/>
      <c r="G44" s="514"/>
      <c r="H44" s="514" t="s">
        <v>601</v>
      </c>
      <c r="I44" s="573"/>
      <c r="J44" s="527"/>
      <c r="K44" s="66"/>
      <c r="L44" s="470">
        <v>13</v>
      </c>
      <c r="M44" s="6"/>
      <c r="N44" s="6"/>
      <c r="O44" s="508"/>
      <c r="P44" s="469" t="s">
        <v>718</v>
      </c>
      <c r="Q44" s="6"/>
      <c r="R44" s="502"/>
      <c r="S44" s="627"/>
      <c r="T44" s="66"/>
      <c r="U44" s="470"/>
      <c r="V44" s="6">
        <v>78</v>
      </c>
      <c r="W44" s="494">
        <v>22</v>
      </c>
      <c r="X44" s="495"/>
      <c r="Y44" s="514"/>
      <c r="Z44" s="515" t="s">
        <v>601</v>
      </c>
      <c r="AA44" s="502" t="s">
        <v>152</v>
      </c>
      <c r="AB44" s="527"/>
      <c r="AC44" s="66"/>
      <c r="AD44" s="470"/>
      <c r="AE44" s="6"/>
      <c r="AF44" s="6">
        <v>17</v>
      </c>
      <c r="AG44" s="508"/>
      <c r="AH44" s="509"/>
      <c r="AI44" s="502"/>
      <c r="AJ44" s="502" t="s">
        <v>152</v>
      </c>
      <c r="AK44" s="508"/>
      <c r="AM44" s="470"/>
      <c r="AN44" s="6"/>
      <c r="AO44" s="6"/>
      <c r="AP44" s="47"/>
      <c r="AQ44" s="508"/>
      <c r="AR44" s="509"/>
      <c r="AS44" s="502"/>
      <c r="AT44" s="502"/>
      <c r="AU44" s="636"/>
      <c r="AV44" s="508"/>
    </row>
    <row r="45" spans="1:48" ht="48" customHeight="1" x14ac:dyDescent="0.35">
      <c r="A45" s="1478">
        <v>45129</v>
      </c>
      <c r="B45" s="472">
        <v>1</v>
      </c>
      <c r="C45" s="494"/>
      <c r="D45" s="494"/>
      <c r="E45" s="494"/>
      <c r="F45" s="495"/>
      <c r="G45" s="514"/>
      <c r="H45" s="514"/>
      <c r="I45" s="515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14"/>
      <c r="Z45" s="515"/>
      <c r="AA45" s="502"/>
      <c r="AB45" s="508"/>
      <c r="AC45" s="66"/>
      <c r="AD45" s="470"/>
      <c r="AE45" s="6"/>
      <c r="AF45" s="6"/>
      <c r="AG45" s="508"/>
      <c r="AH45" s="509"/>
      <c r="AI45" s="502"/>
      <c r="AJ45" s="6"/>
      <c r="AK45" s="508"/>
      <c r="AM45" s="470"/>
      <c r="AN45" s="6"/>
      <c r="AO45" s="6"/>
      <c r="AP45" s="47"/>
      <c r="AQ45" s="508"/>
      <c r="AR45" s="509"/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>
        <v>13</v>
      </c>
      <c r="F46" s="495"/>
      <c r="G46" s="514"/>
      <c r="H46" s="514"/>
      <c r="I46" s="515" t="s">
        <v>152</v>
      </c>
      <c r="J46" s="527"/>
      <c r="K46" s="66"/>
      <c r="L46" s="470"/>
      <c r="M46" s="6"/>
      <c r="N46" s="6"/>
      <c r="O46" s="633"/>
      <c r="P46" s="509"/>
      <c r="Q46" s="515"/>
      <c r="R46" s="6"/>
      <c r="S46" s="527"/>
      <c r="T46" s="66"/>
      <c r="U46" s="470"/>
      <c r="V46" s="6"/>
      <c r="W46" s="6">
        <v>19</v>
      </c>
      <c r="X46" s="508"/>
      <c r="Y46" s="469"/>
      <c r="Z46" s="6"/>
      <c r="AA46" s="502" t="s">
        <v>383</v>
      </c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/>
      <c r="AO46" s="6"/>
      <c r="AP46" s="47"/>
      <c r="AQ46" s="508"/>
      <c r="AR46" s="509"/>
      <c r="AS46" s="6"/>
      <c r="AT46" s="6"/>
      <c r="AU46" s="47"/>
      <c r="AV46" s="527"/>
    </row>
    <row r="47" spans="1:48" ht="36" customHeight="1" x14ac:dyDescent="0.35">
      <c r="A47" s="1478">
        <v>45130</v>
      </c>
      <c r="B47" s="472">
        <v>1</v>
      </c>
      <c r="C47" s="494"/>
      <c r="D47" s="494"/>
      <c r="E47" s="494"/>
      <c r="F47" s="495"/>
      <c r="G47" s="515"/>
      <c r="H47" s="514"/>
      <c r="I47" s="573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>
        <v>30</v>
      </c>
      <c r="X47" s="508"/>
      <c r="Y47" s="509"/>
      <c r="Z47" s="502"/>
      <c r="AA47" s="502" t="s">
        <v>152</v>
      </c>
      <c r="AB47" s="527"/>
      <c r="AC47" s="66"/>
      <c r="AD47" s="470"/>
      <c r="AE47" s="6"/>
      <c r="AF47" s="6"/>
      <c r="AG47" s="508"/>
      <c r="AH47" s="469"/>
      <c r="AI47" s="515"/>
      <c r="AJ47" s="6"/>
      <c r="AK47" s="508"/>
      <c r="AM47" s="470"/>
      <c r="AN47" s="6"/>
      <c r="AO47" s="6"/>
      <c r="AP47" s="47"/>
      <c r="AQ47" s="508"/>
      <c r="AR47" s="509"/>
      <c r="AS47" s="515"/>
      <c r="AT47" s="6"/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>
        <f>10+6+10</f>
        <v>26</v>
      </c>
      <c r="X48" s="508"/>
      <c r="Y48" s="469"/>
      <c r="Z48" s="6"/>
      <c r="AA48" s="502" t="s">
        <v>383</v>
      </c>
      <c r="AB48" s="508"/>
      <c r="AC48" s="66"/>
      <c r="AD48" s="470"/>
      <c r="AE48" s="6"/>
      <c r="AF48" s="6"/>
      <c r="AG48" s="508"/>
      <c r="AH48" s="509"/>
      <c r="AI48" s="502"/>
      <c r="AJ48" s="6"/>
      <c r="AK48" s="508"/>
      <c r="AM48" s="470"/>
      <c r="AN48" s="6"/>
      <c r="AO48" s="6"/>
      <c r="AP48" s="47"/>
      <c r="AQ48" s="508"/>
      <c r="AR48" s="509"/>
      <c r="AS48" s="502"/>
      <c r="AT48" s="6"/>
      <c r="AU48" s="47"/>
      <c r="AV48" s="508"/>
    </row>
    <row r="49" spans="1:48" ht="36" customHeight="1" x14ac:dyDescent="0.35">
      <c r="A49" s="1478">
        <v>45131</v>
      </c>
      <c r="B49" s="472">
        <v>1</v>
      </c>
      <c r="C49" s="494"/>
      <c r="D49" s="494"/>
      <c r="E49" s="494"/>
      <c r="F49" s="495"/>
      <c r="G49" s="515"/>
      <c r="H49" s="514"/>
      <c r="I49" s="573"/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/>
      <c r="X49" s="508"/>
      <c r="Y49" s="509"/>
      <c r="Z49" s="502"/>
      <c r="AA49" s="502"/>
      <c r="AB49" s="527"/>
      <c r="AC49" s="66"/>
      <c r="AD49" s="470"/>
      <c r="AE49" s="6"/>
      <c r="AF49" s="6"/>
      <c r="AG49" s="508"/>
      <c r="AH49" s="509"/>
      <c r="AI49" s="502"/>
      <c r="AJ49" s="573"/>
      <c r="AK49" s="508"/>
      <c r="AM49" s="470"/>
      <c r="AN49" s="6"/>
      <c r="AO49" s="6"/>
      <c r="AP49" s="47"/>
      <c r="AQ49" s="508"/>
      <c r="AR49" s="509"/>
      <c r="AS49" s="502"/>
      <c r="AT49" s="6"/>
      <c r="AU49" s="47"/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>
        <f>19+14</f>
        <v>33</v>
      </c>
      <c r="X50" s="495"/>
      <c r="Y50" s="515"/>
      <c r="Z50" s="514"/>
      <c r="AA50" s="573" t="s">
        <v>152</v>
      </c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47"/>
      <c r="AQ50" s="495"/>
      <c r="AR50" s="509"/>
      <c r="AS50" s="514"/>
      <c r="AT50" s="573"/>
      <c r="AU50" s="573"/>
      <c r="AV50" s="527"/>
    </row>
    <row r="51" spans="1:48" ht="34.950000000000003" customHeight="1" x14ac:dyDescent="0.35">
      <c r="A51" s="1478">
        <v>45132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>
        <f>12+10</f>
        <v>22</v>
      </c>
      <c r="X51" s="508"/>
      <c r="Y51" s="469"/>
      <c r="Z51" s="6"/>
      <c r="AA51" s="502" t="s">
        <v>304</v>
      </c>
      <c r="AB51" s="508"/>
      <c r="AC51" s="66"/>
      <c r="AD51" s="470"/>
      <c r="AE51" s="6"/>
      <c r="AF51" s="6"/>
      <c r="AG51" s="508"/>
      <c r="AH51" s="509"/>
      <c r="AI51" s="6"/>
      <c r="AJ51" s="6"/>
      <c r="AK51" s="508"/>
      <c r="AM51" s="470"/>
      <c r="AN51" s="6"/>
      <c r="AO51" s="6"/>
      <c r="AP51" s="47"/>
      <c r="AQ51" s="508"/>
      <c r="AR51" s="509"/>
      <c r="AS51" s="6"/>
      <c r="AT51" s="6"/>
      <c r="AU51" s="47"/>
      <c r="AV51" s="508"/>
    </row>
    <row r="52" spans="1:48" ht="49.2" customHeight="1" x14ac:dyDescent="0.35">
      <c r="A52" s="1477"/>
      <c r="B52" s="472">
        <v>2</v>
      </c>
      <c r="C52" s="494"/>
      <c r="D52" s="494">
        <v>10</v>
      </c>
      <c r="E52" s="494"/>
      <c r="F52" s="495"/>
      <c r="G52" s="515"/>
      <c r="H52" s="515" t="s">
        <v>719</v>
      </c>
      <c r="I52" s="573"/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/>
      <c r="W52" s="6"/>
      <c r="X52" s="495"/>
      <c r="Y52" s="515"/>
      <c r="Z52" s="515"/>
      <c r="AA52" s="573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8"/>
      <c r="AR52" s="509"/>
      <c r="AS52" s="6"/>
      <c r="AT52" s="6"/>
      <c r="AU52" s="47"/>
      <c r="AV52" s="508"/>
    </row>
    <row r="53" spans="1:48" ht="40.200000000000003" customHeight="1" x14ac:dyDescent="0.35">
      <c r="A53" s="1478">
        <v>45133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/>
      <c r="AP53" s="47"/>
      <c r="AQ53" s="508"/>
      <c r="AR53" s="509"/>
      <c r="AS53" s="502"/>
      <c r="AT53" s="6"/>
      <c r="AU53" s="47"/>
      <c r="AV53" s="508"/>
    </row>
    <row r="54" spans="1:48" ht="39.65" customHeight="1" x14ac:dyDescent="0.35">
      <c r="A54" s="1477"/>
      <c r="B54" s="500">
        <v>2</v>
      </c>
      <c r="C54" s="494"/>
      <c r="D54" s="494">
        <v>110</v>
      </c>
      <c r="E54" s="494">
        <v>14</v>
      </c>
      <c r="F54" s="495"/>
      <c r="G54" s="514"/>
      <c r="H54" s="514" t="s">
        <v>334</v>
      </c>
      <c r="I54" s="573" t="s">
        <v>152</v>
      </c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>
        <v>35</v>
      </c>
      <c r="X54" s="495"/>
      <c r="Y54" s="515"/>
      <c r="Z54" s="514"/>
      <c r="AA54" s="515" t="s">
        <v>152</v>
      </c>
      <c r="AB54" s="527"/>
      <c r="AC54" s="66"/>
      <c r="AD54" s="470"/>
      <c r="AE54" s="6"/>
      <c r="AF54" s="6"/>
      <c r="AG54" s="508"/>
      <c r="AH54" s="509"/>
      <c r="AI54" s="514"/>
      <c r="AJ54" s="6"/>
      <c r="AK54" s="527"/>
      <c r="AM54" s="470"/>
      <c r="AN54" s="6"/>
      <c r="AO54" s="6"/>
      <c r="AP54" s="47"/>
      <c r="AQ54" s="495"/>
      <c r="AR54" s="514"/>
      <c r="AS54" s="514"/>
      <c r="AT54" s="514"/>
      <c r="AU54" s="638"/>
      <c r="AV54" s="527"/>
    </row>
    <row r="55" spans="1:48" ht="39.65" customHeight="1" x14ac:dyDescent="0.35">
      <c r="A55" s="1478">
        <v>45134</v>
      </c>
      <c r="B55" s="472">
        <v>1</v>
      </c>
      <c r="C55" s="493"/>
      <c r="D55" s="494"/>
      <c r="E55" s="494"/>
      <c r="F55" s="495"/>
      <c r="G55" s="514"/>
      <c r="H55" s="514"/>
      <c r="I55" s="573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>
        <f>10+10+5+10</f>
        <v>35</v>
      </c>
      <c r="X55" s="508"/>
      <c r="Y55" s="509"/>
      <c r="Z55" s="515"/>
      <c r="AA55" s="6" t="s">
        <v>328</v>
      </c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47"/>
      <c r="AQ55" s="508"/>
      <c r="AR55" s="509"/>
      <c r="AS55" s="515"/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515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15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7"/>
      <c r="AQ56" s="495"/>
      <c r="AR56" s="515"/>
      <c r="AS56" s="514"/>
      <c r="AT56" s="515"/>
      <c r="AU56" s="573"/>
      <c r="AV56" s="527"/>
    </row>
    <row r="57" spans="1:48" ht="52.2" customHeight="1" x14ac:dyDescent="0.35">
      <c r="A57" s="1478">
        <v>45135</v>
      </c>
      <c r="B57" s="472">
        <v>1</v>
      </c>
      <c r="C57" s="493"/>
      <c r="D57" s="494"/>
      <c r="E57" s="494">
        <v>12</v>
      </c>
      <c r="F57" s="495"/>
      <c r="G57" s="515"/>
      <c r="H57" s="515"/>
      <c r="I57" s="573" t="s">
        <v>152</v>
      </c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>
        <v>27</v>
      </c>
      <c r="X57" s="495"/>
      <c r="Y57" s="515"/>
      <c r="Z57" s="514"/>
      <c r="AA57" s="515" t="s">
        <v>152</v>
      </c>
      <c r="AB57" s="527"/>
      <c r="AC57" s="66"/>
      <c r="AD57" s="470"/>
      <c r="AE57" s="6"/>
      <c r="AF57" s="6">
        <v>15</v>
      </c>
      <c r="AG57" s="495"/>
      <c r="AH57" s="515"/>
      <c r="AI57" s="514"/>
      <c r="AJ57" s="515" t="s">
        <v>152</v>
      </c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515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>
        <v>25</v>
      </c>
      <c r="X58" s="495"/>
      <c r="Y58" s="515"/>
      <c r="Z58" s="514"/>
      <c r="AA58" s="515" t="s">
        <v>152</v>
      </c>
      <c r="AB58" s="527"/>
      <c r="AC58" s="66"/>
      <c r="AD58" s="470"/>
      <c r="AE58" s="6"/>
      <c r="AF58" s="6"/>
      <c r="AG58" s="495"/>
      <c r="AH58" s="515"/>
      <c r="AI58" s="514"/>
      <c r="AJ58" s="515"/>
      <c r="AK58" s="527"/>
      <c r="AM58" s="470"/>
      <c r="AN58" s="6"/>
      <c r="AO58" s="6"/>
      <c r="AP58" s="47"/>
      <c r="AQ58" s="495"/>
      <c r="AR58" s="515"/>
      <c r="AS58" s="514"/>
      <c r="AT58" s="515"/>
      <c r="AU58" s="573"/>
      <c r="AV58" s="527"/>
    </row>
    <row r="59" spans="1:48" ht="73.2" customHeight="1" x14ac:dyDescent="0.35">
      <c r="A59" s="1478">
        <v>45136</v>
      </c>
      <c r="B59" s="472">
        <v>1</v>
      </c>
      <c r="C59" s="493"/>
      <c r="D59" s="494"/>
      <c r="E59" s="494"/>
      <c r="F59" s="495"/>
      <c r="G59" s="514"/>
      <c r="H59" s="514"/>
      <c r="I59" s="573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>
        <v>20</v>
      </c>
      <c r="X59" s="508"/>
      <c r="Y59" s="509"/>
      <c r="Z59" s="6"/>
      <c r="AA59" s="515" t="s">
        <v>152</v>
      </c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36" customHeight="1" x14ac:dyDescent="0.35">
      <c r="A60" s="1477"/>
      <c r="B60" s="500">
        <v>2</v>
      </c>
      <c r="C60" s="493"/>
      <c r="D60" s="494"/>
      <c r="E60" s="494">
        <v>10</v>
      </c>
      <c r="F60" s="495"/>
      <c r="G60" s="514"/>
      <c r="H60" s="515"/>
      <c r="I60" s="573" t="s">
        <v>325</v>
      </c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>
        <v>30</v>
      </c>
      <c r="X60" s="508"/>
      <c r="Y60" s="469"/>
      <c r="Z60" s="502"/>
      <c r="AA60" s="502" t="s">
        <v>325</v>
      </c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47"/>
      <c r="AQ60" s="508"/>
      <c r="AR60" s="509"/>
      <c r="AS60" s="6"/>
      <c r="AT60" s="502"/>
      <c r="AU60" s="636"/>
      <c r="AV60" s="527"/>
    </row>
    <row r="61" spans="1:48" ht="32.5" customHeight="1" x14ac:dyDescent="0.35">
      <c r="A61" s="1478">
        <v>45137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>
        <v>241</v>
      </c>
      <c r="AP61" s="47"/>
      <c r="AQ61" s="508"/>
      <c r="AR61" s="509"/>
      <c r="AS61" s="6"/>
      <c r="AT61" s="502" t="s">
        <v>720</v>
      </c>
      <c r="AU61" s="648"/>
      <c r="AV61" s="624"/>
    </row>
    <row r="62" spans="1:48" ht="62.5" customHeight="1" x14ac:dyDescent="0.35">
      <c r="A62" s="1477"/>
      <c r="B62" s="500">
        <v>2</v>
      </c>
      <c r="C62" s="618">
        <v>127</v>
      </c>
      <c r="D62" s="619"/>
      <c r="E62" s="619"/>
      <c r="F62" s="620"/>
      <c r="G62" s="617" t="s">
        <v>721</v>
      </c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47"/>
      <c r="AQ62" s="508"/>
      <c r="AR62" s="509"/>
      <c r="AS62" s="6"/>
      <c r="AT62" s="502"/>
      <c r="AU62" s="648"/>
      <c r="AV62" s="624"/>
    </row>
    <row r="63" spans="1:48" ht="33.65" customHeight="1" x14ac:dyDescent="0.35">
      <c r="A63" s="1478">
        <v>45138</v>
      </c>
      <c r="B63" s="472">
        <v>1</v>
      </c>
      <c r="C63" s="587"/>
      <c r="D63" s="588"/>
      <c r="E63" s="588"/>
      <c r="F63" s="589"/>
      <c r="G63" s="598"/>
      <c r="H63" s="590"/>
      <c r="I63" s="515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6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7"/>
      <c r="AQ63" s="495"/>
      <c r="AR63" s="566"/>
      <c r="AS63" s="514"/>
      <c r="AT63" s="514"/>
      <c r="AU63" s="649"/>
      <c r="AV63" s="586"/>
    </row>
    <row r="64" spans="1:48" ht="30.6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647"/>
      <c r="AQ64" s="528"/>
      <c r="AR64" s="529"/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762</v>
      </c>
      <c r="D65" s="65">
        <f>SUM(D3:D64)</f>
        <v>594</v>
      </c>
      <c r="E65" s="631">
        <f>SUM(E3:E64)</f>
        <v>738</v>
      </c>
      <c r="F65" s="65">
        <f>SUM(F3:F64)</f>
        <v>0</v>
      </c>
      <c r="L65" s="65">
        <f>SUM(L3:L64)</f>
        <v>48</v>
      </c>
      <c r="M65" s="65">
        <f>SUM(M3:M64)</f>
        <v>27</v>
      </c>
      <c r="N65" s="65">
        <f>SUM(N3:N64)</f>
        <v>155</v>
      </c>
      <c r="O65" s="65">
        <f>SUM(O3:O64)</f>
        <v>0</v>
      </c>
      <c r="U65" s="65">
        <f>SUM(U3:U64)</f>
        <v>275</v>
      </c>
      <c r="V65" s="65">
        <f>SUM(V3:V64)</f>
        <v>264</v>
      </c>
      <c r="W65" s="65">
        <f>SUM(W3:W64)</f>
        <v>798</v>
      </c>
      <c r="X65" s="65">
        <f>SUM(X3:X64)</f>
        <v>0</v>
      </c>
      <c r="AD65" s="65">
        <f>SUM(AD3:AD64)</f>
        <v>813</v>
      </c>
      <c r="AE65" s="65">
        <f>SUM(AE3:AE64)</f>
        <v>13</v>
      </c>
      <c r="AF65" s="65">
        <f>SUM(AF3:AF64)</f>
        <v>254</v>
      </c>
      <c r="AG65" s="65">
        <f>SUM(AG3:AG64)</f>
        <v>0</v>
      </c>
      <c r="AM65" s="65">
        <f>SUM(AM3:AM64)</f>
        <v>382</v>
      </c>
      <c r="AN65" s="65">
        <f>SUM(AN3:AN64)</f>
        <v>58</v>
      </c>
      <c r="AO65" s="65">
        <f>SUM(AO3:AO64)</f>
        <v>3817</v>
      </c>
      <c r="AP65" s="65"/>
      <c r="AQ65" s="65">
        <f>SUM(AQ3:AQ64)</f>
        <v>0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762</v>
      </c>
      <c r="D76" s="543">
        <f>C76/60</f>
        <v>12.7</v>
      </c>
      <c r="E76" s="542">
        <f>D65</f>
        <v>594</v>
      </c>
      <c r="F76" s="544">
        <f>E76/60</f>
        <v>9.9</v>
      </c>
      <c r="G76" s="542">
        <f>E65</f>
        <v>738</v>
      </c>
      <c r="H76" s="543">
        <f>G76/60</f>
        <v>12.3</v>
      </c>
      <c r="I76" s="542">
        <f>F65</f>
        <v>0</v>
      </c>
      <c r="J76" s="543">
        <f>I76/60</f>
        <v>0</v>
      </c>
    </row>
    <row r="77" spans="1:43" ht="19.5" customHeight="1" x14ac:dyDescent="0.4">
      <c r="B77" s="541" t="s">
        <v>219</v>
      </c>
      <c r="C77" s="545">
        <f>L65</f>
        <v>48</v>
      </c>
      <c r="D77" s="546">
        <f>C77/60</f>
        <v>0.8</v>
      </c>
      <c r="E77" s="545">
        <f>M65</f>
        <v>27</v>
      </c>
      <c r="F77" s="547">
        <f>E77/60</f>
        <v>0.45</v>
      </c>
      <c r="G77" s="545">
        <f>N65</f>
        <v>155</v>
      </c>
      <c r="H77" s="546">
        <f>G77/60</f>
        <v>2.5833333333333335</v>
      </c>
      <c r="I77" s="545">
        <f>O65</f>
        <v>0</v>
      </c>
      <c r="J77" s="546">
        <f>I77/60</f>
        <v>0</v>
      </c>
    </row>
    <row r="78" spans="1:43" ht="20.25" customHeight="1" x14ac:dyDescent="0.4">
      <c r="B78" s="541" t="s">
        <v>220</v>
      </c>
      <c r="C78" s="545">
        <f>U65</f>
        <v>275</v>
      </c>
      <c r="D78" s="546">
        <f>C78/60</f>
        <v>4.583333333333333</v>
      </c>
      <c r="E78" s="545">
        <f>V65</f>
        <v>264</v>
      </c>
      <c r="F78" s="547">
        <f>E78/60</f>
        <v>4.4000000000000004</v>
      </c>
      <c r="G78" s="545">
        <f>W65</f>
        <v>798</v>
      </c>
      <c r="H78" s="546">
        <f>G78/60</f>
        <v>13.3</v>
      </c>
      <c r="I78" s="545">
        <f>X65</f>
        <v>0</v>
      </c>
      <c r="J78" s="546">
        <f>I78/60</f>
        <v>0</v>
      </c>
    </row>
    <row r="79" spans="1:43" ht="22.5" customHeight="1" thickBot="1" x14ac:dyDescent="0.45">
      <c r="B79" s="541" t="s">
        <v>221</v>
      </c>
      <c r="C79" s="548">
        <f>AD65</f>
        <v>813</v>
      </c>
      <c r="D79" s="549">
        <f>C79/60</f>
        <v>13.55</v>
      </c>
      <c r="E79" s="548">
        <f>AE65</f>
        <v>13</v>
      </c>
      <c r="F79" s="550">
        <f>E79/60</f>
        <v>0.21666666666666667</v>
      </c>
      <c r="G79" s="548">
        <f>AF65</f>
        <v>254</v>
      </c>
      <c r="H79" s="549">
        <f>G79/60</f>
        <v>4.2333333333333334</v>
      </c>
      <c r="I79" s="548">
        <f>AG65</f>
        <v>0</v>
      </c>
      <c r="J79" s="549">
        <f>I79/60</f>
        <v>0</v>
      </c>
    </row>
    <row r="80" spans="1:43" ht="22.5" customHeight="1" thickBot="1" x14ac:dyDescent="0.45">
      <c r="B80" s="541" t="s">
        <v>488</v>
      </c>
      <c r="C80" s="643">
        <f>AM65</f>
        <v>382</v>
      </c>
      <c r="D80" s="642">
        <f>C80/60</f>
        <v>6.3666666666666663</v>
      </c>
      <c r="E80" s="643">
        <f>AN65</f>
        <v>58</v>
      </c>
      <c r="F80" s="644">
        <f>E80/60</f>
        <v>0.96666666666666667</v>
      </c>
      <c r="G80" s="643">
        <f>AO65</f>
        <v>3817</v>
      </c>
      <c r="H80" s="642">
        <f>G80/60</f>
        <v>63.616666666666667</v>
      </c>
      <c r="I80" s="643">
        <f>AQ65</f>
        <v>0</v>
      </c>
      <c r="J80" s="642">
        <f>I80/60</f>
        <v>0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38</v>
      </c>
      <c r="E82" s="556"/>
      <c r="F82" s="557">
        <f>SUM(F76:F80)</f>
        <v>15.933333333333334</v>
      </c>
      <c r="G82" s="556"/>
      <c r="H82" s="557">
        <f>SUM(H76:H80)</f>
        <v>96.033333333333331</v>
      </c>
      <c r="I82" s="556"/>
      <c r="J82" s="558">
        <f>AVERAGE(J76:J80)</f>
        <v>0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Q1"/>
    <mergeCell ref="AR1:AV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V82"/>
  <sheetViews>
    <sheetView zoomScale="55" zoomScaleNormal="55" workbookViewId="0">
      <pane xSplit="2" ySplit="2" topLeftCell="C39" activePane="bottomRight" state="frozen"/>
      <selection pane="topRight" activeCell="C1" sqref="C1"/>
      <selection pane="bottomLeft" activeCell="A3" sqref="A3"/>
      <selection pane="bottomRight" activeCell="J43" sqref="J43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3" width="10.69140625" style="423" customWidth="1"/>
    <col min="44" max="44" width="21.15234375" style="423" customWidth="1"/>
    <col min="45" max="45" width="26.3046875" style="423" customWidth="1"/>
    <col min="46" max="47" width="24.3828125" style="423" customWidth="1"/>
    <col min="48" max="48" width="26.53515625" style="423" customWidth="1"/>
    <col min="49" max="16384" width="8.84375" style="423"/>
  </cols>
  <sheetData>
    <row r="1" spans="1:48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3"/>
      <c r="AR1" s="1354" t="s">
        <v>206</v>
      </c>
      <c r="AS1" s="1354"/>
      <c r="AT1" s="1354"/>
      <c r="AU1" s="1354"/>
      <c r="AV1" s="1355"/>
    </row>
    <row r="2" spans="1:48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5" t="s">
        <v>204</v>
      </c>
      <c r="AR2" s="657" t="s">
        <v>199</v>
      </c>
      <c r="AS2" s="655" t="s">
        <v>200</v>
      </c>
      <c r="AT2" s="655" t="s">
        <v>201</v>
      </c>
      <c r="AU2" s="655" t="s">
        <v>204</v>
      </c>
      <c r="AV2" s="655" t="s">
        <v>204</v>
      </c>
    </row>
    <row r="3" spans="1:48" ht="30" customHeight="1" x14ac:dyDescent="0.35">
      <c r="A3" s="1478">
        <v>45139</v>
      </c>
      <c r="B3" s="501">
        <v>1</v>
      </c>
      <c r="C3" s="490"/>
      <c r="D3" s="491"/>
      <c r="E3" s="640"/>
      <c r="F3" s="492"/>
      <c r="G3" s="566"/>
      <c r="H3" s="514"/>
      <c r="I3" s="641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522">
        <v>8</v>
      </c>
      <c r="X3" s="508"/>
      <c r="Y3" s="469"/>
      <c r="Z3" s="521"/>
      <c r="AA3" s="600" t="s">
        <v>325</v>
      </c>
      <c r="AB3" s="601"/>
      <c r="AC3" s="66"/>
      <c r="AD3" s="507"/>
      <c r="AE3" s="522"/>
      <c r="AF3" s="6">
        <v>9</v>
      </c>
      <c r="AG3" s="520"/>
      <c r="AH3" s="521"/>
      <c r="AI3" s="521"/>
      <c r="AJ3" s="502" t="s">
        <v>325</v>
      </c>
      <c r="AK3" s="520"/>
      <c r="AM3" s="507"/>
      <c r="AN3" s="522"/>
      <c r="AO3" s="6"/>
      <c r="AP3" s="80"/>
      <c r="AQ3" s="520"/>
      <c r="AR3" s="521"/>
      <c r="AS3" s="538"/>
      <c r="AT3" s="6"/>
      <c r="AU3" s="80"/>
      <c r="AV3" s="520"/>
    </row>
    <row r="4" spans="1:48" ht="36.65" customHeight="1" x14ac:dyDescent="0.35">
      <c r="A4" s="1477"/>
      <c r="B4" s="472">
        <v>2</v>
      </c>
      <c r="C4" s="493"/>
      <c r="D4" s="494"/>
      <c r="E4" s="494"/>
      <c r="F4" s="495"/>
      <c r="G4" s="566"/>
      <c r="H4" s="514"/>
      <c r="I4" s="641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/>
      <c r="X4" s="508"/>
      <c r="Y4" s="469"/>
      <c r="Z4" s="514"/>
      <c r="AA4" s="579"/>
      <c r="AB4" s="603"/>
      <c r="AC4" s="66"/>
      <c r="AD4" s="470"/>
      <c r="AE4" s="6"/>
      <c r="AF4" s="6"/>
      <c r="AG4" s="508"/>
      <c r="AH4" s="509"/>
      <c r="AI4" s="514"/>
      <c r="AJ4" s="6"/>
      <c r="AK4" s="508"/>
      <c r="AM4" s="470"/>
      <c r="AN4" s="6"/>
      <c r="AO4" s="6"/>
      <c r="AP4" s="47"/>
      <c r="AQ4" s="508"/>
      <c r="AR4" s="509"/>
      <c r="AS4" s="515"/>
      <c r="AT4" s="6"/>
      <c r="AU4" s="47"/>
      <c r="AV4" s="508"/>
    </row>
    <row r="5" spans="1:48" ht="60" customHeight="1" x14ac:dyDescent="0.35">
      <c r="A5" s="1478">
        <v>45140</v>
      </c>
      <c r="B5" s="472">
        <v>1</v>
      </c>
      <c r="C5" s="493"/>
      <c r="D5" s="494"/>
      <c r="E5" s="494"/>
      <c r="F5" s="495"/>
      <c r="G5" s="566"/>
      <c r="H5" s="514"/>
      <c r="I5" s="515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>
        <v>30</v>
      </c>
      <c r="X5" s="508"/>
      <c r="Y5" s="469"/>
      <c r="Z5" s="6"/>
      <c r="AA5" s="579" t="s">
        <v>722</v>
      </c>
      <c r="AB5" s="604"/>
      <c r="AC5" s="66"/>
      <c r="AD5" s="470"/>
      <c r="AE5" s="6"/>
      <c r="AF5" s="6"/>
      <c r="AG5" s="508"/>
      <c r="AH5" s="509"/>
      <c r="AI5" s="6"/>
      <c r="AJ5" s="600"/>
      <c r="AK5" s="508"/>
      <c r="AM5" s="470"/>
      <c r="AN5" s="6"/>
      <c r="AO5" s="6"/>
      <c r="AP5" s="47"/>
      <c r="AQ5" s="508"/>
      <c r="AR5" s="509"/>
      <c r="AS5" s="6"/>
      <c r="AT5" s="502"/>
      <c r="AU5" s="636"/>
      <c r="AV5" s="526"/>
    </row>
    <row r="6" spans="1:48" ht="80.5" customHeight="1" x14ac:dyDescent="0.35">
      <c r="A6" s="1477"/>
      <c r="B6" s="472">
        <v>2</v>
      </c>
      <c r="C6" s="493"/>
      <c r="D6" s="494"/>
      <c r="E6" s="494">
        <v>15</v>
      </c>
      <c r="F6" s="495"/>
      <c r="G6" s="565"/>
      <c r="H6" s="514"/>
      <c r="I6" s="515" t="s">
        <v>152</v>
      </c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>
        <v>200</v>
      </c>
      <c r="V6" s="6"/>
      <c r="W6" s="6">
        <v>20</v>
      </c>
      <c r="X6" s="508"/>
      <c r="Y6" s="469" t="s">
        <v>583</v>
      </c>
      <c r="Z6" s="6"/>
      <c r="AA6" s="579" t="s">
        <v>562</v>
      </c>
      <c r="AB6" s="508"/>
      <c r="AC6" s="66"/>
      <c r="AD6" s="470"/>
      <c r="AE6" s="6"/>
      <c r="AF6" s="6"/>
      <c r="AG6" s="508"/>
      <c r="AH6" s="509"/>
      <c r="AI6" s="6"/>
      <c r="AJ6" s="6"/>
      <c r="AK6" s="508"/>
      <c r="AM6" s="470"/>
      <c r="AN6" s="6"/>
      <c r="AO6" s="6"/>
      <c r="AP6" s="47"/>
      <c r="AQ6" s="508"/>
      <c r="AR6" s="509"/>
      <c r="AS6" s="6"/>
      <c r="AT6" s="502"/>
      <c r="AU6" s="636"/>
      <c r="AV6" s="526"/>
    </row>
    <row r="7" spans="1:48" ht="71.5" customHeight="1" x14ac:dyDescent="0.35">
      <c r="A7" s="1478">
        <v>45141</v>
      </c>
      <c r="B7" s="472">
        <v>1</v>
      </c>
      <c r="C7" s="493"/>
      <c r="D7" s="494"/>
      <c r="E7" s="494">
        <v>6</v>
      </c>
      <c r="F7" s="495"/>
      <c r="G7" s="566"/>
      <c r="H7" s="515"/>
      <c r="I7" s="515" t="s">
        <v>576</v>
      </c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6"/>
      <c r="W7" s="6"/>
      <c r="X7" s="508"/>
      <c r="Y7" s="509"/>
      <c r="Z7" s="6"/>
      <c r="AA7" s="579"/>
      <c r="AB7" s="508"/>
      <c r="AC7" s="66"/>
      <c r="AD7" s="470"/>
      <c r="AE7" s="6"/>
      <c r="AF7" s="6"/>
      <c r="AG7" s="508"/>
      <c r="AH7" s="509"/>
      <c r="AI7" s="6"/>
      <c r="AJ7" s="6"/>
      <c r="AK7" s="508"/>
      <c r="AM7" s="470"/>
      <c r="AN7" s="6"/>
      <c r="AO7" s="6"/>
      <c r="AP7" s="47"/>
      <c r="AQ7" s="508"/>
      <c r="AR7" s="509"/>
      <c r="AS7" s="6"/>
      <c r="AT7" s="515"/>
      <c r="AU7" s="573"/>
      <c r="AV7" s="526"/>
    </row>
    <row r="8" spans="1:48" ht="69.650000000000006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515"/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>
        <v>7</v>
      </c>
      <c r="X8" s="508"/>
      <c r="Y8" s="469"/>
      <c r="Z8" s="6"/>
      <c r="AA8" s="579" t="s">
        <v>325</v>
      </c>
      <c r="AB8" s="527"/>
      <c r="AC8" s="66"/>
      <c r="AD8" s="470">
        <v>223</v>
      </c>
      <c r="AE8" s="6"/>
      <c r="AF8" s="6">
        <v>29</v>
      </c>
      <c r="AG8" s="508"/>
      <c r="AH8" s="509" t="s">
        <v>583</v>
      </c>
      <c r="AI8" s="502"/>
      <c r="AJ8" s="515" t="s">
        <v>723</v>
      </c>
      <c r="AK8" s="527"/>
      <c r="AM8" s="470"/>
      <c r="AN8" s="6"/>
      <c r="AO8" s="6"/>
      <c r="AP8" s="47"/>
      <c r="AQ8" s="508"/>
      <c r="AR8" s="509"/>
      <c r="AS8" s="6"/>
      <c r="AT8" s="6"/>
      <c r="AU8" s="47"/>
      <c r="AV8" s="526"/>
    </row>
    <row r="9" spans="1:48" ht="76.95" customHeight="1" x14ac:dyDescent="0.35">
      <c r="A9" s="1478">
        <v>45142</v>
      </c>
      <c r="B9" s="472">
        <v>1</v>
      </c>
      <c r="C9" s="493"/>
      <c r="D9" s="494"/>
      <c r="E9" s="494"/>
      <c r="F9" s="495"/>
      <c r="G9" s="565"/>
      <c r="H9" s="514"/>
      <c r="I9" s="515"/>
      <c r="J9" s="527"/>
      <c r="K9" s="66"/>
      <c r="L9" s="470"/>
      <c r="M9" s="6"/>
      <c r="N9" s="6"/>
      <c r="O9" s="508"/>
      <c r="P9" s="469"/>
      <c r="Q9" s="515"/>
      <c r="R9" s="502"/>
      <c r="S9" s="527"/>
      <c r="T9" s="66"/>
      <c r="U9" s="470"/>
      <c r="V9" s="6"/>
      <c r="W9" s="6"/>
      <c r="X9" s="508"/>
      <c r="Y9" s="509"/>
      <c r="Z9" s="6"/>
      <c r="AA9" s="579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508"/>
      <c r="AR9" s="509"/>
      <c r="AS9" s="6"/>
      <c r="AT9" s="502"/>
      <c r="AU9" s="636"/>
      <c r="AV9" s="526"/>
    </row>
    <row r="10" spans="1:48" ht="67.2" customHeight="1" x14ac:dyDescent="0.35">
      <c r="A10" s="1477"/>
      <c r="B10" s="472">
        <v>2</v>
      </c>
      <c r="C10" s="493"/>
      <c r="D10" s="494"/>
      <c r="E10" s="494">
        <v>5</v>
      </c>
      <c r="F10" s="495"/>
      <c r="G10" s="566"/>
      <c r="H10" s="514"/>
      <c r="I10" s="641" t="s">
        <v>152</v>
      </c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/>
      <c r="V10" s="6">
        <v>164</v>
      </c>
      <c r="W10" s="6">
        <v>6</v>
      </c>
      <c r="X10" s="508"/>
      <c r="Y10" s="465"/>
      <c r="Z10" s="469" t="s">
        <v>96</v>
      </c>
      <c r="AA10" s="579" t="s">
        <v>562</v>
      </c>
      <c r="AB10" s="527"/>
      <c r="AC10" s="66"/>
      <c r="AD10" s="470"/>
      <c r="AE10" s="6"/>
      <c r="AF10" s="6"/>
      <c r="AG10" s="508"/>
      <c r="AH10" s="469"/>
      <c r="AI10" s="502"/>
      <c r="AJ10" s="6"/>
      <c r="AK10" s="527"/>
      <c r="AM10" s="470"/>
      <c r="AN10" s="6"/>
      <c r="AO10" s="6"/>
      <c r="AP10" s="47"/>
      <c r="AQ10" s="508"/>
      <c r="AR10" s="509"/>
      <c r="AS10" s="6"/>
      <c r="AT10" s="6"/>
      <c r="AU10" s="47"/>
      <c r="AV10" s="526"/>
    </row>
    <row r="11" spans="1:48" ht="60" customHeight="1" x14ac:dyDescent="0.35">
      <c r="A11" s="1478">
        <v>45143</v>
      </c>
      <c r="B11" s="472">
        <v>1</v>
      </c>
      <c r="C11" s="493"/>
      <c r="D11" s="494"/>
      <c r="E11" s="494">
        <v>21</v>
      </c>
      <c r="F11" s="495"/>
      <c r="G11" s="565"/>
      <c r="H11" s="514"/>
      <c r="I11" s="515" t="s">
        <v>724</v>
      </c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579"/>
      <c r="AB11" s="508"/>
      <c r="AC11" s="66"/>
      <c r="AD11" s="470"/>
      <c r="AE11" s="6"/>
      <c r="AF11" s="6"/>
      <c r="AG11" s="508"/>
      <c r="AH11" s="509"/>
      <c r="AI11" s="6"/>
      <c r="AJ11" s="6"/>
      <c r="AK11" s="508"/>
      <c r="AM11" s="470"/>
      <c r="AN11" s="6"/>
      <c r="AO11" s="6"/>
      <c r="AP11" s="47"/>
      <c r="AQ11" s="508"/>
      <c r="AR11" s="509"/>
      <c r="AS11" s="6"/>
      <c r="AT11" s="6"/>
      <c r="AU11" s="47"/>
      <c r="AV11" s="526"/>
    </row>
    <row r="12" spans="1:48" ht="55.2" customHeight="1" x14ac:dyDescent="0.35">
      <c r="A12" s="1477"/>
      <c r="B12" s="472">
        <v>2</v>
      </c>
      <c r="C12" s="493"/>
      <c r="D12" s="494"/>
      <c r="E12" s="494"/>
      <c r="F12" s="495"/>
      <c r="G12" s="566"/>
      <c r="H12" s="514"/>
      <c r="I12" s="515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509"/>
      <c r="Z12" s="6"/>
      <c r="AA12" s="579"/>
      <c r="AB12" s="527"/>
      <c r="AC12" s="66"/>
      <c r="AD12" s="470"/>
      <c r="AE12" s="6"/>
      <c r="AF12" s="6"/>
      <c r="AG12" s="508"/>
      <c r="AH12" s="509"/>
      <c r="AI12" s="502"/>
      <c r="AJ12" s="6"/>
      <c r="AK12" s="527"/>
      <c r="AM12" s="470"/>
      <c r="AN12" s="6"/>
      <c r="AO12" s="6"/>
      <c r="AP12" s="47"/>
      <c r="AQ12" s="508"/>
      <c r="AR12" s="509"/>
      <c r="AS12" s="6"/>
      <c r="AT12" s="6"/>
      <c r="AU12" s="47"/>
      <c r="AV12" s="527"/>
    </row>
    <row r="13" spans="1:48" ht="34.950000000000003" customHeight="1" x14ac:dyDescent="0.35">
      <c r="A13" s="1478">
        <v>45144</v>
      </c>
      <c r="B13" s="472">
        <v>1</v>
      </c>
      <c r="C13" s="493"/>
      <c r="D13" s="494"/>
      <c r="E13" s="494"/>
      <c r="F13" s="495"/>
      <c r="G13" s="566"/>
      <c r="H13" s="514"/>
      <c r="I13" s="515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/>
      <c r="X13" s="495"/>
      <c r="Y13" s="469"/>
      <c r="Z13" s="502"/>
      <c r="AA13" s="6"/>
      <c r="AB13" s="527"/>
      <c r="AC13" s="66"/>
      <c r="AD13" s="470"/>
      <c r="AE13" s="6"/>
      <c r="AF13" s="6"/>
      <c r="AG13" s="495"/>
      <c r="AH13" s="509"/>
      <c r="AI13" s="6"/>
      <c r="AJ13" s="6"/>
      <c r="AK13" s="527"/>
      <c r="AM13" s="470"/>
      <c r="AN13" s="6"/>
      <c r="AO13" s="6"/>
      <c r="AP13" s="47"/>
      <c r="AQ13" s="495"/>
      <c r="AR13" s="509"/>
      <c r="AS13" s="6"/>
      <c r="AT13" s="6"/>
      <c r="AU13" s="47"/>
      <c r="AV13" s="527"/>
    </row>
    <row r="14" spans="1:48" ht="49.2" customHeight="1" x14ac:dyDescent="0.35">
      <c r="A14" s="1477"/>
      <c r="B14" s="472">
        <v>2</v>
      </c>
      <c r="C14" s="493"/>
      <c r="D14" s="494"/>
      <c r="E14" s="494"/>
      <c r="F14" s="495"/>
      <c r="G14" s="566"/>
      <c r="H14" s="515"/>
      <c r="I14" s="515"/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02"/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/>
      <c r="AN14" s="6"/>
      <c r="AO14" s="6"/>
      <c r="AP14" s="47"/>
      <c r="AQ14" s="495"/>
      <c r="AR14" s="469"/>
      <c r="AS14" s="6"/>
      <c r="AT14" s="6"/>
      <c r="AU14" s="47"/>
      <c r="AV14" s="527"/>
    </row>
    <row r="15" spans="1:48" ht="48" customHeight="1" x14ac:dyDescent="0.35">
      <c r="A15" s="1478">
        <v>45145</v>
      </c>
      <c r="B15" s="472">
        <v>1</v>
      </c>
      <c r="C15" s="493"/>
      <c r="D15" s="494">
        <v>129</v>
      </c>
      <c r="E15" s="6"/>
      <c r="F15" s="495">
        <v>180</v>
      </c>
      <c r="G15" s="566"/>
      <c r="H15" s="515" t="s">
        <v>726</v>
      </c>
      <c r="I15" s="515"/>
      <c r="J15" s="527" t="s">
        <v>725</v>
      </c>
      <c r="K15" s="66"/>
      <c r="L15" s="470"/>
      <c r="M15" s="6"/>
      <c r="N15" s="6"/>
      <c r="O15" s="495">
        <v>180</v>
      </c>
      <c r="P15" s="566"/>
      <c r="Q15" s="515"/>
      <c r="R15" s="515"/>
      <c r="S15" s="527" t="s">
        <v>725</v>
      </c>
      <c r="T15" s="66"/>
      <c r="U15" s="470"/>
      <c r="V15" s="6"/>
      <c r="W15" s="6"/>
      <c r="X15" s="495">
        <v>180</v>
      </c>
      <c r="Y15" s="566"/>
      <c r="Z15" s="515"/>
      <c r="AA15" s="515"/>
      <c r="AB15" s="527" t="s">
        <v>725</v>
      </c>
      <c r="AC15" s="66"/>
      <c r="AD15" s="470"/>
      <c r="AE15" s="6"/>
      <c r="AF15" s="66"/>
      <c r="AG15" s="495">
        <v>180</v>
      </c>
      <c r="AH15" s="566"/>
      <c r="AI15" s="515"/>
      <c r="AJ15" s="515"/>
      <c r="AK15" s="527" t="s">
        <v>725</v>
      </c>
      <c r="AM15" s="470"/>
      <c r="AN15" s="6"/>
      <c r="AO15" s="66"/>
      <c r="AP15" s="495">
        <v>180</v>
      </c>
      <c r="AQ15" s="566"/>
      <c r="AR15" s="515"/>
      <c r="AS15" s="515"/>
      <c r="AT15" s="515"/>
      <c r="AU15" s="527" t="s">
        <v>725</v>
      </c>
      <c r="AV15" s="527"/>
    </row>
    <row r="16" spans="1:48" ht="54.65" customHeight="1" x14ac:dyDescent="0.35">
      <c r="A16" s="1477"/>
      <c r="B16" s="472">
        <v>2</v>
      </c>
      <c r="C16" s="493"/>
      <c r="D16" s="494"/>
      <c r="E16" s="494">
        <v>32</v>
      </c>
      <c r="F16" s="495"/>
      <c r="G16" s="565"/>
      <c r="H16" s="638"/>
      <c r="I16" s="641" t="s">
        <v>727</v>
      </c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/>
      <c r="W16" s="6">
        <v>10</v>
      </c>
      <c r="X16" s="495"/>
      <c r="Y16" s="565"/>
      <c r="Z16" s="638"/>
      <c r="AA16" s="515" t="s">
        <v>152</v>
      </c>
      <c r="AB16" s="527"/>
      <c r="AC16" s="66"/>
      <c r="AD16" s="470"/>
      <c r="AE16" s="6"/>
      <c r="AF16" s="6"/>
      <c r="AG16" s="495"/>
      <c r="AH16" s="565"/>
      <c r="AI16" s="638"/>
      <c r="AJ16" s="6"/>
      <c r="AK16" s="527"/>
      <c r="AM16" s="470">
        <v>390</v>
      </c>
      <c r="AN16" s="6"/>
      <c r="AO16" s="6">
        <v>27</v>
      </c>
      <c r="AP16" s="495"/>
      <c r="AQ16" s="565" t="s">
        <v>583</v>
      </c>
      <c r="AR16" s="638"/>
      <c r="AS16" s="515"/>
      <c r="AT16" s="515" t="s">
        <v>723</v>
      </c>
      <c r="AU16" s="573"/>
      <c r="AV16" s="527"/>
    </row>
    <row r="17" spans="1:48" ht="66" customHeight="1" x14ac:dyDescent="0.35">
      <c r="A17" s="1478">
        <v>45146</v>
      </c>
      <c r="B17" s="534">
        <v>1</v>
      </c>
      <c r="C17" s="493"/>
      <c r="D17" s="494"/>
      <c r="E17" s="494"/>
      <c r="F17" s="495">
        <v>108</v>
      </c>
      <c r="G17" s="566"/>
      <c r="H17" s="514"/>
      <c r="I17" s="515"/>
      <c r="J17" s="527" t="s">
        <v>728</v>
      </c>
      <c r="K17" s="66"/>
      <c r="L17" s="470"/>
      <c r="M17" s="6"/>
      <c r="N17" s="6"/>
      <c r="O17" s="495">
        <v>108</v>
      </c>
      <c r="P17" s="566"/>
      <c r="Q17" s="514"/>
      <c r="R17" s="515"/>
      <c r="S17" s="527" t="s">
        <v>728</v>
      </c>
      <c r="T17" s="66"/>
      <c r="U17" s="470"/>
      <c r="V17" s="6"/>
      <c r="W17" s="6"/>
      <c r="X17" s="495">
        <v>108</v>
      </c>
      <c r="Y17" s="566"/>
      <c r="Z17" s="514"/>
      <c r="AA17" s="515"/>
      <c r="AB17" s="527" t="s">
        <v>728</v>
      </c>
      <c r="AC17" s="66"/>
      <c r="AD17" s="470"/>
      <c r="AE17" s="6"/>
      <c r="AF17" s="6"/>
      <c r="AG17" s="495">
        <v>108</v>
      </c>
      <c r="AH17" s="566"/>
      <c r="AI17" s="514"/>
      <c r="AJ17" s="515"/>
      <c r="AK17" s="527" t="s">
        <v>728</v>
      </c>
      <c r="AM17" s="470"/>
      <c r="AN17" s="6"/>
      <c r="AO17" s="6"/>
      <c r="AP17" s="495">
        <v>108</v>
      </c>
      <c r="AQ17" s="566"/>
      <c r="AR17" s="514"/>
      <c r="AS17" s="515"/>
      <c r="AT17" s="515"/>
      <c r="AU17" s="527" t="s">
        <v>728</v>
      </c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>
        <v>56</v>
      </c>
      <c r="F18" s="495"/>
      <c r="G18" s="565"/>
      <c r="H18" s="638"/>
      <c r="I18" s="515" t="s">
        <v>152</v>
      </c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6">
        <v>28</v>
      </c>
      <c r="X18" s="495"/>
      <c r="Y18" s="565"/>
      <c r="Z18" s="515"/>
      <c r="AA18" s="515" t="s">
        <v>152</v>
      </c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/>
      <c r="AP18" s="47"/>
      <c r="AQ18" s="495"/>
      <c r="AR18" s="565"/>
      <c r="AS18" s="515"/>
      <c r="AT18" s="515"/>
      <c r="AU18" s="638"/>
      <c r="AV18" s="527"/>
    </row>
    <row r="19" spans="1:48" ht="33.65" customHeight="1" x14ac:dyDescent="0.35">
      <c r="A19" s="1478">
        <v>45147</v>
      </c>
      <c r="B19" s="472">
        <v>1</v>
      </c>
      <c r="C19" s="66"/>
      <c r="D19" s="494"/>
      <c r="E19" s="494">
        <v>12</v>
      </c>
      <c r="F19" s="495"/>
      <c r="G19" s="465"/>
      <c r="H19" s="6"/>
      <c r="I19" s="515" t="s">
        <v>152</v>
      </c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>
        <v>30</v>
      </c>
      <c r="X19" s="495"/>
      <c r="Y19" s="470"/>
      <c r="Z19" s="502"/>
      <c r="AA19" s="515" t="s">
        <v>152</v>
      </c>
      <c r="AB19" s="527"/>
      <c r="AC19" s="66"/>
      <c r="AD19" s="470"/>
      <c r="AE19" s="6"/>
      <c r="AF19" s="6">
        <v>10</v>
      </c>
      <c r="AG19" s="495"/>
      <c r="AH19" s="470"/>
      <c r="AI19" s="6"/>
      <c r="AJ19" s="6" t="s">
        <v>152</v>
      </c>
      <c r="AK19" s="527"/>
      <c r="AM19" s="470"/>
      <c r="AN19" s="6"/>
      <c r="AO19" s="6"/>
      <c r="AP19" s="47"/>
      <c r="AQ19" s="495"/>
      <c r="AR19" s="470"/>
      <c r="AS19" s="6"/>
      <c r="AT19" s="515"/>
      <c r="AU19" s="636"/>
      <c r="AV19" s="527"/>
    </row>
    <row r="20" spans="1:48" ht="31.2" customHeight="1" x14ac:dyDescent="0.35">
      <c r="A20" s="1477"/>
      <c r="B20" s="472">
        <v>2</v>
      </c>
      <c r="C20" s="493"/>
      <c r="D20" s="494"/>
      <c r="E20" s="494">
        <v>18</v>
      </c>
      <c r="F20" s="495"/>
      <c r="G20" s="465"/>
      <c r="H20" s="502"/>
      <c r="I20" s="515" t="s">
        <v>152</v>
      </c>
      <c r="J20" s="527"/>
      <c r="K20" s="66"/>
      <c r="L20" s="470"/>
      <c r="M20" s="6"/>
      <c r="N20" s="6"/>
      <c r="O20" s="495"/>
      <c r="P20" s="470"/>
      <c r="Q20" s="502"/>
      <c r="R20" s="605"/>
      <c r="S20" s="527"/>
      <c r="T20" s="66"/>
      <c r="U20" s="470"/>
      <c r="V20" s="214"/>
      <c r="W20" s="6"/>
      <c r="X20" s="495"/>
      <c r="Y20" s="470"/>
      <c r="Z20" s="502"/>
      <c r="AA20" s="605"/>
      <c r="AB20" s="527"/>
      <c r="AC20" s="66"/>
      <c r="AD20" s="470"/>
      <c r="AE20" s="6"/>
      <c r="AF20" s="6"/>
      <c r="AG20" s="495"/>
      <c r="AH20" s="470"/>
      <c r="AI20" s="502"/>
      <c r="AJ20" s="625"/>
      <c r="AK20" s="527"/>
      <c r="AM20" s="470"/>
      <c r="AN20" s="6"/>
      <c r="AO20" s="6"/>
      <c r="AP20" s="47"/>
      <c r="AQ20" s="495"/>
      <c r="AR20" s="470"/>
      <c r="AS20" s="502"/>
      <c r="AT20" s="502"/>
      <c r="AU20" s="66"/>
      <c r="AV20" s="527"/>
    </row>
    <row r="21" spans="1:48" ht="39.65" customHeight="1" x14ac:dyDescent="0.35">
      <c r="A21" s="1478">
        <v>45148</v>
      </c>
      <c r="B21" s="472">
        <v>1</v>
      </c>
      <c r="C21" s="493"/>
      <c r="D21" s="494"/>
      <c r="E21" s="494"/>
      <c r="F21" s="495"/>
      <c r="G21" s="569"/>
      <c r="H21" s="514"/>
      <c r="I21" s="641"/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70"/>
      <c r="Z21" s="6"/>
      <c r="AA21" s="502"/>
      <c r="AB21" s="527"/>
      <c r="AC21" s="66"/>
      <c r="AD21" s="470"/>
      <c r="AE21" s="6"/>
      <c r="AF21" s="6"/>
      <c r="AG21" s="495"/>
      <c r="AH21" s="470"/>
      <c r="AI21" s="6"/>
      <c r="AJ21" s="6"/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31.95" customHeight="1" x14ac:dyDescent="0.35">
      <c r="A22" s="1477"/>
      <c r="B22" s="472">
        <v>2</v>
      </c>
      <c r="C22" s="493"/>
      <c r="D22" s="494"/>
      <c r="E22" s="494">
        <v>18</v>
      </c>
      <c r="F22" s="495"/>
      <c r="G22" s="562"/>
      <c r="H22" s="515"/>
      <c r="I22" s="515" t="s">
        <v>152</v>
      </c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>
        <v>20</v>
      </c>
      <c r="X22" s="495"/>
      <c r="Y22" s="465"/>
      <c r="Z22" s="6"/>
      <c r="AA22" s="502" t="s">
        <v>152</v>
      </c>
      <c r="AB22" s="527"/>
      <c r="AC22" s="66"/>
      <c r="AD22" s="470"/>
      <c r="AE22" s="6"/>
      <c r="AF22" s="6"/>
      <c r="AG22" s="495"/>
      <c r="AH22" s="465"/>
      <c r="AI22" s="6"/>
      <c r="AJ22" s="6"/>
      <c r="AK22" s="607"/>
      <c r="AM22" s="470"/>
      <c r="AN22" s="6">
        <v>50</v>
      </c>
      <c r="AO22" s="6"/>
      <c r="AP22" s="47"/>
      <c r="AQ22" s="495"/>
      <c r="AR22" s="470"/>
      <c r="AS22" s="502" t="s">
        <v>334</v>
      </c>
      <c r="AT22" s="47"/>
      <c r="AU22" s="47"/>
      <c r="AV22" s="527"/>
    </row>
    <row r="23" spans="1:48" ht="47.5" customHeight="1" x14ac:dyDescent="0.35">
      <c r="A23" s="1478">
        <v>45149</v>
      </c>
      <c r="B23" s="534">
        <v>1</v>
      </c>
      <c r="C23" s="493"/>
      <c r="D23" s="494"/>
      <c r="E23" s="494"/>
      <c r="F23" s="495"/>
      <c r="G23" s="566"/>
      <c r="H23" s="514"/>
      <c r="I23" s="515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465"/>
      <c r="Z23" s="514"/>
      <c r="AA23" s="515"/>
      <c r="AB23" s="527"/>
      <c r="AC23" s="66"/>
      <c r="AD23" s="470"/>
      <c r="AE23" s="6"/>
      <c r="AF23" s="6"/>
      <c r="AG23" s="495"/>
      <c r="AH23" s="6"/>
      <c r="AI23" s="514"/>
      <c r="AJ23" s="515"/>
      <c r="AK23" s="607"/>
      <c r="AM23" s="470"/>
      <c r="AN23" s="6"/>
      <c r="AO23" s="6"/>
      <c r="AP23" s="47"/>
      <c r="AQ23" s="495"/>
      <c r="AR23" s="6"/>
      <c r="AS23" s="514"/>
      <c r="AT23" s="573"/>
      <c r="AU23" s="573"/>
      <c r="AV23" s="527"/>
    </row>
    <row r="24" spans="1:48" ht="49.95" customHeight="1" x14ac:dyDescent="0.35">
      <c r="A24" s="1477"/>
      <c r="B24" s="472">
        <v>2</v>
      </c>
      <c r="C24" s="493"/>
      <c r="D24" s="494"/>
      <c r="E24" s="494"/>
      <c r="F24" s="495">
        <v>77</v>
      </c>
      <c r="G24" s="566"/>
      <c r="H24" s="514"/>
      <c r="I24" s="515"/>
      <c r="J24" s="527" t="s">
        <v>728</v>
      </c>
      <c r="K24" s="66"/>
      <c r="L24" s="470"/>
      <c r="M24" s="6"/>
      <c r="N24" s="6"/>
      <c r="O24" s="495">
        <v>77</v>
      </c>
      <c r="P24" s="566"/>
      <c r="Q24" s="514"/>
      <c r="R24" s="515"/>
      <c r="S24" s="527" t="s">
        <v>728</v>
      </c>
      <c r="T24" s="66"/>
      <c r="U24" s="470"/>
      <c r="V24" s="6"/>
      <c r="W24" s="6"/>
      <c r="X24" s="495">
        <v>77</v>
      </c>
      <c r="Y24" s="566"/>
      <c r="Z24" s="514"/>
      <c r="AA24" s="515"/>
      <c r="AB24" s="527" t="s">
        <v>728</v>
      </c>
      <c r="AC24" s="66"/>
      <c r="AD24" s="470"/>
      <c r="AE24" s="6"/>
      <c r="AF24" s="6"/>
      <c r="AG24" s="495">
        <v>77</v>
      </c>
      <c r="AH24" s="566"/>
      <c r="AI24" s="514"/>
      <c r="AJ24" s="515"/>
      <c r="AK24" s="527" t="s">
        <v>728</v>
      </c>
      <c r="AM24" s="470"/>
      <c r="AN24" s="6"/>
      <c r="AO24" s="6"/>
      <c r="AP24" s="495">
        <v>77</v>
      </c>
      <c r="AQ24" s="566"/>
      <c r="AR24" s="514"/>
      <c r="AS24" s="515"/>
      <c r="AT24" s="527"/>
      <c r="AU24" s="527" t="s">
        <v>728</v>
      </c>
      <c r="AV24" s="527"/>
    </row>
    <row r="25" spans="1:48" ht="46.2" customHeight="1" x14ac:dyDescent="0.35">
      <c r="A25" s="1478">
        <v>45150</v>
      </c>
      <c r="B25" s="472">
        <v>1</v>
      </c>
      <c r="C25" s="493"/>
      <c r="D25" s="494"/>
      <c r="E25" s="494">
        <f>8+13+10</f>
        <v>31</v>
      </c>
      <c r="F25" s="495"/>
      <c r="G25" s="566"/>
      <c r="H25" s="514"/>
      <c r="I25" s="515" t="s">
        <v>152</v>
      </c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>
        <v>22</v>
      </c>
      <c r="X25" s="495"/>
      <c r="Y25" s="465"/>
      <c r="Z25" s="502"/>
      <c r="AA25" s="502" t="s">
        <v>152</v>
      </c>
      <c r="AB25" s="527"/>
      <c r="AC25" s="66"/>
      <c r="AD25" s="470"/>
      <c r="AE25" s="6"/>
      <c r="AF25" s="6">
        <v>43</v>
      </c>
      <c r="AG25" s="495"/>
      <c r="AH25" s="6"/>
      <c r="AI25" s="6"/>
      <c r="AJ25" s="6" t="s">
        <v>729</v>
      </c>
      <c r="AK25" s="607"/>
      <c r="AM25" s="470"/>
      <c r="AN25" s="6"/>
      <c r="AO25" s="6"/>
      <c r="AP25" s="47"/>
      <c r="AQ25" s="495"/>
      <c r="AR25" s="6"/>
      <c r="AS25" s="6"/>
      <c r="AT25" s="47"/>
      <c r="AU25" s="47"/>
      <c r="AV25" s="527"/>
    </row>
    <row r="26" spans="1:48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573"/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/>
      <c r="V26" s="494"/>
      <c r="W26" s="6"/>
      <c r="X26" s="495"/>
      <c r="Y26" s="566"/>
      <c r="Z26" s="515"/>
      <c r="AA26" s="573"/>
      <c r="AB26" s="527"/>
      <c r="AC26" s="66"/>
      <c r="AD26" s="470"/>
      <c r="AE26" s="494"/>
      <c r="AF26" s="6"/>
      <c r="AG26" s="495"/>
      <c r="AH26" s="566"/>
      <c r="AI26" s="515"/>
      <c r="AJ26" s="573"/>
      <c r="AK26" s="527"/>
      <c r="AM26" s="470"/>
      <c r="AN26" s="494"/>
      <c r="AO26" s="6"/>
      <c r="AP26" s="651"/>
      <c r="AQ26" s="495"/>
      <c r="AR26" s="566"/>
      <c r="AS26" s="515"/>
      <c r="AT26" s="573"/>
      <c r="AU26" s="527"/>
      <c r="AV26" s="527"/>
    </row>
    <row r="27" spans="1:48" ht="49.95" customHeight="1" x14ac:dyDescent="0.35">
      <c r="A27" s="1478">
        <v>45151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/>
      <c r="X27" s="495"/>
      <c r="Y27" s="566"/>
      <c r="Z27" s="514"/>
      <c r="AA27" s="515"/>
      <c r="AB27" s="527"/>
      <c r="AC27" s="66"/>
      <c r="AD27" s="470"/>
      <c r="AE27" s="6"/>
      <c r="AF27" s="6">
        <v>45</v>
      </c>
      <c r="AG27" s="495"/>
      <c r="AH27" s="6"/>
      <c r="AI27" s="6"/>
      <c r="AJ27" s="515" t="s">
        <v>730</v>
      </c>
      <c r="AK27" s="527"/>
      <c r="AM27" s="470"/>
      <c r="AN27" s="6"/>
      <c r="AO27" s="6"/>
      <c r="AP27" s="47"/>
      <c r="AQ27" s="495"/>
      <c r="AR27" s="6"/>
      <c r="AS27" s="6"/>
      <c r="AT27" s="573"/>
      <c r="AU27" s="527"/>
      <c r="AV27" s="527"/>
    </row>
    <row r="28" spans="1:48" ht="49.2" customHeight="1" x14ac:dyDescent="0.35">
      <c r="A28" s="1477"/>
      <c r="B28" s="472">
        <v>2</v>
      </c>
      <c r="C28" s="493">
        <v>111</v>
      </c>
      <c r="D28" s="494"/>
      <c r="E28" s="494"/>
      <c r="F28" s="495"/>
      <c r="G28" s="515" t="s">
        <v>731</v>
      </c>
      <c r="H28" s="515"/>
      <c r="I28" s="515"/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/>
      <c r="V28" s="6"/>
      <c r="W28" s="66">
        <v>33</v>
      </c>
      <c r="X28" s="495"/>
      <c r="Y28" s="515"/>
      <c r="Z28" s="6"/>
      <c r="AA28" s="573" t="s">
        <v>655</v>
      </c>
      <c r="AB28" s="527"/>
      <c r="AC28" s="66"/>
      <c r="AD28" s="470"/>
      <c r="AE28" s="6"/>
      <c r="AF28" s="6"/>
      <c r="AG28" s="495"/>
      <c r="AH28" s="502"/>
      <c r="AI28" s="6"/>
      <c r="AJ28" s="573"/>
      <c r="AK28" s="527"/>
      <c r="AM28" s="470"/>
      <c r="AN28" s="6"/>
      <c r="AO28" s="6"/>
      <c r="AP28" s="47"/>
      <c r="AQ28" s="495"/>
      <c r="AR28" s="502"/>
      <c r="AS28" s="6"/>
      <c r="AT28" s="573"/>
      <c r="AU28" s="527"/>
      <c r="AV28" s="526"/>
    </row>
    <row r="29" spans="1:48" ht="45" customHeight="1" x14ac:dyDescent="0.35">
      <c r="A29" s="1478">
        <v>45152</v>
      </c>
      <c r="B29" s="472">
        <v>1</v>
      </c>
      <c r="C29" s="493"/>
      <c r="D29" s="494"/>
      <c r="E29" s="494">
        <v>22</v>
      </c>
      <c r="F29" s="495"/>
      <c r="G29" s="515"/>
      <c r="H29" s="514"/>
      <c r="I29" s="573" t="s">
        <v>152</v>
      </c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/>
      <c r="X29" s="495"/>
      <c r="Y29" s="566"/>
      <c r="Z29" s="514"/>
      <c r="AA29" s="573"/>
      <c r="AB29" s="527"/>
      <c r="AC29" s="66"/>
      <c r="AD29" s="470"/>
      <c r="AE29" s="6"/>
      <c r="AF29" s="6"/>
      <c r="AG29" s="495"/>
      <c r="AH29" s="566"/>
      <c r="AI29" s="514"/>
      <c r="AJ29" s="515"/>
      <c r="AK29" s="527"/>
      <c r="AM29" s="470"/>
      <c r="AN29" s="6"/>
      <c r="AO29" s="6"/>
      <c r="AP29" s="47"/>
      <c r="AQ29" s="495"/>
      <c r="AR29" s="566"/>
      <c r="AS29" s="514"/>
      <c r="AT29" s="515"/>
      <c r="AU29" s="527"/>
      <c r="AV29" s="508"/>
    </row>
    <row r="30" spans="1:48" ht="39.6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4"/>
      <c r="I30" s="515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/>
      <c r="X30" s="495"/>
      <c r="Y30" s="566"/>
      <c r="Z30" s="514"/>
      <c r="AA30" s="515"/>
      <c r="AB30" s="527"/>
      <c r="AC30" s="66"/>
      <c r="AD30" s="470"/>
      <c r="AE30" s="6"/>
      <c r="AF30" s="6"/>
      <c r="AG30" s="495"/>
      <c r="AH30" s="565"/>
      <c r="AI30" s="514"/>
      <c r="AJ30" s="515"/>
      <c r="AK30" s="527"/>
      <c r="AM30" s="470"/>
      <c r="AN30" s="6"/>
      <c r="AO30" s="6"/>
      <c r="AP30" s="47"/>
      <c r="AQ30" s="495"/>
      <c r="AR30" s="509"/>
      <c r="AS30" s="502"/>
      <c r="AT30" s="636"/>
      <c r="AU30" s="527"/>
      <c r="AV30" s="508"/>
    </row>
    <row r="31" spans="1:48" ht="39.65" customHeight="1" x14ac:dyDescent="0.35">
      <c r="A31" s="1478">
        <v>45153</v>
      </c>
      <c r="B31" s="472">
        <v>1</v>
      </c>
      <c r="C31" s="493"/>
      <c r="D31" s="494"/>
      <c r="E31" s="494"/>
      <c r="F31" s="495"/>
      <c r="G31" s="566"/>
      <c r="H31" s="514"/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469"/>
      <c r="Z31" s="6"/>
      <c r="AA31" s="6"/>
      <c r="AB31" s="527"/>
      <c r="AC31" s="66"/>
      <c r="AD31" s="470"/>
      <c r="AE31" s="6"/>
      <c r="AF31" s="6"/>
      <c r="AG31" s="495"/>
      <c r="AH31" s="509"/>
      <c r="AI31" s="6"/>
      <c r="AJ31" s="6"/>
      <c r="AK31" s="527"/>
      <c r="AM31" s="470"/>
      <c r="AN31" s="6"/>
      <c r="AO31" s="6"/>
      <c r="AP31" s="47"/>
      <c r="AQ31" s="495"/>
      <c r="AR31" s="509"/>
      <c r="AS31" s="6"/>
      <c r="AT31" s="6"/>
      <c r="AU31" s="527"/>
      <c r="AV31" s="527"/>
    </row>
    <row r="32" spans="1:48" ht="63" customHeight="1" x14ac:dyDescent="0.35">
      <c r="A32" s="1477"/>
      <c r="B32" s="472">
        <v>2</v>
      </c>
      <c r="C32" s="493"/>
      <c r="D32" s="494"/>
      <c r="E32" s="494">
        <v>16</v>
      </c>
      <c r="F32" s="495"/>
      <c r="G32" s="566"/>
      <c r="H32" s="566"/>
      <c r="I32" s="573" t="s">
        <v>152</v>
      </c>
      <c r="J32" s="527"/>
      <c r="K32" s="66"/>
      <c r="L32" s="470"/>
      <c r="M32" s="6"/>
      <c r="N32" s="6"/>
      <c r="O32" s="495"/>
      <c r="P32" s="509"/>
      <c r="Q32" s="6"/>
      <c r="R32" s="6"/>
      <c r="S32" s="527"/>
      <c r="T32" s="66"/>
      <c r="U32" s="470"/>
      <c r="V32" s="6"/>
      <c r="W32" s="494"/>
      <c r="X32" s="495"/>
      <c r="Y32" s="566"/>
      <c r="Z32" s="566"/>
      <c r="AA32" s="565"/>
      <c r="AB32" s="527"/>
      <c r="AC32" s="66"/>
      <c r="AD32" s="470"/>
      <c r="AE32" s="6"/>
      <c r="AF32" s="494"/>
      <c r="AG32" s="495"/>
      <c r="AH32" s="566"/>
      <c r="AI32" s="566"/>
      <c r="AJ32" s="565"/>
      <c r="AK32" s="527"/>
      <c r="AM32" s="470"/>
      <c r="AN32" s="6"/>
      <c r="AO32" s="6"/>
      <c r="AP32" s="47"/>
      <c r="AQ32" s="495"/>
      <c r="AR32" s="509"/>
      <c r="AS32" s="502"/>
      <c r="AT32" s="636"/>
      <c r="AU32" s="527"/>
      <c r="AV32" s="508"/>
    </row>
    <row r="33" spans="1:48" ht="43.2" customHeight="1" x14ac:dyDescent="0.35">
      <c r="A33" s="1478">
        <v>45154</v>
      </c>
      <c r="B33" s="472">
        <v>1</v>
      </c>
      <c r="C33" s="493"/>
      <c r="D33" s="494"/>
      <c r="E33" s="494">
        <v>13</v>
      </c>
      <c r="F33" s="495"/>
      <c r="G33" s="566"/>
      <c r="H33" s="514"/>
      <c r="I33" s="573" t="s">
        <v>152</v>
      </c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>
        <v>9</v>
      </c>
      <c r="X33" s="495"/>
      <c r="Y33" s="509"/>
      <c r="Z33" s="6"/>
      <c r="AA33" s="502" t="s">
        <v>152</v>
      </c>
      <c r="AB33" s="527"/>
      <c r="AC33" s="66"/>
      <c r="AD33" s="470"/>
      <c r="AE33" s="6"/>
      <c r="AF33" s="6"/>
      <c r="AG33" s="495"/>
      <c r="AH33" s="509"/>
      <c r="AI33" s="502"/>
      <c r="AJ33" s="6"/>
      <c r="AK33" s="527"/>
      <c r="AM33" s="470"/>
      <c r="AN33" s="6"/>
      <c r="AO33" s="6"/>
      <c r="AP33" s="47"/>
      <c r="AQ33" s="495"/>
      <c r="AR33" s="509"/>
      <c r="AS33" s="502"/>
      <c r="AT33" s="6"/>
      <c r="AU33" s="527"/>
      <c r="AV33" s="508"/>
    </row>
    <row r="34" spans="1:48" ht="67.95" customHeight="1" x14ac:dyDescent="0.35">
      <c r="A34" s="1477"/>
      <c r="B34" s="534">
        <v>2</v>
      </c>
      <c r="C34" s="494"/>
      <c r="D34" s="494"/>
      <c r="E34" s="494"/>
      <c r="F34" s="637">
        <v>65</v>
      </c>
      <c r="G34" s="565"/>
      <c r="H34" s="515"/>
      <c r="I34" s="515"/>
      <c r="J34" s="527" t="s">
        <v>613</v>
      </c>
      <c r="K34" s="66"/>
      <c r="L34" s="470"/>
      <c r="M34" s="6"/>
      <c r="N34" s="6"/>
      <c r="O34" s="508">
        <v>64</v>
      </c>
      <c r="P34" s="509"/>
      <c r="Q34" s="515"/>
      <c r="R34" s="6"/>
      <c r="S34" s="527" t="s">
        <v>613</v>
      </c>
      <c r="T34" s="66"/>
      <c r="U34" s="470"/>
      <c r="V34" s="6"/>
      <c r="W34" s="6"/>
      <c r="X34" s="508">
        <v>67</v>
      </c>
      <c r="Y34" s="502"/>
      <c r="Z34" s="502"/>
      <c r="AA34" s="565"/>
      <c r="AB34" s="527" t="s">
        <v>613</v>
      </c>
      <c r="AC34" s="66"/>
      <c r="AD34" s="470"/>
      <c r="AE34" s="6"/>
      <c r="AF34" s="6"/>
      <c r="AG34" s="508">
        <v>70</v>
      </c>
      <c r="AH34" s="509"/>
      <c r="AI34" s="6"/>
      <c r="AJ34" s="6"/>
      <c r="AK34" s="527" t="s">
        <v>613</v>
      </c>
      <c r="AM34" s="470"/>
      <c r="AN34" s="6"/>
      <c r="AO34" s="6">
        <v>15</v>
      </c>
      <c r="AP34" s="47">
        <v>72</v>
      </c>
      <c r="AQ34" s="508"/>
      <c r="AR34" s="509"/>
      <c r="AS34" s="6"/>
      <c r="AT34" s="6" t="s">
        <v>97</v>
      </c>
      <c r="AU34" s="527" t="s">
        <v>613</v>
      </c>
      <c r="AV34" s="508"/>
    </row>
    <row r="35" spans="1:48" ht="51" customHeight="1" x14ac:dyDescent="0.35">
      <c r="A35" s="1478">
        <v>45155</v>
      </c>
      <c r="B35" s="472">
        <v>1</v>
      </c>
      <c r="C35" s="494"/>
      <c r="D35" s="494"/>
      <c r="E35" s="47"/>
      <c r="F35" s="636"/>
      <c r="G35" s="465"/>
      <c r="H35" s="509"/>
      <c r="I35" s="502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/>
      <c r="X35" s="526"/>
      <c r="Y35" s="465"/>
      <c r="Z35" s="6"/>
      <c r="AA35" s="565"/>
      <c r="AB35" s="508"/>
      <c r="AC35" s="66"/>
      <c r="AD35" s="470"/>
      <c r="AE35" s="6"/>
      <c r="AF35" s="6"/>
      <c r="AG35" s="469"/>
      <c r="AH35" s="465"/>
      <c r="AI35" s="6"/>
      <c r="AJ35" s="565"/>
      <c r="AK35" s="508"/>
      <c r="AM35" s="470"/>
      <c r="AN35" s="6"/>
      <c r="AO35" s="47"/>
      <c r="AP35" s="47"/>
      <c r="AQ35" s="526"/>
      <c r="AR35" s="465"/>
      <c r="AS35" s="573"/>
      <c r="AT35" s="502"/>
      <c r="AU35" s="636"/>
      <c r="AV35" s="508"/>
    </row>
    <row r="36" spans="1:48" ht="46.95" customHeight="1" x14ac:dyDescent="0.35">
      <c r="A36" s="1477"/>
      <c r="B36" s="472">
        <v>2</v>
      </c>
      <c r="C36" s="47">
        <v>34</v>
      </c>
      <c r="D36" s="6"/>
      <c r="E36" s="47">
        <v>14</v>
      </c>
      <c r="F36" s="636"/>
      <c r="G36" s="573" t="s">
        <v>406</v>
      </c>
      <c r="H36" s="469"/>
      <c r="I36" s="515" t="s">
        <v>97</v>
      </c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/>
      <c r="W36" s="6"/>
      <c r="X36" s="469"/>
      <c r="Y36" s="465"/>
      <c r="Z36" s="502"/>
      <c r="AA36" s="565"/>
      <c r="AB36" s="508"/>
      <c r="AC36" s="66"/>
      <c r="AD36" s="470"/>
      <c r="AE36" s="6"/>
      <c r="AF36" s="47"/>
      <c r="AG36" s="526"/>
      <c r="AH36" s="465"/>
      <c r="AI36" s="502"/>
      <c r="AJ36" s="565"/>
      <c r="AK36" s="508"/>
      <c r="AM36" s="470"/>
      <c r="AN36" s="6"/>
      <c r="AO36" s="6"/>
      <c r="AP36" s="509"/>
      <c r="AQ36" s="469"/>
      <c r="AR36" s="465"/>
      <c r="AS36" s="502"/>
      <c r="AT36" s="502"/>
      <c r="AU36" s="636"/>
      <c r="AV36" s="508"/>
    </row>
    <row r="37" spans="1:48" ht="59.5" customHeight="1" x14ac:dyDescent="0.35">
      <c r="A37" s="1478">
        <v>45156</v>
      </c>
      <c r="B37" s="534">
        <v>1</v>
      </c>
      <c r="C37" s="47"/>
      <c r="D37" s="494"/>
      <c r="E37" s="47"/>
      <c r="F37" s="47"/>
      <c r="G37" s="573"/>
      <c r="H37" s="469"/>
      <c r="I37" s="573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/>
      <c r="X37" s="508"/>
      <c r="Y37" s="509"/>
      <c r="Z37" s="502"/>
      <c r="AA37" s="565"/>
      <c r="AB37" s="527"/>
      <c r="AC37" s="66"/>
      <c r="AD37" s="470"/>
      <c r="AE37" s="6"/>
      <c r="AF37" s="6"/>
      <c r="AG37" s="508"/>
      <c r="AH37" s="509"/>
      <c r="AI37" s="6"/>
      <c r="AJ37" s="565"/>
      <c r="AK37" s="508"/>
      <c r="AM37" s="470"/>
      <c r="AN37" s="6"/>
      <c r="AO37" s="6"/>
      <c r="AP37" s="47"/>
      <c r="AQ37" s="508"/>
      <c r="AR37" s="509"/>
      <c r="AS37" s="6"/>
      <c r="AT37" s="6"/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/>
      <c r="E38" s="47"/>
      <c r="F38" s="637"/>
      <c r="G38" s="573"/>
      <c r="H38" s="469"/>
      <c r="I38" s="573"/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/>
      <c r="V38" s="6"/>
      <c r="W38" s="6"/>
      <c r="X38" s="508"/>
      <c r="Y38" s="509"/>
      <c r="Z38" s="502"/>
      <c r="AA38" s="565"/>
      <c r="AB38" s="527"/>
      <c r="AC38" s="66"/>
      <c r="AD38" s="470"/>
      <c r="AE38" s="6"/>
      <c r="AF38" s="6"/>
      <c r="AG38" s="508"/>
      <c r="AH38" s="469"/>
      <c r="AI38" s="6"/>
      <c r="AJ38" s="502"/>
      <c r="AK38" s="527"/>
      <c r="AM38" s="470"/>
      <c r="AN38" s="6"/>
      <c r="AO38" s="6"/>
      <c r="AP38" s="47"/>
      <c r="AQ38" s="508"/>
      <c r="AR38" s="509"/>
      <c r="AS38" s="6"/>
      <c r="AT38" s="502"/>
      <c r="AU38" s="636"/>
      <c r="AV38" s="527"/>
    </row>
    <row r="39" spans="1:48" ht="39" customHeight="1" x14ac:dyDescent="0.35">
      <c r="A39" s="1478">
        <v>45157</v>
      </c>
      <c r="B39" s="472">
        <v>1</v>
      </c>
      <c r="C39" s="47"/>
      <c r="D39" s="494"/>
      <c r="E39" s="47"/>
      <c r="F39" s="495"/>
      <c r="G39" s="573"/>
      <c r="H39" s="514"/>
      <c r="I39" s="573"/>
      <c r="J39" s="568"/>
      <c r="K39" s="66"/>
      <c r="L39" s="470"/>
      <c r="M39" s="6"/>
      <c r="N39" s="6"/>
      <c r="O39" s="495"/>
      <c r="P39" s="566"/>
      <c r="Q39" s="514"/>
      <c r="R39" s="573"/>
      <c r="S39" s="568"/>
      <c r="T39" s="66"/>
      <c r="U39" s="470"/>
      <c r="V39" s="6"/>
      <c r="W39" s="6"/>
      <c r="X39" s="495"/>
      <c r="Y39" s="566"/>
      <c r="Z39" s="514"/>
      <c r="AA39" s="573"/>
      <c r="AB39" s="568"/>
      <c r="AC39" s="66"/>
      <c r="AD39" s="470"/>
      <c r="AE39" s="6"/>
      <c r="AF39" s="6"/>
      <c r="AG39" s="495"/>
      <c r="AH39" s="566"/>
      <c r="AI39" s="514"/>
      <c r="AJ39" s="573"/>
      <c r="AK39" s="568"/>
      <c r="AM39" s="470"/>
      <c r="AN39" s="6"/>
      <c r="AO39" s="6"/>
      <c r="AP39" s="47"/>
      <c r="AQ39" s="495"/>
      <c r="AR39" s="566"/>
      <c r="AS39" s="514"/>
      <c r="AT39" s="573"/>
      <c r="AU39" s="573"/>
      <c r="AV39" s="568"/>
    </row>
    <row r="40" spans="1:48" ht="72.650000000000006" customHeight="1" x14ac:dyDescent="0.35">
      <c r="A40" s="1477"/>
      <c r="B40" s="472">
        <v>2</v>
      </c>
      <c r="C40" s="494"/>
      <c r="D40" s="494">
        <v>18</v>
      </c>
      <c r="E40" s="494"/>
      <c r="F40" s="508"/>
      <c r="G40" s="573"/>
      <c r="H40" s="515" t="s">
        <v>66</v>
      </c>
      <c r="I40" s="573"/>
      <c r="J40" s="527"/>
      <c r="K40" s="66"/>
      <c r="L40" s="470"/>
      <c r="M40" s="6"/>
      <c r="N40" s="6"/>
      <c r="O40" s="508"/>
      <c r="P40" s="566"/>
      <c r="Q40" s="514"/>
      <c r="R40" s="573"/>
      <c r="S40" s="527"/>
      <c r="T40" s="66"/>
      <c r="U40" s="470"/>
      <c r="V40" s="6">
        <v>22</v>
      </c>
      <c r="W40" s="6"/>
      <c r="X40" s="508"/>
      <c r="Y40" s="566"/>
      <c r="Z40" s="514" t="s">
        <v>66</v>
      </c>
      <c r="AA40" s="573"/>
      <c r="AB40" s="527"/>
      <c r="AC40" s="66"/>
      <c r="AD40" s="470"/>
      <c r="AE40" s="6"/>
      <c r="AF40" s="6"/>
      <c r="AG40" s="508"/>
      <c r="AH40" s="465"/>
      <c r="AI40" s="514"/>
      <c r="AJ40" s="573"/>
      <c r="AK40" s="527"/>
      <c r="AM40" s="465"/>
      <c r="AN40" s="6"/>
      <c r="AO40" s="6"/>
      <c r="AP40" s="47"/>
      <c r="AQ40" s="508"/>
      <c r="AR40" s="566"/>
      <c r="AS40" s="514"/>
      <c r="AT40" s="573"/>
      <c r="AU40" s="573"/>
      <c r="AV40" s="527"/>
    </row>
    <row r="41" spans="1:48" ht="39.65" customHeight="1" x14ac:dyDescent="0.35">
      <c r="A41" s="1478">
        <v>45158</v>
      </c>
      <c r="B41" s="472">
        <v>1</v>
      </c>
      <c r="C41" s="493"/>
      <c r="D41" s="494"/>
      <c r="E41" s="494"/>
      <c r="F41" s="508"/>
      <c r="G41" s="566"/>
      <c r="H41" s="515"/>
      <c r="I41" s="573"/>
      <c r="J41" s="527"/>
      <c r="K41" s="66"/>
      <c r="L41" s="470"/>
      <c r="M41" s="6"/>
      <c r="N41" s="6"/>
      <c r="O41" s="508"/>
      <c r="P41" s="509"/>
      <c r="Q41" s="6"/>
      <c r="R41" s="573"/>
      <c r="S41" s="527"/>
      <c r="T41" s="66"/>
      <c r="U41" s="470"/>
      <c r="V41" s="6"/>
      <c r="W41" s="6"/>
      <c r="X41" s="508"/>
      <c r="Y41" s="509"/>
      <c r="Z41" s="502"/>
      <c r="AA41" s="573"/>
      <c r="AB41" s="508"/>
      <c r="AC41" s="66"/>
      <c r="AD41" s="470"/>
      <c r="AE41" s="6"/>
      <c r="AF41" s="6"/>
      <c r="AG41" s="508"/>
      <c r="AH41" s="465"/>
      <c r="AI41" s="502"/>
      <c r="AJ41" s="6"/>
      <c r="AK41" s="508"/>
      <c r="AM41" s="470"/>
      <c r="AN41" s="6"/>
      <c r="AO41" s="6"/>
      <c r="AP41" s="47"/>
      <c r="AQ41" s="508"/>
      <c r="AR41" s="509"/>
      <c r="AS41" s="502"/>
      <c r="AT41" s="573"/>
      <c r="AU41" s="47"/>
      <c r="AV41" s="508"/>
    </row>
    <row r="42" spans="1:48" ht="33" customHeight="1" x14ac:dyDescent="0.35">
      <c r="A42" s="1477"/>
      <c r="B42" s="472">
        <v>2</v>
      </c>
      <c r="C42" s="494"/>
      <c r="D42" s="494"/>
      <c r="E42" s="494"/>
      <c r="F42" s="508">
        <v>56</v>
      </c>
      <c r="G42" s="566"/>
      <c r="H42" s="515"/>
      <c r="I42" s="573"/>
      <c r="J42" s="527" t="s">
        <v>728</v>
      </c>
      <c r="K42" s="66"/>
      <c r="L42" s="470"/>
      <c r="M42" s="6"/>
      <c r="N42" s="6"/>
      <c r="O42" s="508">
        <v>67</v>
      </c>
      <c r="P42" s="509"/>
      <c r="Q42" s="6"/>
      <c r="R42" s="6"/>
      <c r="S42" s="527" t="s">
        <v>728</v>
      </c>
      <c r="T42" s="66"/>
      <c r="U42" s="470"/>
      <c r="V42" s="6"/>
      <c r="W42" s="6"/>
      <c r="X42" s="508">
        <v>53</v>
      </c>
      <c r="Y42" s="469"/>
      <c r="Z42" s="6"/>
      <c r="AA42" s="502"/>
      <c r="AB42" s="527" t="s">
        <v>728</v>
      </c>
      <c r="AC42" s="66"/>
      <c r="AD42" s="470"/>
      <c r="AE42" s="6"/>
      <c r="AF42" s="6"/>
      <c r="AG42" s="508">
        <v>58</v>
      </c>
      <c r="AH42" s="509"/>
      <c r="AI42" s="6"/>
      <c r="AJ42" s="6"/>
      <c r="AK42" s="527" t="s">
        <v>728</v>
      </c>
      <c r="AM42" s="470"/>
      <c r="AN42" s="6"/>
      <c r="AO42" s="6"/>
      <c r="AP42" s="47">
        <v>55</v>
      </c>
      <c r="AQ42" s="508"/>
      <c r="AR42" s="509"/>
      <c r="AS42" s="6"/>
      <c r="AT42" s="6"/>
      <c r="AU42" s="527" t="s">
        <v>728</v>
      </c>
      <c r="AV42" s="508"/>
    </row>
    <row r="43" spans="1:48" ht="65.5" customHeight="1" x14ac:dyDescent="0.35">
      <c r="A43" s="1478">
        <v>45159</v>
      </c>
      <c r="B43" s="472">
        <v>1</v>
      </c>
      <c r="C43" s="494"/>
      <c r="D43" s="494"/>
      <c r="E43" s="494"/>
      <c r="F43" s="495">
        <v>500</v>
      </c>
      <c r="G43" s="514"/>
      <c r="H43" s="514"/>
      <c r="I43" s="515"/>
      <c r="J43" s="527" t="s">
        <v>732</v>
      </c>
      <c r="K43" s="66"/>
      <c r="L43" s="470"/>
      <c r="M43" s="6"/>
      <c r="N43" s="6"/>
      <c r="O43" s="508">
        <v>500</v>
      </c>
      <c r="P43" s="509"/>
      <c r="Q43" s="6"/>
      <c r="R43" s="6"/>
      <c r="S43" s="527" t="s">
        <v>732</v>
      </c>
      <c r="T43" s="66"/>
      <c r="U43" s="470"/>
      <c r="V43" s="6"/>
      <c r="W43" s="6"/>
      <c r="X43" s="508">
        <v>500</v>
      </c>
      <c r="Y43" s="509"/>
      <c r="Z43" s="6"/>
      <c r="AA43" s="515"/>
      <c r="AB43" s="527" t="s">
        <v>732</v>
      </c>
      <c r="AC43" s="66"/>
      <c r="AD43" s="470"/>
      <c r="AE43" s="6"/>
      <c r="AF43" s="6"/>
      <c r="AG43" s="508">
        <v>500</v>
      </c>
      <c r="AH43" s="502"/>
      <c r="AI43" s="515"/>
      <c r="AJ43" s="6"/>
      <c r="AK43" s="527" t="s">
        <v>732</v>
      </c>
      <c r="AM43" s="470"/>
      <c r="AN43" s="6"/>
      <c r="AO43" s="6"/>
      <c r="AP43" s="47">
        <v>500</v>
      </c>
      <c r="AQ43" s="508"/>
      <c r="AR43" s="502"/>
      <c r="AS43" s="515"/>
      <c r="AT43" s="6"/>
      <c r="AU43" s="527" t="s">
        <v>732</v>
      </c>
      <c r="AV43" s="508"/>
    </row>
    <row r="44" spans="1:48" ht="69" customHeight="1" x14ac:dyDescent="0.35">
      <c r="A44" s="1477"/>
      <c r="B44" s="472">
        <v>2</v>
      </c>
      <c r="C44" s="494">
        <v>225</v>
      </c>
      <c r="D44" s="494"/>
      <c r="E44" s="494">
        <v>25</v>
      </c>
      <c r="F44" s="495">
        <v>100</v>
      </c>
      <c r="G44" s="514" t="s">
        <v>491</v>
      </c>
      <c r="H44" s="514"/>
      <c r="I44" s="573" t="s">
        <v>152</v>
      </c>
      <c r="J44" s="527" t="s">
        <v>732</v>
      </c>
      <c r="K44" s="66"/>
      <c r="L44" s="470"/>
      <c r="M44" s="6"/>
      <c r="N44" s="6"/>
      <c r="O44" s="508">
        <v>91</v>
      </c>
      <c r="P44" s="469"/>
      <c r="Q44" s="6"/>
      <c r="R44" s="502"/>
      <c r="S44" s="527" t="s">
        <v>732</v>
      </c>
      <c r="T44" s="66"/>
      <c r="U44" s="470"/>
      <c r="V44" s="6"/>
      <c r="W44" s="494"/>
      <c r="X44" s="495">
        <v>104</v>
      </c>
      <c r="Y44" s="514"/>
      <c r="Z44" s="515"/>
      <c r="AA44" s="502"/>
      <c r="AB44" s="527" t="s">
        <v>732</v>
      </c>
      <c r="AC44" s="66"/>
      <c r="AD44" s="470"/>
      <c r="AE44" s="6"/>
      <c r="AF44" s="6"/>
      <c r="AG44" s="508">
        <v>107</v>
      </c>
      <c r="AH44" s="509"/>
      <c r="AI44" s="502"/>
      <c r="AJ44" s="502"/>
      <c r="AK44" s="527" t="s">
        <v>732</v>
      </c>
      <c r="AM44" s="470"/>
      <c r="AN44" s="6"/>
      <c r="AO44" s="6"/>
      <c r="AP44" s="47">
        <v>166</v>
      </c>
      <c r="AQ44" s="508"/>
      <c r="AR44" s="509"/>
      <c r="AS44" s="502"/>
      <c r="AT44" s="502"/>
      <c r="AU44" s="527" t="s">
        <v>732</v>
      </c>
      <c r="AV44" s="508"/>
    </row>
    <row r="45" spans="1:48" ht="48" customHeight="1" x14ac:dyDescent="0.35">
      <c r="A45" s="1478">
        <v>45160</v>
      </c>
      <c r="B45" s="472">
        <v>1</v>
      </c>
      <c r="C45" s="494">
        <v>63</v>
      </c>
      <c r="D45" s="494"/>
      <c r="E45" s="494"/>
      <c r="F45" s="495"/>
      <c r="G45" s="514" t="s">
        <v>491</v>
      </c>
      <c r="H45" s="514"/>
      <c r="I45" s="515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14"/>
      <c r="Z45" s="515"/>
      <c r="AA45" s="502"/>
      <c r="AB45" s="508"/>
      <c r="AC45" s="66"/>
      <c r="AD45" s="470"/>
      <c r="AE45" s="6"/>
      <c r="AF45" s="6"/>
      <c r="AG45" s="508"/>
      <c r="AH45" s="509"/>
      <c r="AI45" s="502"/>
      <c r="AJ45" s="6"/>
      <c r="AK45" s="508"/>
      <c r="AM45" s="470"/>
      <c r="AN45" s="6"/>
      <c r="AO45" s="6"/>
      <c r="AP45" s="47"/>
      <c r="AQ45" s="508"/>
      <c r="AR45" s="509"/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515"/>
      <c r="J46" s="527"/>
      <c r="K46" s="66"/>
      <c r="L46" s="470"/>
      <c r="M46" s="6"/>
      <c r="N46" s="6">
        <v>123</v>
      </c>
      <c r="O46" s="633"/>
      <c r="P46" s="509"/>
      <c r="Q46" s="515"/>
      <c r="R46" s="502" t="s">
        <v>733</v>
      </c>
      <c r="S46" s="527"/>
      <c r="T46" s="66"/>
      <c r="U46" s="470"/>
      <c r="V46" s="6"/>
      <c r="W46" s="6"/>
      <c r="X46" s="508"/>
      <c r="Y46" s="469"/>
      <c r="Z46" s="6"/>
      <c r="AA46" s="502"/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/>
      <c r="AO46" s="6"/>
      <c r="AP46" s="47"/>
      <c r="AQ46" s="508"/>
      <c r="AR46" s="509"/>
      <c r="AS46" s="6"/>
      <c r="AT46" s="6"/>
      <c r="AU46" s="47"/>
      <c r="AV46" s="527"/>
    </row>
    <row r="47" spans="1:48" ht="36" customHeight="1" x14ac:dyDescent="0.35">
      <c r="A47" s="1478">
        <v>45161</v>
      </c>
      <c r="B47" s="472">
        <v>1</v>
      </c>
      <c r="C47" s="494"/>
      <c r="D47" s="494"/>
      <c r="E47" s="494"/>
      <c r="F47" s="495"/>
      <c r="G47" s="515"/>
      <c r="H47" s="514"/>
      <c r="I47" s="573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09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6"/>
      <c r="AK47" s="508"/>
      <c r="AM47" s="470"/>
      <c r="AN47" s="6"/>
      <c r="AO47" s="6"/>
      <c r="AP47" s="47"/>
      <c r="AQ47" s="508"/>
      <c r="AR47" s="509"/>
      <c r="AS47" s="515"/>
      <c r="AT47" s="6"/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/>
      <c r="X48" s="508"/>
      <c r="Y48" s="469"/>
      <c r="Z48" s="6"/>
      <c r="AA48" s="502"/>
      <c r="AB48" s="508"/>
      <c r="AC48" s="66"/>
      <c r="AD48" s="470"/>
      <c r="AE48" s="6"/>
      <c r="AF48" s="6"/>
      <c r="AG48" s="508"/>
      <c r="AH48" s="509"/>
      <c r="AI48" s="502"/>
      <c r="AJ48" s="6"/>
      <c r="AK48" s="508"/>
      <c r="AM48" s="470"/>
      <c r="AN48" s="6"/>
      <c r="AO48" s="6"/>
      <c r="AP48" s="47"/>
      <c r="AQ48" s="508"/>
      <c r="AR48" s="509"/>
      <c r="AS48" s="502"/>
      <c r="AT48" s="6"/>
      <c r="AU48" s="47"/>
      <c r="AV48" s="508"/>
    </row>
    <row r="49" spans="1:48" ht="36" customHeight="1" x14ac:dyDescent="0.35">
      <c r="A49" s="1478">
        <v>45162</v>
      </c>
      <c r="B49" s="472">
        <v>1</v>
      </c>
      <c r="C49" s="494"/>
      <c r="D49" s="494"/>
      <c r="E49" s="494">
        <v>18</v>
      </c>
      <c r="F49" s="495"/>
      <c r="G49" s="515"/>
      <c r="H49" s="514"/>
      <c r="I49" s="573" t="s">
        <v>325</v>
      </c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/>
      <c r="X49" s="508"/>
      <c r="Y49" s="509"/>
      <c r="Z49" s="502"/>
      <c r="AA49" s="502"/>
      <c r="AB49" s="527"/>
      <c r="AC49" s="66"/>
      <c r="AD49" s="470"/>
      <c r="AE49" s="6"/>
      <c r="AF49" s="6"/>
      <c r="AG49" s="508"/>
      <c r="AH49" s="509"/>
      <c r="AI49" s="502"/>
      <c r="AJ49" s="573"/>
      <c r="AK49" s="508"/>
      <c r="AM49" s="470"/>
      <c r="AN49" s="6"/>
      <c r="AO49" s="6"/>
      <c r="AP49" s="47"/>
      <c r="AQ49" s="508"/>
      <c r="AR49" s="509"/>
      <c r="AS49" s="502"/>
      <c r="AT49" s="6"/>
      <c r="AU49" s="47"/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>
        <v>26</v>
      </c>
      <c r="F50" s="495"/>
      <c r="G50" s="514"/>
      <c r="H50" s="514"/>
      <c r="I50" s="573" t="s">
        <v>152</v>
      </c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/>
      <c r="X50" s="495"/>
      <c r="Y50" s="515"/>
      <c r="Z50" s="514"/>
      <c r="AA50" s="573"/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47"/>
      <c r="AQ50" s="495"/>
      <c r="AR50" s="509"/>
      <c r="AS50" s="514"/>
      <c r="AT50" s="573"/>
      <c r="AU50" s="573"/>
      <c r="AV50" s="527"/>
    </row>
    <row r="51" spans="1:48" ht="34.950000000000003" customHeight="1" x14ac:dyDescent="0.35">
      <c r="A51" s="1478">
        <v>45163</v>
      </c>
      <c r="B51" s="472">
        <v>1</v>
      </c>
      <c r="C51" s="494"/>
      <c r="D51" s="494"/>
      <c r="E51" s="494">
        <v>12</v>
      </c>
      <c r="F51" s="495"/>
      <c r="G51" s="514"/>
      <c r="H51" s="514"/>
      <c r="I51" s="573" t="s">
        <v>97</v>
      </c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  <c r="AM51" s="470"/>
      <c r="AN51" s="6"/>
      <c r="AO51" s="6"/>
      <c r="AP51" s="47"/>
      <c r="AQ51" s="508"/>
      <c r="AR51" s="509"/>
      <c r="AS51" s="6"/>
      <c r="AT51" s="6"/>
      <c r="AU51" s="47"/>
      <c r="AV51" s="508"/>
    </row>
    <row r="52" spans="1:48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573"/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/>
      <c r="W52" s="6"/>
      <c r="X52" s="495"/>
      <c r="Y52" s="515"/>
      <c r="Z52" s="515"/>
      <c r="AA52" s="573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8"/>
      <c r="AR52" s="509"/>
      <c r="AS52" s="6"/>
      <c r="AT52" s="6"/>
      <c r="AU52" s="47"/>
      <c r="AV52" s="508"/>
    </row>
    <row r="53" spans="1:48" ht="40.200000000000003" customHeight="1" x14ac:dyDescent="0.35">
      <c r="A53" s="1478">
        <v>45164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/>
      <c r="AP53" s="47"/>
      <c r="AQ53" s="508"/>
      <c r="AR53" s="509"/>
      <c r="AS53" s="502"/>
      <c r="AT53" s="6"/>
      <c r="AU53" s="47"/>
      <c r="AV53" s="508"/>
    </row>
    <row r="54" spans="1:48" ht="39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4"/>
      <c r="I54" s="573"/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/>
      <c r="X54" s="495"/>
      <c r="Y54" s="515"/>
      <c r="Z54" s="514"/>
      <c r="AA54" s="515"/>
      <c r="AB54" s="527"/>
      <c r="AC54" s="66"/>
      <c r="AD54" s="470"/>
      <c r="AE54" s="6"/>
      <c r="AF54" s="6"/>
      <c r="AG54" s="508"/>
      <c r="AH54" s="509"/>
      <c r="AI54" s="514"/>
      <c r="AJ54" s="6"/>
      <c r="AK54" s="527"/>
      <c r="AM54" s="470"/>
      <c r="AN54" s="6"/>
      <c r="AO54" s="6"/>
      <c r="AP54" s="47"/>
      <c r="AQ54" s="495"/>
      <c r="AR54" s="514"/>
      <c r="AS54" s="514"/>
      <c r="AT54" s="514"/>
      <c r="AU54" s="638"/>
      <c r="AV54" s="527"/>
    </row>
    <row r="55" spans="1:48" ht="39.65" customHeight="1" x14ac:dyDescent="0.35">
      <c r="A55" s="1478">
        <v>45165</v>
      </c>
      <c r="B55" s="472">
        <v>1</v>
      </c>
      <c r="C55" s="493"/>
      <c r="D55" s="494"/>
      <c r="E55" s="494"/>
      <c r="F55" s="495"/>
      <c r="G55" s="514"/>
      <c r="H55" s="514"/>
      <c r="I55" s="573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5"/>
      <c r="AA55" s="6"/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47"/>
      <c r="AQ55" s="508"/>
      <c r="AR55" s="509"/>
      <c r="AS55" s="515"/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515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15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7"/>
      <c r="AQ56" s="495"/>
      <c r="AR56" s="515"/>
      <c r="AS56" s="514"/>
      <c r="AT56" s="515"/>
      <c r="AU56" s="573"/>
      <c r="AV56" s="527"/>
    </row>
    <row r="57" spans="1:48" ht="52.2" customHeight="1" x14ac:dyDescent="0.35">
      <c r="A57" s="1478">
        <v>45166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>
        <v>136</v>
      </c>
      <c r="N57" s="6"/>
      <c r="O57" s="495"/>
      <c r="P57" s="515"/>
      <c r="Q57" s="514" t="s">
        <v>734</v>
      </c>
      <c r="R57" s="515"/>
      <c r="S57" s="527"/>
      <c r="T57" s="66"/>
      <c r="U57" s="470"/>
      <c r="V57" s="6"/>
      <c r="W57" s="6"/>
      <c r="X57" s="495"/>
      <c r="Y57" s="515"/>
      <c r="Z57" s="514"/>
      <c r="AA57" s="515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515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/>
      <c r="X58" s="495"/>
      <c r="Y58" s="515"/>
      <c r="Z58" s="514"/>
      <c r="AA58" s="515"/>
      <c r="AB58" s="527"/>
      <c r="AC58" s="66"/>
      <c r="AD58" s="470"/>
      <c r="AE58" s="6"/>
      <c r="AF58" s="6"/>
      <c r="AG58" s="495"/>
      <c r="AH58" s="515"/>
      <c r="AI58" s="514"/>
      <c r="AJ58" s="515"/>
      <c r="AK58" s="527"/>
      <c r="AM58" s="470">
        <v>80</v>
      </c>
      <c r="AN58" s="6"/>
      <c r="AO58" s="6"/>
      <c r="AP58" s="47"/>
      <c r="AQ58" s="495"/>
      <c r="AR58" s="515" t="s">
        <v>735</v>
      </c>
      <c r="AS58" s="514"/>
      <c r="AT58" s="515"/>
      <c r="AU58" s="573"/>
      <c r="AV58" s="527"/>
    </row>
    <row r="59" spans="1:48" ht="73.2" customHeight="1" x14ac:dyDescent="0.35">
      <c r="A59" s="1478">
        <v>45167</v>
      </c>
      <c r="B59" s="472">
        <v>1</v>
      </c>
      <c r="C59" s="493"/>
      <c r="D59" s="494"/>
      <c r="E59" s="494"/>
      <c r="F59" s="495"/>
      <c r="G59" s="514"/>
      <c r="H59" s="514"/>
      <c r="I59" s="573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15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36" customHeight="1" x14ac:dyDescent="0.35">
      <c r="A60" s="1477"/>
      <c r="B60" s="500">
        <v>2</v>
      </c>
      <c r="C60" s="493"/>
      <c r="D60" s="494"/>
      <c r="E60" s="494">
        <v>50</v>
      </c>
      <c r="F60" s="495"/>
      <c r="G60" s="514"/>
      <c r="H60" s="515"/>
      <c r="I60" s="573" t="s">
        <v>43</v>
      </c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502"/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47"/>
      <c r="AQ60" s="508"/>
      <c r="AR60" s="509"/>
      <c r="AS60" s="6"/>
      <c r="AT60" s="502"/>
      <c r="AU60" s="636"/>
      <c r="AV60" s="527"/>
    </row>
    <row r="61" spans="1:48" ht="32.5" customHeight="1" x14ac:dyDescent="0.35">
      <c r="A61" s="1478">
        <v>45168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47"/>
      <c r="AQ61" s="508"/>
      <c r="AR61" s="509"/>
      <c r="AS61" s="6"/>
      <c r="AT61" s="502"/>
      <c r="AU61" s="648"/>
      <c r="AV61" s="624"/>
    </row>
    <row r="62" spans="1:48" ht="62.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47"/>
      <c r="AQ62" s="508"/>
      <c r="AR62" s="509"/>
      <c r="AS62" s="6"/>
      <c r="AT62" s="502"/>
      <c r="AU62" s="648"/>
      <c r="AV62" s="624"/>
    </row>
    <row r="63" spans="1:48" ht="33.65" customHeight="1" x14ac:dyDescent="0.35">
      <c r="A63" s="1478">
        <v>45169</v>
      </c>
      <c r="B63" s="472">
        <v>1</v>
      </c>
      <c r="C63" s="587"/>
      <c r="D63" s="588"/>
      <c r="E63" s="588"/>
      <c r="F63" s="589"/>
      <c r="G63" s="598"/>
      <c r="H63" s="590"/>
      <c r="I63" s="515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6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>
        <v>23</v>
      </c>
      <c r="AP63" s="47"/>
      <c r="AQ63" s="495"/>
      <c r="AR63" s="566"/>
      <c r="AS63" s="514"/>
      <c r="AT63" s="514" t="s">
        <v>97</v>
      </c>
      <c r="AU63" s="649"/>
      <c r="AV63" s="586"/>
    </row>
    <row r="64" spans="1:48" ht="30.6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647"/>
      <c r="AQ64" s="528"/>
      <c r="AR64" s="529"/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433</v>
      </c>
      <c r="D65" s="65">
        <f>SUM(D3:D64)</f>
        <v>147</v>
      </c>
      <c r="E65" s="631">
        <f>SUM(E3:E64)</f>
        <v>410</v>
      </c>
      <c r="F65" s="65">
        <f>SUM(F3:F64)</f>
        <v>1086</v>
      </c>
      <c r="L65" s="65">
        <f>SUM(L3:L64)</f>
        <v>0</v>
      </c>
      <c r="M65" s="65">
        <f>SUM(M3:M64)</f>
        <v>136</v>
      </c>
      <c r="N65" s="65">
        <f>SUM(N3:N64)</f>
        <v>123</v>
      </c>
      <c r="O65" s="65">
        <f>SUM(O3:O64)</f>
        <v>1087</v>
      </c>
      <c r="U65" s="65">
        <f>SUM(U3:U64)</f>
        <v>200</v>
      </c>
      <c r="V65" s="65">
        <f>SUM(V3:V64)</f>
        <v>186</v>
      </c>
      <c r="W65" s="65">
        <f>SUM(W3:W64)</f>
        <v>223</v>
      </c>
      <c r="X65" s="65">
        <f>SUM(X3:X64)</f>
        <v>1089</v>
      </c>
      <c r="AD65" s="65">
        <f>SUM(AD3:AD64)</f>
        <v>223</v>
      </c>
      <c r="AE65" s="65">
        <f>SUM(AE3:AE64)</f>
        <v>0</v>
      </c>
      <c r="AF65" s="65">
        <f>SUM(AF3:AF64)</f>
        <v>136</v>
      </c>
      <c r="AG65" s="65">
        <f>SUM(AG3:AG64)</f>
        <v>1100</v>
      </c>
      <c r="AM65" s="65">
        <f>SUM(AM3:AM64)</f>
        <v>470</v>
      </c>
      <c r="AN65" s="65">
        <f>SUM(AN3:AN64)</f>
        <v>50</v>
      </c>
      <c r="AO65" s="65">
        <f>SUM(AO3:AO64)</f>
        <v>65</v>
      </c>
      <c r="AP65" s="65"/>
      <c r="AQ65" s="65">
        <f>SUM(AQ3:AQ64)</f>
        <v>0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433</v>
      </c>
      <c r="D76" s="543">
        <f>C76/60</f>
        <v>7.2166666666666668</v>
      </c>
      <c r="E76" s="542">
        <f>D65</f>
        <v>147</v>
      </c>
      <c r="F76" s="544">
        <f>E76/60</f>
        <v>2.4500000000000002</v>
      </c>
      <c r="G76" s="542">
        <f>E65</f>
        <v>410</v>
      </c>
      <c r="H76" s="543">
        <f>G76/60</f>
        <v>6.833333333333333</v>
      </c>
      <c r="I76" s="542">
        <f>F65</f>
        <v>1086</v>
      </c>
      <c r="J76" s="543">
        <f>I76/60</f>
        <v>18.100000000000001</v>
      </c>
    </row>
    <row r="77" spans="1:43" ht="19.5" customHeight="1" x14ac:dyDescent="0.4">
      <c r="B77" s="541" t="s">
        <v>219</v>
      </c>
      <c r="C77" s="545">
        <f>L65</f>
        <v>0</v>
      </c>
      <c r="D77" s="546">
        <f>C77/60</f>
        <v>0</v>
      </c>
      <c r="E77" s="545">
        <f>M65</f>
        <v>136</v>
      </c>
      <c r="F77" s="547">
        <f>E77/60</f>
        <v>2.2666666666666666</v>
      </c>
      <c r="G77" s="545">
        <f>N65</f>
        <v>123</v>
      </c>
      <c r="H77" s="546">
        <f>G77/60</f>
        <v>2.0499999999999998</v>
      </c>
      <c r="I77" s="545">
        <f>O65</f>
        <v>1087</v>
      </c>
      <c r="J77" s="546">
        <f>I77/60</f>
        <v>18.116666666666667</v>
      </c>
    </row>
    <row r="78" spans="1:43" ht="20.25" customHeight="1" x14ac:dyDescent="0.4">
      <c r="B78" s="541" t="s">
        <v>220</v>
      </c>
      <c r="C78" s="545">
        <f>U65</f>
        <v>200</v>
      </c>
      <c r="D78" s="546">
        <f>C78/60</f>
        <v>3.3333333333333335</v>
      </c>
      <c r="E78" s="545">
        <f>V65</f>
        <v>186</v>
      </c>
      <c r="F78" s="547">
        <f>E78/60</f>
        <v>3.1</v>
      </c>
      <c r="G78" s="545">
        <f>W65</f>
        <v>223</v>
      </c>
      <c r="H78" s="546">
        <f>G78/60</f>
        <v>3.7166666666666668</v>
      </c>
      <c r="I78" s="545">
        <f>X65</f>
        <v>1089</v>
      </c>
      <c r="J78" s="546">
        <f>I78/60</f>
        <v>18.149999999999999</v>
      </c>
    </row>
    <row r="79" spans="1:43" ht="22.5" customHeight="1" thickBot="1" x14ac:dyDescent="0.45">
      <c r="B79" s="541" t="s">
        <v>221</v>
      </c>
      <c r="C79" s="548">
        <f>AD65</f>
        <v>223</v>
      </c>
      <c r="D79" s="549">
        <f>C79/60</f>
        <v>3.7166666666666668</v>
      </c>
      <c r="E79" s="548">
        <f>AE65</f>
        <v>0</v>
      </c>
      <c r="F79" s="550">
        <f>E79/60</f>
        <v>0</v>
      </c>
      <c r="G79" s="548">
        <f>AF65</f>
        <v>136</v>
      </c>
      <c r="H79" s="549">
        <f>G79/60</f>
        <v>2.2666666666666666</v>
      </c>
      <c r="I79" s="548">
        <f>AG65</f>
        <v>1100</v>
      </c>
      <c r="J79" s="549">
        <f>I79/60</f>
        <v>18.333333333333332</v>
      </c>
    </row>
    <row r="80" spans="1:43" ht="22.5" customHeight="1" thickBot="1" x14ac:dyDescent="0.45">
      <c r="B80" s="541" t="s">
        <v>488</v>
      </c>
      <c r="C80" s="643">
        <f>AM65</f>
        <v>470</v>
      </c>
      <c r="D80" s="642">
        <f>C80/60</f>
        <v>7.833333333333333</v>
      </c>
      <c r="E80" s="643">
        <f>AN65</f>
        <v>50</v>
      </c>
      <c r="F80" s="644">
        <f>E80/60</f>
        <v>0.83333333333333337</v>
      </c>
      <c r="G80" s="643">
        <f>AO65</f>
        <v>65</v>
      </c>
      <c r="H80" s="642">
        <f>G80/60</f>
        <v>1.0833333333333333</v>
      </c>
      <c r="I80" s="643">
        <f>AQ65</f>
        <v>0</v>
      </c>
      <c r="J80" s="642">
        <f>I80/60</f>
        <v>0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22.1</v>
      </c>
      <c r="E82" s="556"/>
      <c r="F82" s="557">
        <f>SUM(F76:F80)</f>
        <v>8.65</v>
      </c>
      <c r="G82" s="556"/>
      <c r="H82" s="557">
        <f>SUM(H76:H80)</f>
        <v>15.950000000000001</v>
      </c>
      <c r="I82" s="556"/>
      <c r="J82" s="558">
        <f>AVERAGE(J76:J80)</f>
        <v>14.540000000000001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Q1"/>
    <mergeCell ref="AR1:AV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V82"/>
  <sheetViews>
    <sheetView zoomScale="50" zoomScaleNormal="5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J42" sqref="J42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3" width="10.69140625" style="423" customWidth="1"/>
    <col min="44" max="44" width="21.15234375" style="423" customWidth="1"/>
    <col min="45" max="45" width="26.3046875" style="423" customWidth="1"/>
    <col min="46" max="47" width="24.3828125" style="423" customWidth="1"/>
    <col min="48" max="48" width="26.53515625" style="423" customWidth="1"/>
    <col min="49" max="16384" width="8.84375" style="423"/>
  </cols>
  <sheetData>
    <row r="1" spans="1:48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3"/>
      <c r="AR1" s="1354" t="s">
        <v>206</v>
      </c>
      <c r="AS1" s="1354"/>
      <c r="AT1" s="1354"/>
      <c r="AU1" s="1354"/>
      <c r="AV1" s="1355"/>
    </row>
    <row r="2" spans="1:48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5" t="s">
        <v>204</v>
      </c>
      <c r="AR2" s="657" t="s">
        <v>199</v>
      </c>
      <c r="AS2" s="655" t="s">
        <v>200</v>
      </c>
      <c r="AT2" s="655" t="s">
        <v>201</v>
      </c>
      <c r="AU2" s="655" t="s">
        <v>204</v>
      </c>
      <c r="AV2" s="655" t="s">
        <v>204</v>
      </c>
    </row>
    <row r="3" spans="1:48" ht="30" customHeight="1" x14ac:dyDescent="0.35">
      <c r="A3" s="1478">
        <v>45170</v>
      </c>
      <c r="B3" s="501">
        <v>1</v>
      </c>
      <c r="C3" s="490"/>
      <c r="D3" s="491"/>
      <c r="E3" s="640"/>
      <c r="F3" s="492"/>
      <c r="G3" s="566"/>
      <c r="H3" s="514"/>
      <c r="I3" s="641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522"/>
      <c r="X3" s="508"/>
      <c r="Y3" s="469"/>
      <c r="Z3" s="521"/>
      <c r="AA3" s="600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80"/>
      <c r="AQ3" s="520"/>
      <c r="AR3" s="521"/>
      <c r="AS3" s="538"/>
      <c r="AT3" s="6"/>
      <c r="AU3" s="80"/>
      <c r="AV3" s="520"/>
    </row>
    <row r="4" spans="1:48" ht="36.65" customHeight="1" x14ac:dyDescent="0.35">
      <c r="A4" s="1477"/>
      <c r="B4" s="472">
        <v>2</v>
      </c>
      <c r="C4" s="493"/>
      <c r="D4" s="494"/>
      <c r="E4" s="494"/>
      <c r="F4" s="495"/>
      <c r="G4" s="566"/>
      <c r="H4" s="514"/>
      <c r="I4" s="641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/>
      <c r="X4" s="508"/>
      <c r="Y4" s="469"/>
      <c r="Z4" s="514"/>
      <c r="AA4" s="579"/>
      <c r="AB4" s="603"/>
      <c r="AC4" s="66"/>
      <c r="AD4" s="470"/>
      <c r="AE4" s="6"/>
      <c r="AF4" s="6"/>
      <c r="AG4" s="508"/>
      <c r="AH4" s="509"/>
      <c r="AI4" s="514"/>
      <c r="AJ4" s="6"/>
      <c r="AK4" s="508"/>
      <c r="AM4" s="470"/>
      <c r="AN4" s="6"/>
      <c r="AO4" s="6"/>
      <c r="AP4" s="47"/>
      <c r="AQ4" s="508"/>
      <c r="AR4" s="509"/>
      <c r="AS4" s="515"/>
      <c r="AT4" s="6"/>
      <c r="AU4" s="47"/>
      <c r="AV4" s="508"/>
    </row>
    <row r="5" spans="1:48" ht="60" customHeight="1" x14ac:dyDescent="0.35">
      <c r="A5" s="1478">
        <v>45171</v>
      </c>
      <c r="B5" s="472">
        <v>1</v>
      </c>
      <c r="C5" s="493"/>
      <c r="D5" s="494"/>
      <c r="E5" s="494">
        <v>22</v>
      </c>
      <c r="F5" s="495"/>
      <c r="G5" s="566"/>
      <c r="H5" s="514"/>
      <c r="I5" s="515" t="s">
        <v>97</v>
      </c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579"/>
      <c r="AB5" s="604"/>
      <c r="AC5" s="66"/>
      <c r="AD5" s="470"/>
      <c r="AE5" s="6"/>
      <c r="AF5" s="6"/>
      <c r="AG5" s="508"/>
      <c r="AH5" s="509"/>
      <c r="AI5" s="6"/>
      <c r="AJ5" s="600"/>
      <c r="AK5" s="508"/>
      <c r="AM5" s="470"/>
      <c r="AN5" s="6"/>
      <c r="AO5" s="6"/>
      <c r="AP5" s="47"/>
      <c r="AQ5" s="508"/>
      <c r="AR5" s="509"/>
      <c r="AS5" s="6"/>
      <c r="AT5" s="502"/>
      <c r="AU5" s="636"/>
      <c r="AV5" s="526"/>
    </row>
    <row r="6" spans="1:48" ht="80.5" customHeight="1" x14ac:dyDescent="0.35">
      <c r="A6" s="1477"/>
      <c r="B6" s="472">
        <v>2</v>
      </c>
      <c r="C6" s="493"/>
      <c r="D6" s="494"/>
      <c r="E6" s="494"/>
      <c r="F6" s="495"/>
      <c r="G6" s="565"/>
      <c r="H6" s="514"/>
      <c r="I6" s="515"/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/>
      <c r="X6" s="508"/>
      <c r="Y6" s="469"/>
      <c r="Z6" s="6"/>
      <c r="AA6" s="579"/>
      <c r="AB6" s="508"/>
      <c r="AC6" s="66"/>
      <c r="AD6" s="470"/>
      <c r="AE6" s="6"/>
      <c r="AF6" s="6"/>
      <c r="AG6" s="508"/>
      <c r="AH6" s="509"/>
      <c r="AI6" s="6"/>
      <c r="AJ6" s="6"/>
      <c r="AK6" s="508"/>
      <c r="AM6" s="470"/>
      <c r="AN6" s="6"/>
      <c r="AO6" s="6"/>
      <c r="AP6" s="47"/>
      <c r="AQ6" s="508"/>
      <c r="AR6" s="509"/>
      <c r="AS6" s="6"/>
      <c r="AT6" s="502"/>
      <c r="AU6" s="636"/>
      <c r="AV6" s="526"/>
    </row>
    <row r="7" spans="1:48" ht="71.5" customHeight="1" x14ac:dyDescent="0.35">
      <c r="A7" s="1478">
        <v>45172</v>
      </c>
      <c r="B7" s="472">
        <v>1</v>
      </c>
      <c r="C7" s="493"/>
      <c r="D7" s="494">
        <v>12</v>
      </c>
      <c r="E7" s="494"/>
      <c r="F7" s="495"/>
      <c r="G7" s="566"/>
      <c r="H7" s="515" t="s">
        <v>736</v>
      </c>
      <c r="I7" s="515"/>
      <c r="J7" s="568"/>
      <c r="K7" s="66"/>
      <c r="L7" s="470"/>
      <c r="M7" s="509"/>
      <c r="N7" s="6"/>
      <c r="O7" s="508"/>
      <c r="P7" s="509"/>
      <c r="Q7" s="509"/>
      <c r="R7" s="6"/>
      <c r="S7" s="508"/>
      <c r="T7" s="66"/>
      <c r="U7" s="470"/>
      <c r="V7" s="6">
        <v>15</v>
      </c>
      <c r="W7" s="6"/>
      <c r="X7" s="508"/>
      <c r="Y7" s="509"/>
      <c r="Z7" s="6" t="s">
        <v>736</v>
      </c>
      <c r="AA7" s="579"/>
      <c r="AB7" s="508"/>
      <c r="AC7" s="66"/>
      <c r="AD7" s="470"/>
      <c r="AE7" s="6"/>
      <c r="AF7" s="6"/>
      <c r="AG7" s="508"/>
      <c r="AH7" s="509"/>
      <c r="AI7" s="6"/>
      <c r="AJ7" s="6"/>
      <c r="AK7" s="508"/>
      <c r="AM7" s="470"/>
      <c r="AN7" s="6"/>
      <c r="AO7" s="6"/>
      <c r="AP7" s="47"/>
      <c r="AQ7" s="508"/>
      <c r="AR7" s="509"/>
      <c r="AS7" s="6"/>
      <c r="AT7" s="515"/>
      <c r="AU7" s="573"/>
      <c r="AV7" s="526"/>
    </row>
    <row r="8" spans="1:48" ht="69.650000000000006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515"/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/>
      <c r="X8" s="508"/>
      <c r="Y8" s="469"/>
      <c r="Z8" s="6"/>
      <c r="AA8" s="579"/>
      <c r="AB8" s="527"/>
      <c r="AC8" s="66"/>
      <c r="AD8" s="470">
        <v>26</v>
      </c>
      <c r="AE8" s="6"/>
      <c r="AF8" s="6">
        <v>6</v>
      </c>
      <c r="AG8" s="508"/>
      <c r="AH8" s="509" t="s">
        <v>186</v>
      </c>
      <c r="AI8" s="502"/>
      <c r="AJ8" s="515" t="s">
        <v>562</v>
      </c>
      <c r="AK8" s="527"/>
      <c r="AM8" s="470"/>
      <c r="AN8" s="6"/>
      <c r="AO8" s="6"/>
      <c r="AP8" s="47"/>
      <c r="AQ8" s="508"/>
      <c r="AR8" s="509"/>
      <c r="AS8" s="6"/>
      <c r="AT8" s="6"/>
      <c r="AU8" s="47"/>
      <c r="AV8" s="526"/>
    </row>
    <row r="9" spans="1:48" ht="76.95" customHeight="1" x14ac:dyDescent="0.35">
      <c r="A9" s="1478">
        <v>45173</v>
      </c>
      <c r="B9" s="472">
        <v>1</v>
      </c>
      <c r="C9" s="493"/>
      <c r="D9" s="494"/>
      <c r="E9" s="494"/>
      <c r="F9" s="495"/>
      <c r="G9" s="565"/>
      <c r="H9" s="514"/>
      <c r="I9" s="515"/>
      <c r="J9" s="527"/>
      <c r="K9" s="66"/>
      <c r="L9" s="470"/>
      <c r="M9" s="6"/>
      <c r="N9" s="6"/>
      <c r="O9" s="508"/>
      <c r="P9" s="469"/>
      <c r="Q9" s="515"/>
      <c r="R9" s="502"/>
      <c r="S9" s="527"/>
      <c r="T9" s="66"/>
      <c r="U9" s="470"/>
      <c r="V9" s="6"/>
      <c r="W9" s="6"/>
      <c r="X9" s="508"/>
      <c r="Y9" s="509"/>
      <c r="Z9" s="6"/>
      <c r="AA9" s="579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508"/>
      <c r="AR9" s="509"/>
      <c r="AS9" s="6"/>
      <c r="AT9" s="502"/>
      <c r="AU9" s="636"/>
      <c r="AV9" s="526"/>
    </row>
    <row r="10" spans="1:48" ht="67.2" customHeight="1" x14ac:dyDescent="0.35">
      <c r="A10" s="1477"/>
      <c r="B10" s="472">
        <v>2</v>
      </c>
      <c r="C10" s="493"/>
      <c r="D10" s="494"/>
      <c r="E10" s="494"/>
      <c r="F10" s="495"/>
      <c r="G10" s="566"/>
      <c r="H10" s="514"/>
      <c r="I10" s="641"/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/>
      <c r="V10" s="6"/>
      <c r="W10" s="6">
        <v>7</v>
      </c>
      <c r="X10" s="508"/>
      <c r="Y10" s="465"/>
      <c r="Z10" s="469"/>
      <c r="AA10" s="579" t="s">
        <v>152</v>
      </c>
      <c r="AB10" s="527"/>
      <c r="AC10" s="66"/>
      <c r="AD10" s="470"/>
      <c r="AE10" s="6"/>
      <c r="AF10" s="6"/>
      <c r="AG10" s="508"/>
      <c r="AH10" s="469"/>
      <c r="AI10" s="502"/>
      <c r="AJ10" s="6"/>
      <c r="AK10" s="527"/>
      <c r="AM10" s="470"/>
      <c r="AN10" s="6"/>
      <c r="AO10" s="6"/>
      <c r="AP10" s="47"/>
      <c r="AQ10" s="508"/>
      <c r="AR10" s="509"/>
      <c r="AS10" s="6"/>
      <c r="AT10" s="6"/>
      <c r="AU10" s="47"/>
      <c r="AV10" s="526"/>
    </row>
    <row r="11" spans="1:48" ht="60" customHeight="1" x14ac:dyDescent="0.35">
      <c r="A11" s="1478">
        <v>45174</v>
      </c>
      <c r="B11" s="472">
        <v>1</v>
      </c>
      <c r="C11" s="493"/>
      <c r="D11" s="494"/>
      <c r="E11" s="494">
        <v>38</v>
      </c>
      <c r="F11" s="495"/>
      <c r="G11" s="565"/>
      <c r="H11" s="514"/>
      <c r="I11" s="515" t="s">
        <v>152</v>
      </c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>
        <v>14</v>
      </c>
      <c r="X11" s="508"/>
      <c r="Y11" s="509"/>
      <c r="Z11" s="6"/>
      <c r="AA11" s="579" t="s">
        <v>152</v>
      </c>
      <c r="AB11" s="508"/>
      <c r="AC11" s="66"/>
      <c r="AD11" s="470"/>
      <c r="AE11" s="6"/>
      <c r="AF11" s="6"/>
      <c r="AG11" s="508"/>
      <c r="AH11" s="509"/>
      <c r="AI11" s="6"/>
      <c r="AJ11" s="6"/>
      <c r="AK11" s="508"/>
      <c r="AM11" s="470"/>
      <c r="AN11" s="6"/>
      <c r="AO11" s="6"/>
      <c r="AP11" s="47"/>
      <c r="AQ11" s="508"/>
      <c r="AR11" s="509"/>
      <c r="AS11" s="6"/>
      <c r="AT11" s="6"/>
      <c r="AU11" s="47"/>
      <c r="AV11" s="526"/>
    </row>
    <row r="12" spans="1:48" ht="55.2" customHeight="1" x14ac:dyDescent="0.35">
      <c r="A12" s="1477"/>
      <c r="B12" s="472">
        <v>2</v>
      </c>
      <c r="C12" s="493"/>
      <c r="D12" s="494"/>
      <c r="E12" s="494"/>
      <c r="F12" s="495"/>
      <c r="G12" s="566"/>
      <c r="H12" s="514"/>
      <c r="I12" s="515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509"/>
      <c r="Z12" s="6"/>
      <c r="AA12" s="579"/>
      <c r="AB12" s="527"/>
      <c r="AC12" s="66"/>
      <c r="AD12" s="470"/>
      <c r="AE12" s="6"/>
      <c r="AF12" s="6"/>
      <c r="AG12" s="508"/>
      <c r="AH12" s="509"/>
      <c r="AI12" s="502"/>
      <c r="AJ12" s="6"/>
      <c r="AK12" s="527"/>
      <c r="AM12" s="470"/>
      <c r="AN12" s="6"/>
      <c r="AO12" s="6"/>
      <c r="AP12" s="47"/>
      <c r="AQ12" s="508"/>
      <c r="AR12" s="509"/>
      <c r="AS12" s="6"/>
      <c r="AT12" s="6"/>
      <c r="AU12" s="47"/>
      <c r="AV12" s="527"/>
    </row>
    <row r="13" spans="1:48" ht="34.950000000000003" customHeight="1" x14ac:dyDescent="0.35">
      <c r="A13" s="1478">
        <v>45175</v>
      </c>
      <c r="B13" s="472">
        <v>1</v>
      </c>
      <c r="C13" s="493"/>
      <c r="D13" s="494"/>
      <c r="E13" s="494">
        <v>20</v>
      </c>
      <c r="F13" s="495"/>
      <c r="G13" s="566"/>
      <c r="H13" s="514"/>
      <c r="I13" s="515" t="s">
        <v>152</v>
      </c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>
        <v>20</v>
      </c>
      <c r="X13" s="508"/>
      <c r="Y13" s="509"/>
      <c r="Z13" s="6"/>
      <c r="AA13" s="579" t="s">
        <v>152</v>
      </c>
      <c r="AB13" s="527"/>
      <c r="AC13" s="66"/>
      <c r="AD13" s="470"/>
      <c r="AE13" s="6"/>
      <c r="AF13" s="6"/>
      <c r="AG13" s="495"/>
      <c r="AH13" s="509"/>
      <c r="AI13" s="6"/>
      <c r="AJ13" s="6"/>
      <c r="AK13" s="527"/>
      <c r="AM13" s="470"/>
      <c r="AN13" s="6"/>
      <c r="AO13" s="6"/>
      <c r="AP13" s="47"/>
      <c r="AQ13" s="495"/>
      <c r="AR13" s="509"/>
      <c r="AS13" s="6"/>
      <c r="AT13" s="6"/>
      <c r="AU13" s="47"/>
      <c r="AV13" s="527"/>
    </row>
    <row r="14" spans="1:48" ht="49.2" customHeight="1" x14ac:dyDescent="0.35">
      <c r="A14" s="1477"/>
      <c r="B14" s="472">
        <v>2</v>
      </c>
      <c r="C14" s="493"/>
      <c r="D14" s="494"/>
      <c r="E14" s="494"/>
      <c r="F14" s="495"/>
      <c r="G14" s="566"/>
      <c r="H14" s="515"/>
      <c r="I14" s="515"/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>
        <v>41</v>
      </c>
      <c r="X14" s="495"/>
      <c r="Y14" s="469"/>
      <c r="Z14" s="502"/>
      <c r="AA14" s="502" t="s">
        <v>558</v>
      </c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/>
      <c r="AN14" s="6"/>
      <c r="AO14" s="6"/>
      <c r="AP14" s="47"/>
      <c r="AQ14" s="495"/>
      <c r="AR14" s="469"/>
      <c r="AS14" s="6"/>
      <c r="AT14" s="6"/>
      <c r="AU14" s="47"/>
      <c r="AV14" s="527"/>
    </row>
    <row r="15" spans="1:48" ht="48" customHeight="1" x14ac:dyDescent="0.35">
      <c r="A15" s="1478">
        <v>45176</v>
      </c>
      <c r="B15" s="472">
        <v>1</v>
      </c>
      <c r="C15" s="493"/>
      <c r="D15" s="494"/>
      <c r="E15" s="6">
        <v>20</v>
      </c>
      <c r="F15" s="495"/>
      <c r="G15" s="566"/>
      <c r="H15" s="515"/>
      <c r="I15" s="515" t="s">
        <v>158</v>
      </c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/>
      <c r="V15" s="6"/>
      <c r="W15" s="6">
        <v>47</v>
      </c>
      <c r="X15" s="495"/>
      <c r="Y15" s="566"/>
      <c r="Z15" s="515"/>
      <c r="AA15" s="515" t="s">
        <v>737</v>
      </c>
      <c r="AB15" s="527"/>
      <c r="AC15" s="66"/>
      <c r="AD15" s="470"/>
      <c r="AE15" s="6"/>
      <c r="AF15" s="66"/>
      <c r="AG15" s="495"/>
      <c r="AH15" s="566"/>
      <c r="AI15" s="515"/>
      <c r="AJ15" s="515"/>
      <c r="AK15" s="527"/>
      <c r="AM15" s="470"/>
      <c r="AN15" s="6"/>
      <c r="AO15" s="66"/>
      <c r="AP15" s="495"/>
      <c r="AQ15" s="566"/>
      <c r="AR15" s="515"/>
      <c r="AS15" s="515"/>
      <c r="AT15" s="515"/>
      <c r="AU15" s="527"/>
      <c r="AV15" s="527"/>
    </row>
    <row r="16" spans="1:48" ht="54.65" customHeight="1" x14ac:dyDescent="0.35">
      <c r="A16" s="1477"/>
      <c r="B16" s="472">
        <v>2</v>
      </c>
      <c r="C16" s="493"/>
      <c r="D16" s="494"/>
      <c r="E16" s="494"/>
      <c r="F16" s="495"/>
      <c r="G16" s="565"/>
      <c r="H16" s="638"/>
      <c r="I16" s="641"/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/>
      <c r="W16" s="6"/>
      <c r="X16" s="495"/>
      <c r="Y16" s="565"/>
      <c r="Z16" s="638"/>
      <c r="AA16" s="515"/>
      <c r="AB16" s="527"/>
      <c r="AC16" s="66"/>
      <c r="AD16" s="470"/>
      <c r="AE16" s="6"/>
      <c r="AF16" s="6"/>
      <c r="AG16" s="495"/>
      <c r="AH16" s="565"/>
      <c r="AI16" s="638"/>
      <c r="AJ16" s="6"/>
      <c r="AK16" s="527"/>
      <c r="AM16" s="470"/>
      <c r="AN16" s="6"/>
      <c r="AO16" s="6"/>
      <c r="AP16" s="495"/>
      <c r="AQ16" s="565"/>
      <c r="AR16" s="638"/>
      <c r="AS16" s="515"/>
      <c r="AT16" s="515"/>
      <c r="AU16" s="573"/>
      <c r="AV16" s="527"/>
    </row>
    <row r="17" spans="1:48" ht="66" customHeight="1" x14ac:dyDescent="0.35">
      <c r="A17" s="1478">
        <v>45177</v>
      </c>
      <c r="B17" s="534">
        <v>1</v>
      </c>
      <c r="C17" s="493"/>
      <c r="D17" s="494"/>
      <c r="E17" s="494"/>
      <c r="F17" s="495"/>
      <c r="G17" s="566"/>
      <c r="H17" s="514"/>
      <c r="I17" s="515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>
        <v>10</v>
      </c>
      <c r="X17" s="495"/>
      <c r="Y17" s="566"/>
      <c r="Z17" s="514"/>
      <c r="AA17" s="515" t="s">
        <v>152</v>
      </c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495"/>
      <c r="AQ17" s="566"/>
      <c r="AR17" s="514"/>
      <c r="AS17" s="515"/>
      <c r="AT17" s="515"/>
      <c r="AU17" s="527"/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638"/>
      <c r="I18" s="515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6">
        <v>7</v>
      </c>
      <c r="X18" s="495"/>
      <c r="Y18" s="565"/>
      <c r="Z18" s="515"/>
      <c r="AA18" s="515" t="s">
        <v>152</v>
      </c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/>
      <c r="AP18" s="47"/>
      <c r="AQ18" s="495"/>
      <c r="AR18" s="565"/>
      <c r="AS18" s="515"/>
      <c r="AT18" s="515"/>
      <c r="AU18" s="638"/>
      <c r="AV18" s="527"/>
    </row>
    <row r="19" spans="1:48" ht="33.65" customHeight="1" x14ac:dyDescent="0.35">
      <c r="A19" s="1478">
        <v>45178</v>
      </c>
      <c r="B19" s="472">
        <v>1</v>
      </c>
      <c r="C19" s="66"/>
      <c r="D19" s="494"/>
      <c r="E19" s="494"/>
      <c r="F19" s="495"/>
      <c r="G19" s="465"/>
      <c r="H19" s="6"/>
      <c r="I19" s="515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515"/>
      <c r="AB19" s="527"/>
      <c r="AC19" s="66"/>
      <c r="AD19" s="470"/>
      <c r="AE19" s="6"/>
      <c r="AF19" s="6"/>
      <c r="AG19" s="495"/>
      <c r="AH19" s="470"/>
      <c r="AI19" s="6"/>
      <c r="AJ19" s="6"/>
      <c r="AK19" s="527"/>
      <c r="AM19" s="470"/>
      <c r="AN19" s="6"/>
      <c r="AO19" s="6"/>
      <c r="AP19" s="47"/>
      <c r="AQ19" s="495"/>
      <c r="AR19" s="470"/>
      <c r="AS19" s="6"/>
      <c r="AT19" s="515"/>
      <c r="AU19" s="636"/>
      <c r="AV19" s="527"/>
    </row>
    <row r="20" spans="1:48" ht="31.2" customHeight="1" x14ac:dyDescent="0.35">
      <c r="A20" s="1477"/>
      <c r="B20" s="472">
        <v>2</v>
      </c>
      <c r="C20" s="493"/>
      <c r="D20" s="494"/>
      <c r="E20" s="494"/>
      <c r="F20" s="495"/>
      <c r="G20" s="465"/>
      <c r="H20" s="502"/>
      <c r="I20" s="515"/>
      <c r="J20" s="527"/>
      <c r="K20" s="66"/>
      <c r="L20" s="470"/>
      <c r="M20" s="6"/>
      <c r="N20" s="6"/>
      <c r="O20" s="495"/>
      <c r="P20" s="470"/>
      <c r="Q20" s="502"/>
      <c r="R20" s="605"/>
      <c r="S20" s="527"/>
      <c r="T20" s="66"/>
      <c r="U20" s="470"/>
      <c r="V20" s="214"/>
      <c r="W20" s="6"/>
      <c r="X20" s="495"/>
      <c r="Y20" s="470"/>
      <c r="Z20" s="502"/>
      <c r="AA20" s="605"/>
      <c r="AB20" s="527"/>
      <c r="AC20" s="66"/>
      <c r="AD20" s="470"/>
      <c r="AE20" s="6"/>
      <c r="AF20" s="6"/>
      <c r="AG20" s="495"/>
      <c r="AH20" s="470"/>
      <c r="AI20" s="502"/>
      <c r="AJ20" s="625"/>
      <c r="AK20" s="527"/>
      <c r="AM20" s="470"/>
      <c r="AN20" s="6"/>
      <c r="AO20" s="6"/>
      <c r="AP20" s="47"/>
      <c r="AQ20" s="495"/>
      <c r="AR20" s="470"/>
      <c r="AS20" s="502"/>
      <c r="AT20" s="502"/>
      <c r="AU20" s="66"/>
      <c r="AV20" s="527"/>
    </row>
    <row r="21" spans="1:48" ht="59.5" customHeight="1" x14ac:dyDescent="0.35">
      <c r="A21" s="1478">
        <v>45179</v>
      </c>
      <c r="B21" s="472">
        <v>1</v>
      </c>
      <c r="C21" s="493"/>
      <c r="D21" s="494"/>
      <c r="E21" s="494"/>
      <c r="F21" s="495"/>
      <c r="G21" s="569"/>
      <c r="H21" s="514"/>
      <c r="I21" s="641"/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70"/>
      <c r="Z21" s="6"/>
      <c r="AA21" s="502"/>
      <c r="AB21" s="527"/>
      <c r="AC21" s="66"/>
      <c r="AD21" s="470"/>
      <c r="AE21" s="6"/>
      <c r="AF21" s="6">
        <v>60</v>
      </c>
      <c r="AG21" s="495"/>
      <c r="AH21" s="470"/>
      <c r="AI21" s="6"/>
      <c r="AJ21" s="502" t="s">
        <v>738</v>
      </c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31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515"/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/>
      <c r="X22" s="495"/>
      <c r="Y22" s="465"/>
      <c r="Z22" s="6"/>
      <c r="AA22" s="502"/>
      <c r="AB22" s="527"/>
      <c r="AC22" s="66"/>
      <c r="AD22" s="470"/>
      <c r="AE22" s="6"/>
      <c r="AF22" s="6"/>
      <c r="AG22" s="495"/>
      <c r="AH22" s="465"/>
      <c r="AI22" s="6"/>
      <c r="AJ22" s="6"/>
      <c r="AK22" s="607"/>
      <c r="AM22" s="470"/>
      <c r="AN22" s="6"/>
      <c r="AO22" s="6"/>
      <c r="AP22" s="47"/>
      <c r="AQ22" s="495"/>
      <c r="AR22" s="470"/>
      <c r="AS22" s="502"/>
      <c r="AT22" s="47"/>
      <c r="AU22" s="47"/>
      <c r="AV22" s="527"/>
    </row>
    <row r="23" spans="1:48" ht="47.5" customHeight="1" x14ac:dyDescent="0.35">
      <c r="A23" s="1478">
        <v>45180</v>
      </c>
      <c r="B23" s="534">
        <v>1</v>
      </c>
      <c r="C23" s="493"/>
      <c r="D23" s="494"/>
      <c r="E23" s="494"/>
      <c r="F23" s="495"/>
      <c r="G23" s="566"/>
      <c r="H23" s="514"/>
      <c r="I23" s="515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465"/>
      <c r="Z23" s="514"/>
      <c r="AA23" s="515"/>
      <c r="AB23" s="527"/>
      <c r="AC23" s="66"/>
      <c r="AD23" s="470"/>
      <c r="AE23" s="6"/>
      <c r="AF23" s="6"/>
      <c r="AG23" s="495"/>
      <c r="AH23" s="6"/>
      <c r="AI23" s="514"/>
      <c r="AJ23" s="515"/>
      <c r="AK23" s="607"/>
      <c r="AM23" s="470"/>
      <c r="AN23" s="6"/>
      <c r="AO23" s="6"/>
      <c r="AP23" s="47"/>
      <c r="AQ23" s="495"/>
      <c r="AR23" s="6"/>
      <c r="AS23" s="514"/>
      <c r="AT23" s="573"/>
      <c r="AU23" s="573"/>
      <c r="AV23" s="527"/>
    </row>
    <row r="24" spans="1:48" ht="49.95" customHeight="1" x14ac:dyDescent="0.35">
      <c r="A24" s="1477"/>
      <c r="B24" s="472">
        <v>2</v>
      </c>
      <c r="C24" s="493"/>
      <c r="D24" s="494"/>
      <c r="E24" s="494"/>
      <c r="F24" s="495">
        <v>680</v>
      </c>
      <c r="G24" s="566"/>
      <c r="H24" s="514"/>
      <c r="I24" s="515"/>
      <c r="J24" s="527" t="s">
        <v>739</v>
      </c>
      <c r="K24" s="66"/>
      <c r="L24" s="470"/>
      <c r="M24" s="6"/>
      <c r="N24" s="6"/>
      <c r="O24" s="495">
        <v>670</v>
      </c>
      <c r="P24" s="566"/>
      <c r="Q24" s="514"/>
      <c r="R24" s="515"/>
      <c r="S24" s="527" t="s">
        <v>739</v>
      </c>
      <c r="T24" s="66"/>
      <c r="U24" s="470"/>
      <c r="V24" s="6"/>
      <c r="W24" s="6"/>
      <c r="X24" s="495">
        <v>673</v>
      </c>
      <c r="Y24" s="566"/>
      <c r="Z24" s="514"/>
      <c r="AA24" s="515"/>
      <c r="AB24" s="527" t="s">
        <v>739</v>
      </c>
      <c r="AC24" s="66"/>
      <c r="AD24" s="470"/>
      <c r="AE24" s="6"/>
      <c r="AF24" s="6"/>
      <c r="AG24" s="495">
        <v>672</v>
      </c>
      <c r="AH24" s="566"/>
      <c r="AI24" s="514"/>
      <c r="AJ24" s="515"/>
      <c r="AK24" s="527" t="s">
        <v>739</v>
      </c>
      <c r="AM24" s="470"/>
      <c r="AN24" s="6"/>
      <c r="AO24" s="6"/>
      <c r="AP24" s="495">
        <v>678</v>
      </c>
      <c r="AQ24" s="566"/>
      <c r="AR24" s="514"/>
      <c r="AS24" s="515"/>
      <c r="AT24" s="527" t="s">
        <v>739</v>
      </c>
      <c r="AU24" s="527"/>
      <c r="AV24" s="527"/>
    </row>
    <row r="25" spans="1:48" ht="46.2" customHeight="1" x14ac:dyDescent="0.35">
      <c r="A25" s="1478">
        <v>45181</v>
      </c>
      <c r="B25" s="472">
        <v>1</v>
      </c>
      <c r="C25" s="493"/>
      <c r="D25" s="494"/>
      <c r="E25" s="494"/>
      <c r="F25" s="495">
        <v>720</v>
      </c>
      <c r="G25" s="566"/>
      <c r="H25" s="514"/>
      <c r="I25" s="515"/>
      <c r="J25" s="527" t="s">
        <v>739</v>
      </c>
      <c r="K25" s="66"/>
      <c r="L25" s="470"/>
      <c r="M25" s="6"/>
      <c r="N25" s="6"/>
      <c r="O25" s="495">
        <v>720</v>
      </c>
      <c r="P25" s="566"/>
      <c r="Q25" s="514"/>
      <c r="R25" s="515"/>
      <c r="S25" s="527" t="s">
        <v>739</v>
      </c>
      <c r="T25" s="66"/>
      <c r="U25" s="470"/>
      <c r="V25" s="6"/>
      <c r="W25" s="6"/>
      <c r="X25" s="495">
        <v>720</v>
      </c>
      <c r="Y25" s="566"/>
      <c r="Z25" s="514"/>
      <c r="AA25" s="515"/>
      <c r="AB25" s="527" t="s">
        <v>739</v>
      </c>
      <c r="AC25" s="66"/>
      <c r="AD25" s="470"/>
      <c r="AE25" s="6"/>
      <c r="AF25" s="6"/>
      <c r="AG25" s="495">
        <v>720</v>
      </c>
      <c r="AH25" s="566"/>
      <c r="AI25" s="514"/>
      <c r="AJ25" s="515"/>
      <c r="AK25" s="527" t="s">
        <v>739</v>
      </c>
      <c r="AM25" s="470"/>
      <c r="AN25" s="6"/>
      <c r="AO25" s="6"/>
      <c r="AP25" s="495">
        <v>720</v>
      </c>
      <c r="AQ25" s="566"/>
      <c r="AR25" s="514"/>
      <c r="AS25" s="515"/>
      <c r="AT25" s="527" t="s">
        <v>739</v>
      </c>
      <c r="AU25" s="47"/>
      <c r="AV25" s="527"/>
    </row>
    <row r="26" spans="1:48" ht="42" customHeight="1" x14ac:dyDescent="0.35">
      <c r="A26" s="1477"/>
      <c r="B26" s="472">
        <v>2</v>
      </c>
      <c r="C26" s="493"/>
      <c r="D26" s="494"/>
      <c r="E26" s="494"/>
      <c r="F26" s="495">
        <v>720</v>
      </c>
      <c r="G26" s="566"/>
      <c r="H26" s="514"/>
      <c r="I26" s="515"/>
      <c r="J26" s="527" t="s">
        <v>739</v>
      </c>
      <c r="K26" s="66"/>
      <c r="L26" s="470"/>
      <c r="M26" s="6"/>
      <c r="N26" s="6"/>
      <c r="O26" s="495">
        <v>720</v>
      </c>
      <c r="P26" s="566"/>
      <c r="Q26" s="514"/>
      <c r="R26" s="515"/>
      <c r="S26" s="527" t="s">
        <v>739</v>
      </c>
      <c r="T26" s="66"/>
      <c r="U26" s="470"/>
      <c r="V26" s="494"/>
      <c r="W26" s="6"/>
      <c r="X26" s="495">
        <v>720</v>
      </c>
      <c r="Y26" s="566"/>
      <c r="Z26" s="514"/>
      <c r="AA26" s="515"/>
      <c r="AB26" s="527" t="s">
        <v>739</v>
      </c>
      <c r="AC26" s="66"/>
      <c r="AD26" s="470"/>
      <c r="AE26" s="494"/>
      <c r="AF26" s="6"/>
      <c r="AG26" s="495">
        <v>720</v>
      </c>
      <c r="AH26" s="566"/>
      <c r="AI26" s="514"/>
      <c r="AJ26" s="515"/>
      <c r="AK26" s="527" t="s">
        <v>739</v>
      </c>
      <c r="AM26" s="470"/>
      <c r="AN26" s="494"/>
      <c r="AO26" s="6"/>
      <c r="AP26" s="495">
        <v>720</v>
      </c>
      <c r="AQ26" s="566"/>
      <c r="AR26" s="514"/>
      <c r="AS26" s="515"/>
      <c r="AT26" s="527" t="s">
        <v>739</v>
      </c>
      <c r="AU26" s="527"/>
      <c r="AV26" s="527"/>
    </row>
    <row r="27" spans="1:48" ht="49.95" customHeight="1" x14ac:dyDescent="0.35">
      <c r="A27" s="1478">
        <v>45182</v>
      </c>
      <c r="B27" s="534">
        <v>1</v>
      </c>
      <c r="C27" s="493"/>
      <c r="D27" s="494"/>
      <c r="E27" s="494"/>
      <c r="F27" s="495">
        <v>720</v>
      </c>
      <c r="G27" s="566"/>
      <c r="H27" s="514"/>
      <c r="I27" s="515"/>
      <c r="J27" s="527" t="s">
        <v>739</v>
      </c>
      <c r="K27" s="66"/>
      <c r="L27" s="470"/>
      <c r="M27" s="6"/>
      <c r="N27" s="6"/>
      <c r="O27" s="495">
        <v>720</v>
      </c>
      <c r="P27" s="566"/>
      <c r="Q27" s="514"/>
      <c r="R27" s="515"/>
      <c r="S27" s="527" t="s">
        <v>739</v>
      </c>
      <c r="T27" s="66"/>
      <c r="U27" s="470"/>
      <c r="V27" s="6"/>
      <c r="W27" s="6"/>
      <c r="X27" s="495">
        <v>720</v>
      </c>
      <c r="Y27" s="566"/>
      <c r="Z27" s="514"/>
      <c r="AA27" s="515"/>
      <c r="AB27" s="527" t="s">
        <v>739</v>
      </c>
      <c r="AC27" s="66"/>
      <c r="AD27" s="470"/>
      <c r="AE27" s="6"/>
      <c r="AF27" s="6"/>
      <c r="AG27" s="495">
        <v>720</v>
      </c>
      <c r="AH27" s="566"/>
      <c r="AI27" s="514"/>
      <c r="AJ27" s="515"/>
      <c r="AK27" s="527" t="s">
        <v>739</v>
      </c>
      <c r="AM27" s="470"/>
      <c r="AN27" s="6"/>
      <c r="AO27" s="6"/>
      <c r="AP27" s="495">
        <v>720</v>
      </c>
      <c r="AQ27" s="566"/>
      <c r="AR27" s="514"/>
      <c r="AS27" s="515"/>
      <c r="AT27" s="527" t="s">
        <v>739</v>
      </c>
      <c r="AU27" s="527"/>
      <c r="AV27" s="527"/>
    </row>
    <row r="28" spans="1:48" ht="49.2" customHeight="1" x14ac:dyDescent="0.35">
      <c r="A28" s="1477"/>
      <c r="B28" s="472">
        <v>2</v>
      </c>
      <c r="C28" s="493"/>
      <c r="D28" s="494"/>
      <c r="E28" s="494"/>
      <c r="F28" s="495">
        <v>720</v>
      </c>
      <c r="G28" s="566"/>
      <c r="H28" s="514"/>
      <c r="I28" s="515"/>
      <c r="J28" s="527" t="s">
        <v>739</v>
      </c>
      <c r="K28" s="66"/>
      <c r="L28" s="470"/>
      <c r="M28" s="6"/>
      <c r="N28" s="6"/>
      <c r="O28" s="495">
        <v>720</v>
      </c>
      <c r="P28" s="566"/>
      <c r="Q28" s="514"/>
      <c r="R28" s="515"/>
      <c r="S28" s="527" t="s">
        <v>739</v>
      </c>
      <c r="T28" s="66"/>
      <c r="U28" s="470"/>
      <c r="V28" s="6"/>
      <c r="W28" s="66"/>
      <c r="X28" s="495">
        <v>720</v>
      </c>
      <c r="Y28" s="566"/>
      <c r="Z28" s="514"/>
      <c r="AA28" s="515"/>
      <c r="AB28" s="527" t="s">
        <v>739</v>
      </c>
      <c r="AC28" s="66"/>
      <c r="AD28" s="470"/>
      <c r="AE28" s="6"/>
      <c r="AF28" s="6"/>
      <c r="AG28" s="495">
        <v>720</v>
      </c>
      <c r="AH28" s="566"/>
      <c r="AI28" s="514"/>
      <c r="AJ28" s="515"/>
      <c r="AK28" s="527" t="s">
        <v>739</v>
      </c>
      <c r="AM28" s="470"/>
      <c r="AN28" s="6"/>
      <c r="AO28" s="6"/>
      <c r="AP28" s="495">
        <v>720</v>
      </c>
      <c r="AQ28" s="566"/>
      <c r="AR28" s="514"/>
      <c r="AS28" s="515"/>
      <c r="AT28" s="527" t="s">
        <v>739</v>
      </c>
      <c r="AU28" s="527"/>
      <c r="AV28" s="526"/>
    </row>
    <row r="29" spans="1:48" ht="45" customHeight="1" x14ac:dyDescent="0.35">
      <c r="A29" s="1478">
        <v>45183</v>
      </c>
      <c r="B29" s="472">
        <v>1</v>
      </c>
      <c r="C29" s="493"/>
      <c r="D29" s="494"/>
      <c r="E29" s="494"/>
      <c r="F29" s="495">
        <v>720</v>
      </c>
      <c r="G29" s="566"/>
      <c r="H29" s="514"/>
      <c r="I29" s="515"/>
      <c r="J29" s="527" t="s">
        <v>739</v>
      </c>
      <c r="K29" s="66"/>
      <c r="L29" s="470"/>
      <c r="M29" s="6"/>
      <c r="N29" s="6"/>
      <c r="O29" s="495">
        <v>720</v>
      </c>
      <c r="P29" s="566"/>
      <c r="Q29" s="514"/>
      <c r="R29" s="515"/>
      <c r="S29" s="527" t="s">
        <v>739</v>
      </c>
      <c r="T29" s="66"/>
      <c r="U29" s="470"/>
      <c r="V29" s="6"/>
      <c r="W29" s="6"/>
      <c r="X29" s="495">
        <v>720</v>
      </c>
      <c r="Y29" s="566"/>
      <c r="Z29" s="514"/>
      <c r="AA29" s="515"/>
      <c r="AB29" s="527" t="s">
        <v>739</v>
      </c>
      <c r="AC29" s="66"/>
      <c r="AD29" s="470"/>
      <c r="AE29" s="6"/>
      <c r="AF29" s="6"/>
      <c r="AG29" s="495">
        <v>720</v>
      </c>
      <c r="AH29" s="566"/>
      <c r="AI29" s="514"/>
      <c r="AJ29" s="515"/>
      <c r="AK29" s="527" t="s">
        <v>739</v>
      </c>
      <c r="AM29" s="470"/>
      <c r="AN29" s="6"/>
      <c r="AO29" s="6"/>
      <c r="AP29" s="495">
        <v>720</v>
      </c>
      <c r="AQ29" s="566"/>
      <c r="AR29" s="514"/>
      <c r="AS29" s="515"/>
      <c r="AT29" s="527" t="s">
        <v>739</v>
      </c>
      <c r="AU29" s="527"/>
      <c r="AV29" s="508"/>
    </row>
    <row r="30" spans="1:48" ht="50.5" customHeight="1" x14ac:dyDescent="0.35">
      <c r="A30" s="1477"/>
      <c r="B30" s="534">
        <v>2</v>
      </c>
      <c r="C30" s="493"/>
      <c r="D30" s="494"/>
      <c r="E30" s="494"/>
      <c r="F30" s="495">
        <v>720</v>
      </c>
      <c r="G30" s="566"/>
      <c r="H30" s="514"/>
      <c r="I30" s="515"/>
      <c r="J30" s="527" t="s">
        <v>739</v>
      </c>
      <c r="K30" s="66"/>
      <c r="L30" s="470"/>
      <c r="M30" s="6"/>
      <c r="N30" s="6"/>
      <c r="O30" s="495">
        <v>720</v>
      </c>
      <c r="P30" s="566"/>
      <c r="Q30" s="514"/>
      <c r="R30" s="515"/>
      <c r="S30" s="527" t="s">
        <v>739</v>
      </c>
      <c r="T30" s="66"/>
      <c r="U30" s="470"/>
      <c r="V30" s="6"/>
      <c r="W30" s="6"/>
      <c r="X30" s="495">
        <v>720</v>
      </c>
      <c r="Y30" s="566"/>
      <c r="Z30" s="514"/>
      <c r="AA30" s="515"/>
      <c r="AB30" s="527" t="s">
        <v>739</v>
      </c>
      <c r="AC30" s="66"/>
      <c r="AD30" s="470"/>
      <c r="AE30" s="6"/>
      <c r="AF30" s="6"/>
      <c r="AG30" s="495">
        <v>720</v>
      </c>
      <c r="AH30" s="566"/>
      <c r="AI30" s="514"/>
      <c r="AJ30" s="515"/>
      <c r="AK30" s="527" t="s">
        <v>739</v>
      </c>
      <c r="AM30" s="470"/>
      <c r="AN30" s="6"/>
      <c r="AO30" s="6"/>
      <c r="AP30" s="495">
        <v>720</v>
      </c>
      <c r="AQ30" s="566"/>
      <c r="AR30" s="514"/>
      <c r="AS30" s="515"/>
      <c r="AT30" s="527" t="s">
        <v>739</v>
      </c>
      <c r="AU30" s="527"/>
      <c r="AV30" s="508"/>
    </row>
    <row r="31" spans="1:48" ht="55.95" customHeight="1" x14ac:dyDescent="0.35">
      <c r="A31" s="1478">
        <v>45184</v>
      </c>
      <c r="B31" s="472">
        <v>1</v>
      </c>
      <c r="C31" s="493"/>
      <c r="D31" s="494"/>
      <c r="E31" s="494"/>
      <c r="F31" s="495">
        <v>720</v>
      </c>
      <c r="G31" s="566"/>
      <c r="H31" s="514"/>
      <c r="I31" s="515"/>
      <c r="J31" s="527" t="s">
        <v>739</v>
      </c>
      <c r="K31" s="66"/>
      <c r="L31" s="470"/>
      <c r="M31" s="6"/>
      <c r="N31" s="6"/>
      <c r="O31" s="495">
        <v>720</v>
      </c>
      <c r="P31" s="566"/>
      <c r="Q31" s="514"/>
      <c r="R31" s="515"/>
      <c r="S31" s="527" t="s">
        <v>739</v>
      </c>
      <c r="T31" s="66"/>
      <c r="U31" s="470"/>
      <c r="V31" s="6"/>
      <c r="W31" s="6"/>
      <c r="X31" s="495">
        <v>720</v>
      </c>
      <c r="Y31" s="566"/>
      <c r="Z31" s="514"/>
      <c r="AA31" s="515"/>
      <c r="AB31" s="527" t="s">
        <v>739</v>
      </c>
      <c r="AC31" s="66"/>
      <c r="AD31" s="470"/>
      <c r="AE31" s="6"/>
      <c r="AF31" s="6"/>
      <c r="AG31" s="495">
        <v>720</v>
      </c>
      <c r="AH31" s="566"/>
      <c r="AI31" s="514"/>
      <c r="AJ31" s="515"/>
      <c r="AK31" s="527" t="s">
        <v>739</v>
      </c>
      <c r="AM31" s="470"/>
      <c r="AN31" s="6"/>
      <c r="AO31" s="6"/>
      <c r="AP31" s="495">
        <v>720</v>
      </c>
      <c r="AQ31" s="566"/>
      <c r="AR31" s="514"/>
      <c r="AS31" s="515"/>
      <c r="AT31" s="527" t="s">
        <v>739</v>
      </c>
      <c r="AU31" s="527"/>
      <c r="AV31" s="527"/>
    </row>
    <row r="32" spans="1:48" ht="63" customHeight="1" x14ac:dyDescent="0.35">
      <c r="A32" s="1477"/>
      <c r="B32" s="472">
        <v>2</v>
      </c>
      <c r="C32" s="493"/>
      <c r="D32" s="494"/>
      <c r="E32" s="494"/>
      <c r="F32" s="495">
        <v>720</v>
      </c>
      <c r="G32" s="566"/>
      <c r="H32" s="514"/>
      <c r="I32" s="515"/>
      <c r="J32" s="527" t="s">
        <v>739</v>
      </c>
      <c r="K32" s="66"/>
      <c r="L32" s="470"/>
      <c r="M32" s="6"/>
      <c r="N32" s="6"/>
      <c r="O32" s="495">
        <v>720</v>
      </c>
      <c r="P32" s="566"/>
      <c r="Q32" s="514"/>
      <c r="R32" s="515"/>
      <c r="S32" s="527" t="s">
        <v>739</v>
      </c>
      <c r="T32" s="66"/>
      <c r="U32" s="470"/>
      <c r="V32" s="6"/>
      <c r="W32" s="494"/>
      <c r="X32" s="495">
        <v>720</v>
      </c>
      <c r="Y32" s="566"/>
      <c r="Z32" s="514"/>
      <c r="AA32" s="515"/>
      <c r="AB32" s="527" t="s">
        <v>739</v>
      </c>
      <c r="AC32" s="66"/>
      <c r="AD32" s="470"/>
      <c r="AE32" s="6"/>
      <c r="AF32" s="494"/>
      <c r="AG32" s="495">
        <v>720</v>
      </c>
      <c r="AH32" s="566"/>
      <c r="AI32" s="514"/>
      <c r="AJ32" s="515"/>
      <c r="AK32" s="527" t="s">
        <v>739</v>
      </c>
      <c r="AM32" s="470"/>
      <c r="AN32" s="6"/>
      <c r="AO32" s="6"/>
      <c r="AP32" s="495">
        <v>720</v>
      </c>
      <c r="AQ32" s="566"/>
      <c r="AR32" s="514"/>
      <c r="AS32" s="515"/>
      <c r="AT32" s="527" t="s">
        <v>739</v>
      </c>
      <c r="AU32" s="527"/>
      <c r="AV32" s="508"/>
    </row>
    <row r="33" spans="1:48" ht="43.2" customHeight="1" x14ac:dyDescent="0.35">
      <c r="A33" s="1478">
        <v>45185</v>
      </c>
      <c r="B33" s="472">
        <v>1</v>
      </c>
      <c r="C33" s="493"/>
      <c r="D33" s="494"/>
      <c r="E33" s="494"/>
      <c r="F33" s="495">
        <v>720</v>
      </c>
      <c r="G33" s="566"/>
      <c r="H33" s="514"/>
      <c r="I33" s="515"/>
      <c r="J33" s="527" t="s">
        <v>739</v>
      </c>
      <c r="K33" s="66"/>
      <c r="L33" s="470"/>
      <c r="M33" s="6"/>
      <c r="N33" s="6"/>
      <c r="O33" s="495">
        <v>720</v>
      </c>
      <c r="P33" s="566"/>
      <c r="Q33" s="514"/>
      <c r="R33" s="515"/>
      <c r="S33" s="527" t="s">
        <v>739</v>
      </c>
      <c r="T33" s="66"/>
      <c r="U33" s="470"/>
      <c r="V33" s="6"/>
      <c r="W33" s="6"/>
      <c r="X33" s="495">
        <v>720</v>
      </c>
      <c r="Y33" s="566"/>
      <c r="Z33" s="514"/>
      <c r="AA33" s="515"/>
      <c r="AB33" s="527" t="s">
        <v>739</v>
      </c>
      <c r="AC33" s="66"/>
      <c r="AD33" s="470"/>
      <c r="AE33" s="6"/>
      <c r="AF33" s="6"/>
      <c r="AG33" s="495">
        <v>720</v>
      </c>
      <c r="AH33" s="566"/>
      <c r="AI33" s="514"/>
      <c r="AJ33" s="515"/>
      <c r="AK33" s="527" t="s">
        <v>739</v>
      </c>
      <c r="AM33" s="470"/>
      <c r="AN33" s="6"/>
      <c r="AO33" s="6"/>
      <c r="AP33" s="495">
        <v>720</v>
      </c>
      <c r="AQ33" s="566"/>
      <c r="AR33" s="514"/>
      <c r="AS33" s="515"/>
      <c r="AT33" s="527" t="s">
        <v>739</v>
      </c>
      <c r="AU33" s="527"/>
      <c r="AV33" s="508"/>
    </row>
    <row r="34" spans="1:48" ht="67.95" customHeight="1" x14ac:dyDescent="0.35">
      <c r="A34" s="1477"/>
      <c r="B34" s="534">
        <v>2</v>
      </c>
      <c r="C34" s="494"/>
      <c r="D34" s="494"/>
      <c r="E34" s="494"/>
      <c r="F34" s="495">
        <v>720</v>
      </c>
      <c r="G34" s="566"/>
      <c r="H34" s="514"/>
      <c r="I34" s="515"/>
      <c r="J34" s="527" t="s">
        <v>739</v>
      </c>
      <c r="K34" s="66"/>
      <c r="L34" s="470"/>
      <c r="M34" s="6"/>
      <c r="N34" s="6"/>
      <c r="O34" s="495">
        <v>720</v>
      </c>
      <c r="P34" s="566"/>
      <c r="Q34" s="514"/>
      <c r="R34" s="515"/>
      <c r="S34" s="527" t="s">
        <v>739</v>
      </c>
      <c r="T34" s="66"/>
      <c r="U34" s="470"/>
      <c r="V34" s="6"/>
      <c r="W34" s="6"/>
      <c r="X34" s="495">
        <v>720</v>
      </c>
      <c r="Y34" s="566"/>
      <c r="Z34" s="514"/>
      <c r="AA34" s="515"/>
      <c r="AB34" s="527" t="s">
        <v>739</v>
      </c>
      <c r="AC34" s="66"/>
      <c r="AD34" s="470"/>
      <c r="AE34" s="6"/>
      <c r="AF34" s="6"/>
      <c r="AG34" s="495">
        <v>720</v>
      </c>
      <c r="AH34" s="566"/>
      <c r="AI34" s="514"/>
      <c r="AJ34" s="515"/>
      <c r="AK34" s="527" t="s">
        <v>739</v>
      </c>
      <c r="AM34" s="470"/>
      <c r="AN34" s="6"/>
      <c r="AO34" s="6"/>
      <c r="AP34" s="495">
        <v>720</v>
      </c>
      <c r="AQ34" s="566"/>
      <c r="AR34" s="514"/>
      <c r="AS34" s="515"/>
      <c r="AT34" s="527" t="s">
        <v>739</v>
      </c>
      <c r="AU34" s="527"/>
      <c r="AV34" s="508"/>
    </row>
    <row r="35" spans="1:48" ht="51" customHeight="1" x14ac:dyDescent="0.35">
      <c r="A35" s="1478">
        <v>45186</v>
      </c>
      <c r="B35" s="472">
        <v>1</v>
      </c>
      <c r="C35" s="494"/>
      <c r="D35" s="494"/>
      <c r="E35" s="47"/>
      <c r="F35" s="495">
        <v>720</v>
      </c>
      <c r="G35" s="566"/>
      <c r="H35" s="514"/>
      <c r="I35" s="515"/>
      <c r="J35" s="527" t="s">
        <v>739</v>
      </c>
      <c r="K35" s="66"/>
      <c r="L35" s="470"/>
      <c r="M35" s="6"/>
      <c r="N35" s="6"/>
      <c r="O35" s="495">
        <v>720</v>
      </c>
      <c r="P35" s="566"/>
      <c r="Q35" s="514"/>
      <c r="R35" s="515"/>
      <c r="S35" s="527" t="s">
        <v>739</v>
      </c>
      <c r="T35" s="66"/>
      <c r="U35" s="470"/>
      <c r="V35" s="6"/>
      <c r="W35" s="47"/>
      <c r="X35" s="495">
        <v>720</v>
      </c>
      <c r="Y35" s="566"/>
      <c r="Z35" s="514"/>
      <c r="AA35" s="515"/>
      <c r="AB35" s="527" t="s">
        <v>739</v>
      </c>
      <c r="AC35" s="66"/>
      <c r="AD35" s="470"/>
      <c r="AE35" s="6"/>
      <c r="AF35" s="6"/>
      <c r="AG35" s="495">
        <v>720</v>
      </c>
      <c r="AH35" s="566"/>
      <c r="AI35" s="514"/>
      <c r="AJ35" s="515"/>
      <c r="AK35" s="527" t="s">
        <v>739</v>
      </c>
      <c r="AM35" s="470"/>
      <c r="AN35" s="6"/>
      <c r="AO35" s="47"/>
      <c r="AP35" s="495">
        <v>720</v>
      </c>
      <c r="AQ35" s="566"/>
      <c r="AR35" s="514"/>
      <c r="AS35" s="515"/>
      <c r="AT35" s="527" t="s">
        <v>739</v>
      </c>
      <c r="AU35" s="636"/>
      <c r="AV35" s="508"/>
    </row>
    <row r="36" spans="1:48" ht="46.95" customHeight="1" x14ac:dyDescent="0.35">
      <c r="A36" s="1477"/>
      <c r="B36" s="472">
        <v>2</v>
      </c>
      <c r="C36" s="47"/>
      <c r="D36" s="6"/>
      <c r="E36" s="47"/>
      <c r="F36" s="495">
        <v>720</v>
      </c>
      <c r="G36" s="566"/>
      <c r="H36" s="514"/>
      <c r="I36" s="515"/>
      <c r="J36" s="527" t="s">
        <v>739</v>
      </c>
      <c r="K36" s="66"/>
      <c r="L36" s="465"/>
      <c r="M36" s="6"/>
      <c r="N36" s="6"/>
      <c r="O36" s="495">
        <v>720</v>
      </c>
      <c r="P36" s="566"/>
      <c r="Q36" s="514"/>
      <c r="R36" s="515"/>
      <c r="S36" s="527" t="s">
        <v>739</v>
      </c>
      <c r="T36" s="66"/>
      <c r="U36" s="470"/>
      <c r="V36" s="6"/>
      <c r="W36" s="6"/>
      <c r="X36" s="495">
        <v>720</v>
      </c>
      <c r="Y36" s="566"/>
      <c r="Z36" s="514"/>
      <c r="AA36" s="515"/>
      <c r="AB36" s="527" t="s">
        <v>739</v>
      </c>
      <c r="AC36" s="66"/>
      <c r="AD36" s="470"/>
      <c r="AE36" s="6"/>
      <c r="AF36" s="47"/>
      <c r="AG36" s="495">
        <v>720</v>
      </c>
      <c r="AH36" s="566"/>
      <c r="AI36" s="514"/>
      <c r="AJ36" s="515"/>
      <c r="AK36" s="527" t="s">
        <v>739</v>
      </c>
      <c r="AM36" s="470"/>
      <c r="AN36" s="6"/>
      <c r="AO36" s="6"/>
      <c r="AP36" s="495">
        <v>720</v>
      </c>
      <c r="AQ36" s="566"/>
      <c r="AR36" s="514"/>
      <c r="AS36" s="515"/>
      <c r="AT36" s="527" t="s">
        <v>739</v>
      </c>
      <c r="AU36" s="636"/>
      <c r="AV36" s="508"/>
    </row>
    <row r="37" spans="1:48" ht="59.5" customHeight="1" x14ac:dyDescent="0.35">
      <c r="A37" s="1478">
        <v>45187</v>
      </c>
      <c r="B37" s="534">
        <v>1</v>
      </c>
      <c r="C37" s="47"/>
      <c r="D37" s="494"/>
      <c r="E37" s="47"/>
      <c r="F37" s="495">
        <v>720</v>
      </c>
      <c r="G37" s="566"/>
      <c r="H37" s="514"/>
      <c r="I37" s="515"/>
      <c r="J37" s="527" t="s">
        <v>739</v>
      </c>
      <c r="K37" s="66"/>
      <c r="L37" s="470"/>
      <c r="M37" s="6"/>
      <c r="N37" s="6"/>
      <c r="O37" s="495">
        <v>720</v>
      </c>
      <c r="P37" s="566"/>
      <c r="Q37" s="514"/>
      <c r="R37" s="515"/>
      <c r="S37" s="527" t="s">
        <v>739</v>
      </c>
      <c r="T37" s="66"/>
      <c r="U37" s="470"/>
      <c r="V37" s="6"/>
      <c r="W37" s="6"/>
      <c r="X37" s="495">
        <v>720</v>
      </c>
      <c r="Y37" s="566"/>
      <c r="Z37" s="514"/>
      <c r="AA37" s="515"/>
      <c r="AB37" s="527" t="s">
        <v>739</v>
      </c>
      <c r="AC37" s="66"/>
      <c r="AD37" s="470"/>
      <c r="AE37" s="6"/>
      <c r="AF37" s="6"/>
      <c r="AG37" s="495">
        <v>720</v>
      </c>
      <c r="AH37" s="566"/>
      <c r="AI37" s="514"/>
      <c r="AJ37" s="515"/>
      <c r="AK37" s="527" t="s">
        <v>739</v>
      </c>
      <c r="AM37" s="470"/>
      <c r="AN37" s="6"/>
      <c r="AO37" s="6"/>
      <c r="AP37" s="495">
        <v>720</v>
      </c>
      <c r="AQ37" s="566"/>
      <c r="AR37" s="514"/>
      <c r="AS37" s="515"/>
      <c r="AT37" s="527" t="s">
        <v>739</v>
      </c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/>
      <c r="E38" s="47"/>
      <c r="F38" s="495">
        <v>720</v>
      </c>
      <c r="G38" s="566"/>
      <c r="H38" s="514"/>
      <c r="I38" s="515"/>
      <c r="J38" s="527" t="s">
        <v>739</v>
      </c>
      <c r="K38" s="66"/>
      <c r="L38" s="470"/>
      <c r="M38" s="6"/>
      <c r="N38" s="6"/>
      <c r="O38" s="495">
        <v>720</v>
      </c>
      <c r="P38" s="566"/>
      <c r="Q38" s="514"/>
      <c r="R38" s="515"/>
      <c r="S38" s="527" t="s">
        <v>739</v>
      </c>
      <c r="T38" s="66"/>
      <c r="U38" s="470"/>
      <c r="V38" s="6"/>
      <c r="W38" s="6"/>
      <c r="X38" s="495">
        <v>720</v>
      </c>
      <c r="Y38" s="566"/>
      <c r="Z38" s="514"/>
      <c r="AA38" s="515"/>
      <c r="AB38" s="527" t="s">
        <v>739</v>
      </c>
      <c r="AC38" s="66"/>
      <c r="AD38" s="470"/>
      <c r="AE38" s="6"/>
      <c r="AF38" s="6"/>
      <c r="AG38" s="495">
        <v>720</v>
      </c>
      <c r="AH38" s="566"/>
      <c r="AI38" s="514"/>
      <c r="AJ38" s="515"/>
      <c r="AK38" s="527" t="s">
        <v>739</v>
      </c>
      <c r="AM38" s="470"/>
      <c r="AN38" s="6"/>
      <c r="AO38" s="6"/>
      <c r="AP38" s="495">
        <v>720</v>
      </c>
      <c r="AQ38" s="566"/>
      <c r="AR38" s="514"/>
      <c r="AS38" s="515"/>
      <c r="AT38" s="527" t="s">
        <v>739</v>
      </c>
      <c r="AU38" s="636"/>
      <c r="AV38" s="527"/>
    </row>
    <row r="39" spans="1:48" ht="39" customHeight="1" x14ac:dyDescent="0.35">
      <c r="A39" s="1478">
        <v>45188</v>
      </c>
      <c r="B39" s="472">
        <v>1</v>
      </c>
      <c r="C39" s="47"/>
      <c r="D39" s="494"/>
      <c r="E39" s="47"/>
      <c r="F39" s="495">
        <v>720</v>
      </c>
      <c r="G39" s="566"/>
      <c r="H39" s="514"/>
      <c r="I39" s="515"/>
      <c r="J39" s="527" t="s">
        <v>739</v>
      </c>
      <c r="K39" s="66"/>
      <c r="L39" s="470"/>
      <c r="M39" s="6"/>
      <c r="N39" s="6"/>
      <c r="O39" s="495">
        <v>720</v>
      </c>
      <c r="P39" s="566"/>
      <c r="Q39" s="514"/>
      <c r="R39" s="515"/>
      <c r="S39" s="527" t="s">
        <v>739</v>
      </c>
      <c r="T39" s="66"/>
      <c r="U39" s="470"/>
      <c r="V39" s="6"/>
      <c r="W39" s="6"/>
      <c r="X39" s="495">
        <v>720</v>
      </c>
      <c r="Y39" s="566"/>
      <c r="Z39" s="514"/>
      <c r="AA39" s="515"/>
      <c r="AB39" s="527" t="s">
        <v>739</v>
      </c>
      <c r="AC39" s="66"/>
      <c r="AD39" s="470"/>
      <c r="AE39" s="6"/>
      <c r="AF39" s="6"/>
      <c r="AG39" s="495">
        <v>720</v>
      </c>
      <c r="AH39" s="566"/>
      <c r="AI39" s="514"/>
      <c r="AJ39" s="515"/>
      <c r="AK39" s="527" t="s">
        <v>739</v>
      </c>
      <c r="AM39" s="470"/>
      <c r="AN39" s="6"/>
      <c r="AO39" s="6"/>
      <c r="AP39" s="495">
        <v>720</v>
      </c>
      <c r="AQ39" s="566"/>
      <c r="AR39" s="514"/>
      <c r="AS39" s="515"/>
      <c r="AT39" s="527" t="s">
        <v>739</v>
      </c>
      <c r="AU39" s="573"/>
      <c r="AV39" s="568"/>
    </row>
    <row r="40" spans="1:48" ht="72.650000000000006" customHeight="1" x14ac:dyDescent="0.35">
      <c r="A40" s="1477"/>
      <c r="B40" s="472">
        <v>2</v>
      </c>
      <c r="C40" s="494"/>
      <c r="D40" s="494"/>
      <c r="E40" s="494"/>
      <c r="F40" s="495">
        <v>720</v>
      </c>
      <c r="G40" s="566"/>
      <c r="H40" s="514"/>
      <c r="I40" s="515"/>
      <c r="J40" s="527" t="s">
        <v>739</v>
      </c>
      <c r="K40" s="66"/>
      <c r="L40" s="470"/>
      <c r="M40" s="6"/>
      <c r="N40" s="6"/>
      <c r="O40" s="495">
        <v>720</v>
      </c>
      <c r="P40" s="566"/>
      <c r="Q40" s="514"/>
      <c r="R40" s="515"/>
      <c r="S40" s="527" t="s">
        <v>739</v>
      </c>
      <c r="T40" s="66"/>
      <c r="U40" s="470"/>
      <c r="V40" s="6"/>
      <c r="W40" s="6"/>
      <c r="X40" s="495">
        <v>720</v>
      </c>
      <c r="Y40" s="566"/>
      <c r="Z40" s="514"/>
      <c r="AA40" s="515"/>
      <c r="AB40" s="527" t="s">
        <v>739</v>
      </c>
      <c r="AC40" s="66"/>
      <c r="AD40" s="470"/>
      <c r="AE40" s="6"/>
      <c r="AF40" s="6"/>
      <c r="AG40" s="495">
        <v>720</v>
      </c>
      <c r="AH40" s="566"/>
      <c r="AI40" s="514"/>
      <c r="AJ40" s="515"/>
      <c r="AK40" s="527" t="s">
        <v>739</v>
      </c>
      <c r="AM40" s="465"/>
      <c r="AN40" s="6"/>
      <c r="AO40" s="6"/>
      <c r="AP40" s="495">
        <v>720</v>
      </c>
      <c r="AQ40" s="566"/>
      <c r="AR40" s="514"/>
      <c r="AS40" s="515"/>
      <c r="AT40" s="527" t="s">
        <v>739</v>
      </c>
      <c r="AU40" s="573"/>
      <c r="AV40" s="527"/>
    </row>
    <row r="41" spans="1:48" ht="58.2" customHeight="1" x14ac:dyDescent="0.35">
      <c r="A41" s="1478">
        <v>45189</v>
      </c>
      <c r="B41" s="472">
        <v>1</v>
      </c>
      <c r="C41" s="493"/>
      <c r="D41" s="494"/>
      <c r="E41" s="494"/>
      <c r="F41" s="495">
        <v>720</v>
      </c>
      <c r="G41" s="566"/>
      <c r="H41" s="514"/>
      <c r="I41" s="515"/>
      <c r="J41" s="527" t="s">
        <v>739</v>
      </c>
      <c r="K41" s="66"/>
      <c r="L41" s="470"/>
      <c r="M41" s="6"/>
      <c r="N41" s="6"/>
      <c r="O41" s="495">
        <v>720</v>
      </c>
      <c r="P41" s="566"/>
      <c r="Q41" s="514"/>
      <c r="R41" s="515"/>
      <c r="S41" s="527" t="s">
        <v>739</v>
      </c>
      <c r="T41" s="66"/>
      <c r="U41" s="470"/>
      <c r="V41" s="6"/>
      <c r="W41" s="6"/>
      <c r="X41" s="495">
        <v>720</v>
      </c>
      <c r="Y41" s="566"/>
      <c r="Z41" s="514"/>
      <c r="AA41" s="515"/>
      <c r="AB41" s="527" t="s">
        <v>739</v>
      </c>
      <c r="AC41" s="66"/>
      <c r="AD41" s="470"/>
      <c r="AE41" s="6"/>
      <c r="AF41" s="6"/>
      <c r="AG41" s="495">
        <v>720</v>
      </c>
      <c r="AH41" s="566"/>
      <c r="AI41" s="514"/>
      <c r="AJ41" s="515"/>
      <c r="AK41" s="527" t="s">
        <v>739</v>
      </c>
      <c r="AM41" s="470"/>
      <c r="AN41" s="6"/>
      <c r="AO41" s="6"/>
      <c r="AP41" s="495">
        <v>720</v>
      </c>
      <c r="AQ41" s="566"/>
      <c r="AR41" s="514"/>
      <c r="AS41" s="515"/>
      <c r="AT41" s="527" t="s">
        <v>739</v>
      </c>
      <c r="AU41" s="47"/>
      <c r="AV41" s="508"/>
    </row>
    <row r="42" spans="1:48" ht="61.2" customHeight="1" x14ac:dyDescent="0.35">
      <c r="A42" s="1477"/>
      <c r="B42" s="472">
        <v>2</v>
      </c>
      <c r="C42" s="494"/>
      <c r="D42" s="494"/>
      <c r="E42" s="494"/>
      <c r="F42" s="495">
        <v>720</v>
      </c>
      <c r="G42" s="566"/>
      <c r="H42" s="514"/>
      <c r="I42" s="515"/>
      <c r="J42" s="527" t="s">
        <v>739</v>
      </c>
      <c r="K42" s="66"/>
      <c r="L42" s="470"/>
      <c r="M42" s="6"/>
      <c r="N42" s="6"/>
      <c r="O42" s="495">
        <v>720</v>
      </c>
      <c r="P42" s="566"/>
      <c r="Q42" s="514"/>
      <c r="R42" s="515"/>
      <c r="S42" s="527" t="s">
        <v>739</v>
      </c>
      <c r="T42" s="66"/>
      <c r="U42" s="470"/>
      <c r="V42" s="6"/>
      <c r="W42" s="6"/>
      <c r="X42" s="495">
        <v>720</v>
      </c>
      <c r="Y42" s="566"/>
      <c r="Z42" s="514"/>
      <c r="AA42" s="515"/>
      <c r="AB42" s="527" t="s">
        <v>739</v>
      </c>
      <c r="AC42" s="66"/>
      <c r="AD42" s="470"/>
      <c r="AE42" s="6"/>
      <c r="AF42" s="6"/>
      <c r="AG42" s="495">
        <v>720</v>
      </c>
      <c r="AH42" s="566"/>
      <c r="AI42" s="514"/>
      <c r="AJ42" s="515"/>
      <c r="AK42" s="527" t="s">
        <v>739</v>
      </c>
      <c r="AM42" s="470"/>
      <c r="AN42" s="6"/>
      <c r="AO42" s="6"/>
      <c r="AP42" s="495">
        <v>720</v>
      </c>
      <c r="AQ42" s="566"/>
      <c r="AR42" s="514"/>
      <c r="AS42" s="515"/>
      <c r="AT42" s="527" t="s">
        <v>739</v>
      </c>
      <c r="AU42" s="527"/>
      <c r="AV42" s="508"/>
    </row>
    <row r="43" spans="1:48" ht="65.5" customHeight="1" x14ac:dyDescent="0.35">
      <c r="A43" s="1478">
        <v>45190</v>
      </c>
      <c r="B43" s="472">
        <v>1</v>
      </c>
      <c r="C43" s="494">
        <v>33</v>
      </c>
      <c r="D43" s="494"/>
      <c r="E43" s="494"/>
      <c r="F43" s="495">
        <v>224</v>
      </c>
      <c r="G43" s="514" t="s">
        <v>97</v>
      </c>
      <c r="H43" s="514"/>
      <c r="I43" s="515"/>
      <c r="J43" s="527" t="s">
        <v>739</v>
      </c>
      <c r="K43" s="66"/>
      <c r="L43" s="470"/>
      <c r="M43" s="6"/>
      <c r="N43" s="6"/>
      <c r="O43" s="508">
        <v>219</v>
      </c>
      <c r="P43" s="509"/>
      <c r="Q43" s="6"/>
      <c r="R43" s="6"/>
      <c r="S43" s="527" t="s">
        <v>739</v>
      </c>
      <c r="T43" s="66"/>
      <c r="U43" s="470"/>
      <c r="V43" s="6"/>
      <c r="W43" s="6"/>
      <c r="X43" s="508">
        <v>195</v>
      </c>
      <c r="Y43" s="509"/>
      <c r="Z43" s="6"/>
      <c r="AA43" s="515"/>
      <c r="AB43" s="527" t="s">
        <v>739</v>
      </c>
      <c r="AC43" s="66"/>
      <c r="AD43" s="470"/>
      <c r="AE43" s="6"/>
      <c r="AF43" s="6"/>
      <c r="AG43" s="508">
        <v>202</v>
      </c>
      <c r="AH43" s="502"/>
      <c r="AI43" s="515"/>
      <c r="AJ43" s="6"/>
      <c r="AK43" s="527" t="s">
        <v>739</v>
      </c>
      <c r="AM43" s="470"/>
      <c r="AN43" s="6"/>
      <c r="AO43" s="6"/>
      <c r="AP43" s="47">
        <v>242</v>
      </c>
      <c r="AQ43" s="508"/>
      <c r="AR43" s="502"/>
      <c r="AS43" s="515"/>
      <c r="AT43" s="527" t="s">
        <v>739</v>
      </c>
      <c r="AU43" s="527"/>
      <c r="AV43" s="508"/>
    </row>
    <row r="44" spans="1:48" ht="69" customHeight="1" x14ac:dyDescent="0.35">
      <c r="A44" s="1477"/>
      <c r="B44" s="472">
        <v>2</v>
      </c>
      <c r="C44" s="494"/>
      <c r="D44" s="494"/>
      <c r="E44" s="494">
        <v>133</v>
      </c>
      <c r="F44" s="495"/>
      <c r="G44" s="514"/>
      <c r="H44" s="514"/>
      <c r="I44" s="573" t="s">
        <v>97</v>
      </c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/>
      <c r="W44" s="494">
        <v>50</v>
      </c>
      <c r="X44" s="495"/>
      <c r="Y44" s="514"/>
      <c r="Z44" s="515"/>
      <c r="AA44" s="502" t="s">
        <v>97</v>
      </c>
      <c r="AB44" s="527"/>
      <c r="AC44" s="66"/>
      <c r="AD44" s="470"/>
      <c r="AE44" s="6"/>
      <c r="AF44" s="6"/>
      <c r="AG44" s="508"/>
      <c r="AH44" s="509"/>
      <c r="AI44" s="502"/>
      <c r="AJ44" s="502"/>
      <c r="AK44" s="527"/>
      <c r="AM44" s="470"/>
      <c r="AN44" s="6"/>
      <c r="AO44" s="6"/>
      <c r="AP44" s="47"/>
      <c r="AQ44" s="508"/>
      <c r="AR44" s="509"/>
      <c r="AS44" s="502"/>
      <c r="AT44" s="502"/>
      <c r="AU44" s="527"/>
      <c r="AV44" s="508"/>
    </row>
    <row r="45" spans="1:48" ht="48" customHeight="1" x14ac:dyDescent="0.35">
      <c r="A45" s="1478">
        <v>45191</v>
      </c>
      <c r="B45" s="472">
        <v>1</v>
      </c>
      <c r="C45" s="494"/>
      <c r="D45" s="494"/>
      <c r="E45" s="494"/>
      <c r="F45" s="495"/>
      <c r="G45" s="514"/>
      <c r="H45" s="514"/>
      <c r="I45" s="515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>
        <v>35</v>
      </c>
      <c r="X45" s="508"/>
      <c r="Y45" s="514"/>
      <c r="Z45" s="515"/>
      <c r="AA45" s="502" t="s">
        <v>152</v>
      </c>
      <c r="AB45" s="508"/>
      <c r="AC45" s="66"/>
      <c r="AD45" s="470"/>
      <c r="AE45" s="6"/>
      <c r="AF45" s="6"/>
      <c r="AG45" s="508"/>
      <c r="AH45" s="509"/>
      <c r="AI45" s="502"/>
      <c r="AJ45" s="6"/>
      <c r="AK45" s="508"/>
      <c r="AM45" s="470"/>
      <c r="AN45" s="6"/>
      <c r="AO45" s="6"/>
      <c r="AP45" s="47"/>
      <c r="AQ45" s="508"/>
      <c r="AR45" s="509"/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515"/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/>
      <c r="W46" s="6"/>
      <c r="X46" s="508"/>
      <c r="Y46" s="469"/>
      <c r="Z46" s="6"/>
      <c r="AA46" s="502"/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/>
      <c r="AO46" s="6"/>
      <c r="AP46" s="47"/>
      <c r="AQ46" s="508"/>
      <c r="AR46" s="509"/>
      <c r="AS46" s="6"/>
      <c r="AT46" s="6"/>
      <c r="AU46" s="47"/>
      <c r="AV46" s="527"/>
    </row>
    <row r="47" spans="1:48" ht="36" customHeight="1" x14ac:dyDescent="0.35">
      <c r="A47" s="1478">
        <v>45192</v>
      </c>
      <c r="B47" s="472">
        <v>1</v>
      </c>
      <c r="C47" s="494"/>
      <c r="D47" s="494"/>
      <c r="E47" s="494">
        <v>21</v>
      </c>
      <c r="F47" s="495"/>
      <c r="G47" s="515"/>
      <c r="H47" s="514"/>
      <c r="I47" s="573" t="s">
        <v>315</v>
      </c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>
        <v>30</v>
      </c>
      <c r="X47" s="508"/>
      <c r="Y47" s="509"/>
      <c r="Z47" s="502"/>
      <c r="AA47" s="502" t="s">
        <v>152</v>
      </c>
      <c r="AB47" s="527"/>
      <c r="AC47" s="66"/>
      <c r="AD47" s="470"/>
      <c r="AE47" s="6"/>
      <c r="AF47" s="6"/>
      <c r="AG47" s="508"/>
      <c r="AH47" s="469"/>
      <c r="AI47" s="515"/>
      <c r="AJ47" s="6"/>
      <c r="AK47" s="508"/>
      <c r="AM47" s="470"/>
      <c r="AN47" s="6"/>
      <c r="AO47" s="6"/>
      <c r="AP47" s="47"/>
      <c r="AQ47" s="508"/>
      <c r="AR47" s="509"/>
      <c r="AS47" s="515"/>
      <c r="AT47" s="6"/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68"/>
      <c r="K48" s="66"/>
      <c r="L48" s="470"/>
      <c r="M48" s="6"/>
      <c r="N48" s="6"/>
      <c r="O48" s="508"/>
      <c r="P48" s="509"/>
      <c r="Q48" s="515"/>
      <c r="R48" s="502"/>
      <c r="S48" s="527"/>
      <c r="T48" s="66"/>
      <c r="U48" s="470"/>
      <c r="V48" s="6"/>
      <c r="W48" s="6">
        <v>10</v>
      </c>
      <c r="X48" s="508"/>
      <c r="Y48" s="469"/>
      <c r="Z48" s="6"/>
      <c r="AA48" s="502" t="s">
        <v>152</v>
      </c>
      <c r="AB48" s="508"/>
      <c r="AC48" s="66"/>
      <c r="AD48" s="470"/>
      <c r="AE48" s="6"/>
      <c r="AF48" s="6"/>
      <c r="AG48" s="508"/>
      <c r="AH48" s="509"/>
      <c r="AI48" s="502"/>
      <c r="AJ48" s="6"/>
      <c r="AK48" s="508"/>
      <c r="AM48" s="470"/>
      <c r="AN48" s="6"/>
      <c r="AO48" s="6"/>
      <c r="AP48" s="47"/>
      <c r="AQ48" s="508"/>
      <c r="AR48" s="509"/>
      <c r="AS48" s="502"/>
      <c r="AT48" s="6"/>
      <c r="AU48" s="47"/>
      <c r="AV48" s="508"/>
    </row>
    <row r="49" spans="1:48" ht="36" customHeight="1" x14ac:dyDescent="0.35">
      <c r="A49" s="1478">
        <v>45193</v>
      </c>
      <c r="B49" s="472">
        <v>1</v>
      </c>
      <c r="C49" s="494"/>
      <c r="D49" s="494"/>
      <c r="E49" s="494">
        <v>15</v>
      </c>
      <c r="F49" s="495"/>
      <c r="G49" s="515"/>
      <c r="H49" s="514"/>
      <c r="I49" s="573" t="s">
        <v>152</v>
      </c>
      <c r="J49" s="568"/>
      <c r="K49" s="66"/>
      <c r="L49" s="470"/>
      <c r="M49" s="6"/>
      <c r="N49" s="6"/>
      <c r="O49" s="508"/>
      <c r="P49" s="509"/>
      <c r="Q49" s="6"/>
      <c r="R49" s="6"/>
      <c r="S49" s="508"/>
      <c r="T49" s="66"/>
      <c r="U49" s="470"/>
      <c r="V49" s="6"/>
      <c r="W49" s="6">
        <v>21</v>
      </c>
      <c r="X49" s="508"/>
      <c r="Y49" s="509"/>
      <c r="Z49" s="502"/>
      <c r="AA49" s="502" t="s">
        <v>152</v>
      </c>
      <c r="AB49" s="527"/>
      <c r="AC49" s="66"/>
      <c r="AD49" s="470"/>
      <c r="AE49" s="6"/>
      <c r="AF49" s="6"/>
      <c r="AG49" s="508"/>
      <c r="AH49" s="509"/>
      <c r="AI49" s="502"/>
      <c r="AJ49" s="573"/>
      <c r="AK49" s="508"/>
      <c r="AM49" s="470"/>
      <c r="AN49" s="6"/>
      <c r="AO49" s="6"/>
      <c r="AP49" s="47"/>
      <c r="AQ49" s="508"/>
      <c r="AR49" s="509"/>
      <c r="AS49" s="502"/>
      <c r="AT49" s="6"/>
      <c r="AU49" s="47"/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>
        <v>12</v>
      </c>
      <c r="F50" s="495"/>
      <c r="G50" s="514"/>
      <c r="H50" s="514"/>
      <c r="I50" s="573" t="s">
        <v>152</v>
      </c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>
        <v>16</v>
      </c>
      <c r="W50" s="6">
        <v>11</v>
      </c>
      <c r="X50" s="495"/>
      <c r="Y50" s="515"/>
      <c r="Z50" s="514" t="s">
        <v>163</v>
      </c>
      <c r="AA50" s="502" t="s">
        <v>152</v>
      </c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47"/>
      <c r="AQ50" s="495"/>
      <c r="AR50" s="509"/>
      <c r="AS50" s="514"/>
      <c r="AT50" s="573"/>
      <c r="AU50" s="573"/>
      <c r="AV50" s="527"/>
    </row>
    <row r="51" spans="1:48" ht="34.950000000000003" customHeight="1" x14ac:dyDescent="0.35">
      <c r="A51" s="1478">
        <v>45194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508"/>
      <c r="P51" s="509"/>
      <c r="Q51" s="515"/>
      <c r="R51" s="6"/>
      <c r="S51" s="508"/>
      <c r="T51" s="66"/>
      <c r="U51" s="470"/>
      <c r="V51" s="6"/>
      <c r="W51" s="6"/>
      <c r="X51" s="508"/>
      <c r="Y51" s="469"/>
      <c r="Z51" s="6"/>
      <c r="AA51" s="502"/>
      <c r="AB51" s="508"/>
      <c r="AC51" s="66"/>
      <c r="AD51" s="470"/>
      <c r="AE51" s="6"/>
      <c r="AF51" s="6"/>
      <c r="AG51" s="508"/>
      <c r="AH51" s="509"/>
      <c r="AI51" s="6"/>
      <c r="AJ51" s="6"/>
      <c r="AK51" s="508"/>
      <c r="AM51" s="470"/>
      <c r="AN51" s="6"/>
      <c r="AO51" s="6"/>
      <c r="AP51" s="47"/>
      <c r="AQ51" s="508"/>
      <c r="AR51" s="509"/>
      <c r="AS51" s="6"/>
      <c r="AT51" s="6"/>
      <c r="AU51" s="47"/>
      <c r="AV51" s="508"/>
    </row>
    <row r="52" spans="1:48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573"/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/>
      <c r="W52" s="6"/>
      <c r="X52" s="495"/>
      <c r="Y52" s="515"/>
      <c r="Z52" s="515"/>
      <c r="AA52" s="573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8"/>
      <c r="AR52" s="509"/>
      <c r="AS52" s="6"/>
      <c r="AT52" s="6"/>
      <c r="AU52" s="47"/>
      <c r="AV52" s="508"/>
    </row>
    <row r="53" spans="1:48" ht="40.200000000000003" customHeight="1" x14ac:dyDescent="0.35">
      <c r="A53" s="1478">
        <v>45195</v>
      </c>
      <c r="B53" s="472">
        <v>1</v>
      </c>
      <c r="C53" s="494"/>
      <c r="D53" s="494"/>
      <c r="E53" s="494">
        <v>12</v>
      </c>
      <c r="F53" s="495"/>
      <c r="G53" s="514"/>
      <c r="H53" s="514"/>
      <c r="I53" s="573" t="s">
        <v>152</v>
      </c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>
        <v>21</v>
      </c>
      <c r="X53" s="508"/>
      <c r="Y53" s="469"/>
      <c r="Z53" s="6"/>
      <c r="AA53" s="502" t="s">
        <v>152</v>
      </c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/>
      <c r="AP53" s="47"/>
      <c r="AQ53" s="508"/>
      <c r="AR53" s="509"/>
      <c r="AS53" s="502"/>
      <c r="AT53" s="6"/>
      <c r="AU53" s="47"/>
      <c r="AV53" s="508"/>
    </row>
    <row r="54" spans="1:48" ht="39.65" customHeight="1" x14ac:dyDescent="0.35">
      <c r="A54" s="1477"/>
      <c r="B54" s="500">
        <v>2</v>
      </c>
      <c r="C54" s="494"/>
      <c r="D54" s="494">
        <v>39</v>
      </c>
      <c r="E54" s="494"/>
      <c r="F54" s="495"/>
      <c r="G54" s="514"/>
      <c r="H54" s="514" t="s">
        <v>163</v>
      </c>
      <c r="I54" s="573"/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/>
      <c r="X54" s="495"/>
      <c r="Y54" s="515"/>
      <c r="Z54" s="514"/>
      <c r="AA54" s="515"/>
      <c r="AB54" s="527"/>
      <c r="AC54" s="66"/>
      <c r="AD54" s="470"/>
      <c r="AE54" s="6"/>
      <c r="AF54" s="6"/>
      <c r="AG54" s="508"/>
      <c r="AH54" s="509"/>
      <c r="AI54" s="514"/>
      <c r="AJ54" s="6"/>
      <c r="AK54" s="527"/>
      <c r="AM54" s="470"/>
      <c r="AN54" s="6"/>
      <c r="AO54" s="6">
        <v>37</v>
      </c>
      <c r="AP54" s="47"/>
      <c r="AQ54" s="495"/>
      <c r="AR54" s="514"/>
      <c r="AS54" s="514"/>
      <c r="AT54" s="514" t="s">
        <v>97</v>
      </c>
      <c r="AU54" s="638"/>
      <c r="AV54" s="527"/>
    </row>
    <row r="55" spans="1:48" ht="39.65" customHeight="1" x14ac:dyDescent="0.35">
      <c r="A55" s="1478">
        <v>45196</v>
      </c>
      <c r="B55" s="472">
        <v>1</v>
      </c>
      <c r="C55" s="493"/>
      <c r="D55" s="494"/>
      <c r="E55" s="494"/>
      <c r="F55" s="495"/>
      <c r="G55" s="514"/>
      <c r="H55" s="514"/>
      <c r="I55" s="573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5"/>
      <c r="AA55" s="6"/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47"/>
      <c r="AQ55" s="508"/>
      <c r="AR55" s="509"/>
      <c r="AS55" s="515"/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>
        <v>58</v>
      </c>
      <c r="F56" s="495"/>
      <c r="G56" s="515"/>
      <c r="H56" s="515"/>
      <c r="I56" s="573" t="s">
        <v>152</v>
      </c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>
        <v>51</v>
      </c>
      <c r="X56" s="495"/>
      <c r="Y56" s="469"/>
      <c r="Z56" s="514"/>
      <c r="AA56" s="502" t="s">
        <v>152</v>
      </c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7"/>
      <c r="AQ56" s="495"/>
      <c r="AR56" s="515"/>
      <c r="AS56" s="514"/>
      <c r="AT56" s="515"/>
      <c r="AU56" s="573"/>
      <c r="AV56" s="527"/>
    </row>
    <row r="57" spans="1:48" ht="52.2" customHeight="1" x14ac:dyDescent="0.35">
      <c r="A57" s="1478">
        <v>45197</v>
      </c>
      <c r="B57" s="472">
        <v>1</v>
      </c>
      <c r="C57" s="493"/>
      <c r="D57" s="494"/>
      <c r="E57" s="494">
        <v>55</v>
      </c>
      <c r="F57" s="495"/>
      <c r="G57" s="515"/>
      <c r="H57" s="515"/>
      <c r="I57" s="573" t="s">
        <v>383</v>
      </c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>
        <v>64</v>
      </c>
      <c r="X57" s="495"/>
      <c r="Y57" s="515"/>
      <c r="Z57" s="514"/>
      <c r="AA57" s="573" t="s">
        <v>383</v>
      </c>
      <c r="AB57" s="527"/>
      <c r="AC57" s="66"/>
      <c r="AD57" s="470"/>
      <c r="AE57" s="6"/>
      <c r="AF57" s="6">
        <v>20</v>
      </c>
      <c r="AG57" s="495"/>
      <c r="AH57" s="515"/>
      <c r="AI57" s="514"/>
      <c r="AJ57" s="515" t="s">
        <v>152</v>
      </c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/>
      <c r="E58" s="494">
        <v>35</v>
      </c>
      <c r="F58" s="495"/>
      <c r="G58" s="515"/>
      <c r="H58" s="514"/>
      <c r="I58" s="573" t="s">
        <v>152</v>
      </c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>
        <v>171</v>
      </c>
      <c r="X58" s="495"/>
      <c r="Y58" s="515"/>
      <c r="Z58" s="514"/>
      <c r="AA58" s="502" t="s">
        <v>152</v>
      </c>
      <c r="AB58" s="527"/>
      <c r="AC58" s="66"/>
      <c r="AD58" s="470"/>
      <c r="AE58" s="6"/>
      <c r="AF58" s="6">
        <v>10</v>
      </c>
      <c r="AG58" s="495"/>
      <c r="AH58" s="515"/>
      <c r="AI58" s="514"/>
      <c r="AJ58" s="515" t="s">
        <v>152</v>
      </c>
      <c r="AK58" s="527"/>
      <c r="AM58" s="470"/>
      <c r="AN58" s="6"/>
      <c r="AO58" s="6">
        <v>29</v>
      </c>
      <c r="AP58" s="47"/>
      <c r="AQ58" s="495"/>
      <c r="AR58" s="515"/>
      <c r="AS58" s="514"/>
      <c r="AT58" s="515" t="s">
        <v>152</v>
      </c>
      <c r="AU58" s="573"/>
      <c r="AV58" s="527"/>
    </row>
    <row r="59" spans="1:48" ht="73.2" customHeight="1" x14ac:dyDescent="0.35">
      <c r="A59" s="1478">
        <v>45198</v>
      </c>
      <c r="B59" s="472">
        <v>1</v>
      </c>
      <c r="C59" s="493"/>
      <c r="D59" s="494"/>
      <c r="E59" s="494">
        <v>40</v>
      </c>
      <c r="F59" s="495"/>
      <c r="G59" s="514"/>
      <c r="H59" s="514"/>
      <c r="I59" s="573" t="s">
        <v>152</v>
      </c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>
        <v>50</v>
      </c>
      <c r="X59" s="508"/>
      <c r="Y59" s="509"/>
      <c r="Z59" s="6"/>
      <c r="AA59" s="502" t="s">
        <v>152</v>
      </c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36" customHeight="1" x14ac:dyDescent="0.35">
      <c r="A60" s="1477"/>
      <c r="B60" s="500">
        <v>2</v>
      </c>
      <c r="C60" s="493"/>
      <c r="D60" s="494">
        <v>15</v>
      </c>
      <c r="E60" s="494"/>
      <c r="F60" s="495"/>
      <c r="G60" s="514"/>
      <c r="H60" s="515" t="s">
        <v>601</v>
      </c>
      <c r="I60" s="573"/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>
        <v>19</v>
      </c>
      <c r="W60" s="6">
        <v>22</v>
      </c>
      <c r="X60" s="508"/>
      <c r="Y60" s="469"/>
      <c r="Z60" s="502" t="s">
        <v>601</v>
      </c>
      <c r="AA60" s="502" t="s">
        <v>152</v>
      </c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47"/>
      <c r="AQ60" s="508"/>
      <c r="AR60" s="509"/>
      <c r="AS60" s="6"/>
      <c r="AT60" s="502"/>
      <c r="AU60" s="636"/>
      <c r="AV60" s="527"/>
    </row>
    <row r="61" spans="1:48" ht="32.5" customHeight="1" x14ac:dyDescent="0.35">
      <c r="A61" s="1478">
        <v>45199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47"/>
      <c r="AQ61" s="508"/>
      <c r="AR61" s="509"/>
      <c r="AS61" s="6"/>
      <c r="AT61" s="502"/>
      <c r="AU61" s="648"/>
      <c r="AV61" s="624"/>
    </row>
    <row r="62" spans="1:48" ht="62.5" customHeight="1" x14ac:dyDescent="0.35">
      <c r="A62" s="1477"/>
      <c r="B62" s="500">
        <v>2</v>
      </c>
      <c r="C62" s="618">
        <v>165</v>
      </c>
      <c r="D62" s="619"/>
      <c r="E62" s="619">
        <v>24</v>
      </c>
      <c r="F62" s="620"/>
      <c r="G62" s="617" t="s">
        <v>740</v>
      </c>
      <c r="H62" s="576"/>
      <c r="I62" s="573" t="s">
        <v>152</v>
      </c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>
        <v>38</v>
      </c>
      <c r="X62" s="508"/>
      <c r="Y62" s="469"/>
      <c r="Z62" s="502"/>
      <c r="AA62" s="502" t="s">
        <v>152</v>
      </c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>
        <v>24</v>
      </c>
      <c r="AP62" s="47"/>
      <c r="AQ62" s="508"/>
      <c r="AR62" s="509"/>
      <c r="AS62" s="6"/>
      <c r="AT62" s="515" t="s">
        <v>152</v>
      </c>
      <c r="AU62" s="648"/>
      <c r="AV62" s="624"/>
    </row>
    <row r="63" spans="1:48" ht="33.65" customHeight="1" x14ac:dyDescent="0.35">
      <c r="A63" s="1478">
        <v>45200</v>
      </c>
      <c r="B63" s="472">
        <v>1</v>
      </c>
      <c r="C63" s="587"/>
      <c r="D63" s="588"/>
      <c r="E63" s="588"/>
      <c r="F63" s="589"/>
      <c r="G63" s="598"/>
      <c r="H63" s="590"/>
      <c r="I63" s="515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6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7"/>
      <c r="AQ63" s="495"/>
      <c r="AR63" s="566"/>
      <c r="AS63" s="514"/>
      <c r="AT63" s="514"/>
      <c r="AU63" s="649"/>
      <c r="AV63" s="586"/>
    </row>
    <row r="64" spans="1:48" ht="30.6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647"/>
      <c r="AQ64" s="528"/>
      <c r="AR64" s="529"/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198</v>
      </c>
      <c r="D65" s="65">
        <f>SUM(D3:D64)</f>
        <v>66</v>
      </c>
      <c r="E65" s="631">
        <f>SUM(E3:E64)</f>
        <v>505</v>
      </c>
      <c r="F65" s="65">
        <f>SUM(F3:F64)</f>
        <v>13864</v>
      </c>
      <c r="L65" s="65">
        <f>SUM(L3:L64)</f>
        <v>0</v>
      </c>
      <c r="M65" s="65">
        <f>SUM(M3:M64)</f>
        <v>0</v>
      </c>
      <c r="N65" s="65">
        <f>SUM(N3:N64)</f>
        <v>0</v>
      </c>
      <c r="O65" s="65">
        <f>SUM(O3:O64)</f>
        <v>13849</v>
      </c>
      <c r="U65" s="65">
        <f>SUM(U3:U64)</f>
        <v>0</v>
      </c>
      <c r="V65" s="65">
        <f>SUM(V3:V64)</f>
        <v>50</v>
      </c>
      <c r="W65" s="65">
        <f>SUM(W3:W64)</f>
        <v>720</v>
      </c>
      <c r="X65" s="65">
        <f>SUM(X3:X64)</f>
        <v>13828</v>
      </c>
      <c r="AD65" s="65">
        <f>SUM(AD3:AD64)</f>
        <v>26</v>
      </c>
      <c r="AE65" s="65">
        <f>SUM(AE3:AE64)</f>
        <v>0</v>
      </c>
      <c r="AF65" s="65">
        <f>SUM(AF3:AF64)</f>
        <v>96</v>
      </c>
      <c r="AG65" s="65">
        <f>SUM(AG3:AG64)</f>
        <v>13834</v>
      </c>
      <c r="AM65" s="65">
        <f>SUM(AM3:AM64)</f>
        <v>0</v>
      </c>
      <c r="AN65" s="65">
        <f>SUM(AN3:AN64)</f>
        <v>0</v>
      </c>
      <c r="AO65" s="65">
        <f>SUM(AO3:AO64)</f>
        <v>90</v>
      </c>
      <c r="AP65" s="65">
        <f>SUM(AP3:AP64)</f>
        <v>13880</v>
      </c>
      <c r="AQ65" s="65">
        <f>SUM(AQ3:AQ64)</f>
        <v>0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198</v>
      </c>
      <c r="D76" s="543">
        <f>C76/60</f>
        <v>3.3</v>
      </c>
      <c r="E76" s="542">
        <f>D65</f>
        <v>66</v>
      </c>
      <c r="F76" s="544">
        <f>E76/60</f>
        <v>1.1000000000000001</v>
      </c>
      <c r="G76" s="542">
        <f>E65</f>
        <v>505</v>
      </c>
      <c r="H76" s="543">
        <f>G76/60</f>
        <v>8.4166666666666661</v>
      </c>
      <c r="I76" s="542">
        <f>F65</f>
        <v>13864</v>
      </c>
      <c r="J76" s="543">
        <f>I76/60</f>
        <v>231.06666666666666</v>
      </c>
    </row>
    <row r="77" spans="1:43" ht="19.5" customHeight="1" x14ac:dyDescent="0.4">
      <c r="B77" s="541" t="s">
        <v>219</v>
      </c>
      <c r="C77" s="545">
        <f>L65</f>
        <v>0</v>
      </c>
      <c r="D77" s="546">
        <f>C77/60</f>
        <v>0</v>
      </c>
      <c r="E77" s="545">
        <f>M65</f>
        <v>0</v>
      </c>
      <c r="F77" s="547">
        <f>E77/60</f>
        <v>0</v>
      </c>
      <c r="G77" s="545">
        <f>N65</f>
        <v>0</v>
      </c>
      <c r="H77" s="546">
        <f>G77/60</f>
        <v>0</v>
      </c>
      <c r="I77" s="545">
        <f>O65</f>
        <v>13849</v>
      </c>
      <c r="J77" s="546">
        <f>I77/60</f>
        <v>230.81666666666666</v>
      </c>
    </row>
    <row r="78" spans="1:43" ht="20.25" customHeight="1" x14ac:dyDescent="0.4">
      <c r="B78" s="541" t="s">
        <v>220</v>
      </c>
      <c r="C78" s="545">
        <f>U65</f>
        <v>0</v>
      </c>
      <c r="D78" s="546">
        <f>C78/60</f>
        <v>0</v>
      </c>
      <c r="E78" s="545">
        <f>V65</f>
        <v>50</v>
      </c>
      <c r="F78" s="547">
        <f>E78/60</f>
        <v>0.83333333333333337</v>
      </c>
      <c r="G78" s="545">
        <f>W65</f>
        <v>720</v>
      </c>
      <c r="H78" s="546">
        <f>G78/60</f>
        <v>12</v>
      </c>
      <c r="I78" s="545">
        <f>X65</f>
        <v>13828</v>
      </c>
      <c r="J78" s="546">
        <f>I78/60</f>
        <v>230.46666666666667</v>
      </c>
    </row>
    <row r="79" spans="1:43" ht="22.5" customHeight="1" thickBot="1" x14ac:dyDescent="0.45">
      <c r="B79" s="541" t="s">
        <v>221</v>
      </c>
      <c r="C79" s="548">
        <f>AD65</f>
        <v>26</v>
      </c>
      <c r="D79" s="549">
        <f>C79/60</f>
        <v>0.43333333333333335</v>
      </c>
      <c r="E79" s="548">
        <f>AE65</f>
        <v>0</v>
      </c>
      <c r="F79" s="550">
        <f>E79/60</f>
        <v>0</v>
      </c>
      <c r="G79" s="548">
        <f>AF65</f>
        <v>96</v>
      </c>
      <c r="H79" s="549">
        <f>G79/60</f>
        <v>1.6</v>
      </c>
      <c r="I79" s="548">
        <f>AG65</f>
        <v>13834</v>
      </c>
      <c r="J79" s="549">
        <f>I79/60</f>
        <v>230.56666666666666</v>
      </c>
    </row>
    <row r="80" spans="1:43" ht="22.5" customHeight="1" thickBot="1" x14ac:dyDescent="0.45">
      <c r="B80" s="541" t="s">
        <v>488</v>
      </c>
      <c r="C80" s="548">
        <f>AD66</f>
        <v>0</v>
      </c>
      <c r="D80" s="642">
        <f>C80/60</f>
        <v>0</v>
      </c>
      <c r="E80" s="643">
        <f>AN65</f>
        <v>0</v>
      </c>
      <c r="F80" s="644">
        <f>E80/60</f>
        <v>0</v>
      </c>
      <c r="G80" s="643">
        <f>AO65</f>
        <v>90</v>
      </c>
      <c r="H80" s="642">
        <f>G80/60</f>
        <v>1.5</v>
      </c>
      <c r="I80" s="643">
        <f>AP65</f>
        <v>13880</v>
      </c>
      <c r="J80" s="642">
        <f>I80/60</f>
        <v>231.33333333333334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3.7333333333333334</v>
      </c>
      <c r="E82" s="556"/>
      <c r="F82" s="557">
        <f>SUM(F76:F80)</f>
        <v>1.9333333333333336</v>
      </c>
      <c r="G82" s="556"/>
      <c r="H82" s="557">
        <f>SUM(H76:H80)</f>
        <v>23.516666666666666</v>
      </c>
      <c r="I82" s="556"/>
      <c r="J82" s="558">
        <f>AVERAGE(J76:J80)</f>
        <v>230.85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Q1"/>
    <mergeCell ref="AR1:AV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V82"/>
  <sheetViews>
    <sheetView zoomScale="55" zoomScaleNormal="55" workbookViewId="0">
      <pane xSplit="2" ySplit="2" topLeftCell="C66" activePane="bottomRight" state="frozen"/>
      <selection pane="topRight" activeCell="C1" sqref="C1"/>
      <selection pane="bottomLeft" activeCell="A3" sqref="A3"/>
      <selection pane="bottomRight" activeCell="F48" sqref="F48:F52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3" width="10.69140625" style="423" customWidth="1"/>
    <col min="44" max="44" width="21.15234375" style="423" customWidth="1"/>
    <col min="45" max="45" width="26.3046875" style="423" customWidth="1"/>
    <col min="46" max="46" width="27.15234375" style="423" customWidth="1"/>
    <col min="47" max="47" width="24.3828125" style="423" customWidth="1"/>
    <col min="48" max="48" width="26.53515625" style="423" customWidth="1"/>
    <col min="49" max="16384" width="8.84375" style="423"/>
  </cols>
  <sheetData>
    <row r="1" spans="1:48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3"/>
      <c r="AR1" s="1354" t="s">
        <v>206</v>
      </c>
      <c r="AS1" s="1354"/>
      <c r="AT1" s="1354"/>
      <c r="AU1" s="1354"/>
      <c r="AV1" s="1355"/>
    </row>
    <row r="2" spans="1:48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5" t="s">
        <v>204</v>
      </c>
      <c r="AR2" s="657" t="s">
        <v>199</v>
      </c>
      <c r="AS2" s="655" t="s">
        <v>200</v>
      </c>
      <c r="AT2" s="655" t="s">
        <v>201</v>
      </c>
      <c r="AU2" s="655" t="s">
        <v>204</v>
      </c>
      <c r="AV2" s="655" t="s">
        <v>204</v>
      </c>
    </row>
    <row r="3" spans="1:48" ht="78" customHeight="1" x14ac:dyDescent="0.35">
      <c r="A3" s="1478">
        <v>45200</v>
      </c>
      <c r="B3" s="501">
        <v>1</v>
      </c>
      <c r="C3" s="490"/>
      <c r="D3" s="491"/>
      <c r="E3" s="640">
        <v>15</v>
      </c>
      <c r="F3" s="492"/>
      <c r="G3" s="566"/>
      <c r="H3" s="514"/>
      <c r="I3" s="641" t="s">
        <v>152</v>
      </c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522"/>
      <c r="X3" s="508"/>
      <c r="Y3" s="469"/>
      <c r="Z3" s="521"/>
      <c r="AA3" s="600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80"/>
      <c r="AQ3" s="520"/>
      <c r="AR3" s="521"/>
      <c r="AS3" s="538"/>
      <c r="AT3" s="6"/>
      <c r="AU3" s="80"/>
      <c r="AV3" s="520"/>
    </row>
    <row r="4" spans="1:48" ht="70.2" customHeight="1" x14ac:dyDescent="0.35">
      <c r="A4" s="1477"/>
      <c r="B4" s="472">
        <v>2</v>
      </c>
      <c r="C4" s="493"/>
      <c r="D4" s="494"/>
      <c r="E4" s="494">
        <f>20+8+18</f>
        <v>46</v>
      </c>
      <c r="F4" s="495"/>
      <c r="G4" s="566"/>
      <c r="H4" s="514"/>
      <c r="I4" s="641" t="s">
        <v>152</v>
      </c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>
        <f>15+8</f>
        <v>23</v>
      </c>
      <c r="X4" s="508"/>
      <c r="Y4" s="469"/>
      <c r="Z4" s="514"/>
      <c r="AA4" s="579" t="s">
        <v>152</v>
      </c>
      <c r="AB4" s="603"/>
      <c r="AC4" s="66"/>
      <c r="AD4" s="470"/>
      <c r="AE4" s="6"/>
      <c r="AF4" s="6"/>
      <c r="AG4" s="508"/>
      <c r="AH4" s="509"/>
      <c r="AI4" s="514"/>
      <c r="AJ4" s="6"/>
      <c r="AK4" s="508"/>
      <c r="AM4" s="470"/>
      <c r="AN4" s="6"/>
      <c r="AO4" s="6"/>
      <c r="AP4" s="47"/>
      <c r="AQ4" s="508"/>
      <c r="AR4" s="509"/>
      <c r="AS4" s="515"/>
      <c r="AT4" s="6"/>
      <c r="AU4" s="47"/>
      <c r="AV4" s="508"/>
    </row>
    <row r="5" spans="1:48" ht="60" customHeight="1" x14ac:dyDescent="0.35">
      <c r="A5" s="1478">
        <v>45201</v>
      </c>
      <c r="B5" s="472">
        <v>1</v>
      </c>
      <c r="C5" s="493"/>
      <c r="D5" s="494"/>
      <c r="E5" s="494">
        <f>20+7</f>
        <v>27</v>
      </c>
      <c r="F5" s="495"/>
      <c r="G5" s="566"/>
      <c r="H5" s="514"/>
      <c r="I5" s="641" t="s">
        <v>152</v>
      </c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>
        <f>15+7</f>
        <v>22</v>
      </c>
      <c r="X5" s="508"/>
      <c r="Y5" s="469"/>
      <c r="Z5" s="6"/>
      <c r="AA5" s="579" t="s">
        <v>152</v>
      </c>
      <c r="AB5" s="604"/>
      <c r="AC5" s="66"/>
      <c r="AD5" s="470"/>
      <c r="AE5" s="6"/>
      <c r="AF5" s="6"/>
      <c r="AG5" s="508"/>
      <c r="AH5" s="509"/>
      <c r="AI5" s="6"/>
      <c r="AJ5" s="600"/>
      <c r="AK5" s="508"/>
      <c r="AM5" s="470"/>
      <c r="AN5" s="6"/>
      <c r="AO5" s="6"/>
      <c r="AP5" s="47"/>
      <c r="AQ5" s="508"/>
      <c r="AR5" s="509"/>
      <c r="AS5" s="6"/>
      <c r="AT5" s="502"/>
      <c r="AU5" s="636"/>
      <c r="AV5" s="526"/>
    </row>
    <row r="6" spans="1:48" ht="80.5" customHeight="1" x14ac:dyDescent="0.35">
      <c r="A6" s="1477"/>
      <c r="B6" s="472">
        <v>2</v>
      </c>
      <c r="C6" s="493">
        <v>288</v>
      </c>
      <c r="D6" s="494"/>
      <c r="E6" s="494">
        <v>20</v>
      </c>
      <c r="F6" s="495"/>
      <c r="G6" s="565" t="s">
        <v>315</v>
      </c>
      <c r="H6" s="514"/>
      <c r="I6" s="641" t="s">
        <v>152</v>
      </c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/>
      <c r="X6" s="508"/>
      <c r="Y6" s="469"/>
      <c r="Z6" s="6"/>
      <c r="AA6" s="579"/>
      <c r="AB6" s="508"/>
      <c r="AC6" s="66"/>
      <c r="AD6" s="470"/>
      <c r="AE6" s="6"/>
      <c r="AF6" s="6"/>
      <c r="AG6" s="508"/>
      <c r="AH6" s="509"/>
      <c r="AI6" s="6"/>
      <c r="AJ6" s="6"/>
      <c r="AK6" s="508"/>
      <c r="AM6" s="470"/>
      <c r="AN6" s="6"/>
      <c r="AO6" s="6"/>
      <c r="AP6" s="47"/>
      <c r="AQ6" s="508"/>
      <c r="AR6" s="509"/>
      <c r="AS6" s="6"/>
      <c r="AT6" s="502"/>
      <c r="AU6" s="636"/>
      <c r="AV6" s="526"/>
    </row>
    <row r="7" spans="1:48" ht="71.5" customHeight="1" x14ac:dyDescent="0.35">
      <c r="A7" s="1478">
        <v>45202</v>
      </c>
      <c r="B7" s="472">
        <v>1</v>
      </c>
      <c r="C7" s="493"/>
      <c r="D7" s="494">
        <v>153</v>
      </c>
      <c r="E7" s="494">
        <v>10</v>
      </c>
      <c r="F7" s="495"/>
      <c r="G7" s="566"/>
      <c r="H7" s="660" t="s">
        <v>741</v>
      </c>
      <c r="I7" s="641" t="s">
        <v>152</v>
      </c>
      <c r="J7" s="568"/>
      <c r="K7" s="66"/>
      <c r="L7" s="470"/>
      <c r="M7" s="509">
        <v>150</v>
      </c>
      <c r="N7" s="6"/>
      <c r="O7" s="508"/>
      <c r="P7" s="509"/>
      <c r="Q7" s="660" t="s">
        <v>741</v>
      </c>
      <c r="R7" s="6"/>
      <c r="S7" s="508"/>
      <c r="T7" s="66"/>
      <c r="U7" s="470"/>
      <c r="V7" s="6">
        <v>155</v>
      </c>
      <c r="W7" s="6">
        <v>22</v>
      </c>
      <c r="X7" s="508"/>
      <c r="Y7" s="509"/>
      <c r="Z7" s="660" t="s">
        <v>741</v>
      </c>
      <c r="AA7" s="579" t="s">
        <v>152</v>
      </c>
      <c r="AB7" s="508"/>
      <c r="AC7" s="66"/>
      <c r="AD7" s="470"/>
      <c r="AE7" s="6">
        <v>158</v>
      </c>
      <c r="AF7" s="6"/>
      <c r="AG7" s="508"/>
      <c r="AH7" s="509"/>
      <c r="AI7" s="660" t="s">
        <v>741</v>
      </c>
      <c r="AJ7" s="6"/>
      <c r="AK7" s="508"/>
      <c r="AM7" s="470"/>
      <c r="AN7" s="6">
        <v>162</v>
      </c>
      <c r="AO7" s="6">
        <v>30</v>
      </c>
      <c r="AP7" s="47"/>
      <c r="AQ7" s="508"/>
      <c r="AR7" s="509"/>
      <c r="AS7" s="660" t="s">
        <v>741</v>
      </c>
      <c r="AT7" s="515" t="s">
        <v>742</v>
      </c>
      <c r="AU7" s="573"/>
      <c r="AV7" s="526"/>
    </row>
    <row r="8" spans="1:48" ht="69.650000000000006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515"/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>
        <v>15</v>
      </c>
      <c r="X8" s="508"/>
      <c r="Y8" s="469"/>
      <c r="Z8" s="6"/>
      <c r="AA8" s="579" t="s">
        <v>152</v>
      </c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/>
      <c r="AN8" s="6"/>
      <c r="AO8" s="6">
        <v>10</v>
      </c>
      <c r="AP8" s="47"/>
      <c r="AQ8" s="508"/>
      <c r="AR8" s="509"/>
      <c r="AS8" s="6"/>
      <c r="AT8" s="6" t="s">
        <v>152</v>
      </c>
      <c r="AU8" s="47"/>
      <c r="AV8" s="526"/>
    </row>
    <row r="9" spans="1:48" ht="76.95" customHeight="1" x14ac:dyDescent="0.35">
      <c r="A9" s="1478">
        <v>45203</v>
      </c>
      <c r="B9" s="472">
        <v>1</v>
      </c>
      <c r="C9" s="493"/>
      <c r="D9" s="494"/>
      <c r="E9" s="494">
        <f>14+10+10</f>
        <v>34</v>
      </c>
      <c r="F9" s="495"/>
      <c r="G9" s="565"/>
      <c r="H9" s="514"/>
      <c r="I9" s="641" t="s">
        <v>152</v>
      </c>
      <c r="J9" s="527"/>
      <c r="K9" s="66"/>
      <c r="L9" s="470"/>
      <c r="M9" s="6"/>
      <c r="N9" s="6"/>
      <c r="O9" s="508"/>
      <c r="P9" s="469"/>
      <c r="Q9" s="515"/>
      <c r="R9" s="502"/>
      <c r="S9" s="527"/>
      <c r="T9" s="66"/>
      <c r="U9" s="470"/>
      <c r="V9" s="6"/>
      <c r="W9" s="6">
        <v>15</v>
      </c>
      <c r="X9" s="508"/>
      <c r="Y9" s="509"/>
      <c r="Z9" s="6"/>
      <c r="AA9" s="579" t="s">
        <v>152</v>
      </c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>
        <v>10</v>
      </c>
      <c r="AP9" s="47"/>
      <c r="AQ9" s="508"/>
      <c r="AR9" s="509"/>
      <c r="AS9" s="6"/>
      <c r="AT9" s="6" t="s">
        <v>152</v>
      </c>
      <c r="AU9" s="636"/>
      <c r="AV9" s="526"/>
    </row>
    <row r="10" spans="1:48" ht="67.2" customHeight="1" x14ac:dyDescent="0.35">
      <c r="A10" s="1477"/>
      <c r="B10" s="472">
        <v>2</v>
      </c>
      <c r="C10" s="493"/>
      <c r="D10" s="494"/>
      <c r="E10" s="494">
        <v>20</v>
      </c>
      <c r="F10" s="495"/>
      <c r="G10" s="566"/>
      <c r="H10" s="514"/>
      <c r="I10" s="641" t="s">
        <v>152</v>
      </c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/>
      <c r="V10" s="6"/>
      <c r="W10" s="6">
        <v>10</v>
      </c>
      <c r="X10" s="508"/>
      <c r="Y10" s="465"/>
      <c r="Z10" s="469"/>
      <c r="AA10" s="579" t="s">
        <v>152</v>
      </c>
      <c r="AB10" s="527"/>
      <c r="AC10" s="66"/>
      <c r="AD10" s="470"/>
      <c r="AE10" s="6"/>
      <c r="AF10" s="6">
        <v>5</v>
      </c>
      <c r="AG10" s="508"/>
      <c r="AH10" s="469"/>
      <c r="AI10" s="502"/>
      <c r="AJ10" s="6" t="s">
        <v>743</v>
      </c>
      <c r="AK10" s="527"/>
      <c r="AM10" s="470"/>
      <c r="AN10" s="6"/>
      <c r="AO10" s="6"/>
      <c r="AP10" s="47"/>
      <c r="AQ10" s="508"/>
      <c r="AR10" s="509"/>
      <c r="AS10" s="6"/>
      <c r="AT10" s="6"/>
      <c r="AU10" s="47"/>
      <c r="AV10" s="526"/>
    </row>
    <row r="11" spans="1:48" ht="60" customHeight="1" x14ac:dyDescent="0.35">
      <c r="A11" s="1478">
        <v>45204</v>
      </c>
      <c r="B11" s="472">
        <v>1</v>
      </c>
      <c r="C11" s="493"/>
      <c r="D11" s="494"/>
      <c r="E11" s="494">
        <f>8+20</f>
        <v>28</v>
      </c>
      <c r="F11" s="495"/>
      <c r="G11" s="565"/>
      <c r="H11" s="514"/>
      <c r="I11" s="515" t="s">
        <v>744</v>
      </c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>
        <v>29</v>
      </c>
      <c r="X11" s="508"/>
      <c r="Y11" s="509"/>
      <c r="Z11" s="6"/>
      <c r="AA11" s="579" t="s">
        <v>152</v>
      </c>
      <c r="AB11" s="508"/>
      <c r="AC11" s="66"/>
      <c r="AD11" s="470"/>
      <c r="AE11" s="6"/>
      <c r="AF11" s="6">
        <v>8</v>
      </c>
      <c r="AG11" s="508"/>
      <c r="AH11" s="509"/>
      <c r="AI11" s="6"/>
      <c r="AJ11" s="6" t="s">
        <v>743</v>
      </c>
      <c r="AK11" s="508"/>
      <c r="AM11" s="470"/>
      <c r="AN11" s="6"/>
      <c r="AO11" s="6">
        <v>8</v>
      </c>
      <c r="AP11" s="47"/>
      <c r="AQ11" s="508"/>
      <c r="AR11" s="509"/>
      <c r="AS11" s="6"/>
      <c r="AT11" s="6" t="s">
        <v>152</v>
      </c>
      <c r="AU11" s="47"/>
      <c r="AV11" s="526"/>
    </row>
    <row r="12" spans="1:48" ht="55.2" customHeight="1" x14ac:dyDescent="0.35">
      <c r="A12" s="1477"/>
      <c r="B12" s="472">
        <v>2</v>
      </c>
      <c r="C12" s="493"/>
      <c r="D12" s="494"/>
      <c r="E12" s="494"/>
      <c r="F12" s="495"/>
      <c r="G12" s="566"/>
      <c r="H12" s="514"/>
      <c r="I12" s="515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509"/>
      <c r="Z12" s="6"/>
      <c r="AA12" s="579"/>
      <c r="AB12" s="527"/>
      <c r="AC12" s="66"/>
      <c r="AD12" s="470"/>
      <c r="AE12" s="6"/>
      <c r="AF12" s="6">
        <v>13</v>
      </c>
      <c r="AG12" s="508"/>
      <c r="AH12" s="509"/>
      <c r="AI12" s="502"/>
      <c r="AJ12" s="502" t="s">
        <v>745</v>
      </c>
      <c r="AK12" s="527"/>
      <c r="AM12" s="470"/>
      <c r="AN12" s="6"/>
      <c r="AO12" s="6"/>
      <c r="AP12" s="47"/>
      <c r="AQ12" s="508"/>
      <c r="AR12" s="509"/>
      <c r="AS12" s="6"/>
      <c r="AT12" s="6"/>
      <c r="AU12" s="47"/>
      <c r="AV12" s="527"/>
    </row>
    <row r="13" spans="1:48" ht="34.950000000000003" customHeight="1" x14ac:dyDescent="0.35">
      <c r="A13" s="1478">
        <v>45205</v>
      </c>
      <c r="B13" s="472">
        <v>1</v>
      </c>
      <c r="C13" s="493"/>
      <c r="D13" s="494"/>
      <c r="E13" s="494"/>
      <c r="F13" s="495"/>
      <c r="G13" s="566"/>
      <c r="H13" s="514"/>
      <c r="I13" s="515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>
        <v>12</v>
      </c>
      <c r="X13" s="495"/>
      <c r="Y13" s="469"/>
      <c r="Z13" s="502"/>
      <c r="AA13" s="6" t="s">
        <v>152</v>
      </c>
      <c r="AB13" s="527"/>
      <c r="AC13" s="66"/>
      <c r="AD13" s="470"/>
      <c r="AE13" s="6"/>
      <c r="AF13" s="6"/>
      <c r="AG13" s="495"/>
      <c r="AH13" s="509"/>
      <c r="AI13" s="6"/>
      <c r="AJ13" s="6"/>
      <c r="AK13" s="527"/>
      <c r="AM13" s="470"/>
      <c r="AN13" s="6"/>
      <c r="AO13" s="6"/>
      <c r="AP13" s="47"/>
      <c r="AQ13" s="495"/>
      <c r="AR13" s="509"/>
      <c r="AS13" s="6"/>
      <c r="AT13" s="6"/>
      <c r="AU13" s="47"/>
      <c r="AV13" s="527"/>
    </row>
    <row r="14" spans="1:48" ht="49.2" customHeight="1" x14ac:dyDescent="0.35">
      <c r="A14" s="1477"/>
      <c r="B14" s="472">
        <v>2</v>
      </c>
      <c r="C14" s="493"/>
      <c r="D14" s="494"/>
      <c r="E14" s="494"/>
      <c r="F14" s="495"/>
      <c r="G14" s="566"/>
      <c r="H14" s="515"/>
      <c r="I14" s="515"/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02"/>
      <c r="AB14" s="527"/>
      <c r="AC14" s="66"/>
      <c r="AD14" s="470"/>
      <c r="AE14" s="6"/>
      <c r="AF14" s="6">
        <v>18</v>
      </c>
      <c r="AG14" s="495"/>
      <c r="AH14" s="469"/>
      <c r="AI14" s="6"/>
      <c r="AJ14" s="6" t="s">
        <v>97</v>
      </c>
      <c r="AK14" s="527"/>
      <c r="AM14" s="470"/>
      <c r="AN14" s="6"/>
      <c r="AO14" s="6"/>
      <c r="AP14" s="47"/>
      <c r="AQ14" s="495"/>
      <c r="AR14" s="469"/>
      <c r="AS14" s="6"/>
      <c r="AT14" s="6"/>
      <c r="AU14" s="47"/>
      <c r="AV14" s="527"/>
    </row>
    <row r="15" spans="1:48" ht="48" customHeight="1" x14ac:dyDescent="0.35">
      <c r="A15" s="1478">
        <v>45206</v>
      </c>
      <c r="B15" s="472">
        <v>1</v>
      </c>
      <c r="C15" s="493"/>
      <c r="D15" s="494"/>
      <c r="E15" s="6">
        <v>7</v>
      </c>
      <c r="F15" s="495"/>
      <c r="G15" s="566"/>
      <c r="H15" s="515"/>
      <c r="I15" s="515" t="s">
        <v>113</v>
      </c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/>
      <c r="V15" s="6"/>
      <c r="W15" s="6">
        <v>22</v>
      </c>
      <c r="X15" s="495"/>
      <c r="Y15" s="566"/>
      <c r="Z15" s="515"/>
      <c r="AA15" s="515" t="s">
        <v>152</v>
      </c>
      <c r="AB15" s="527"/>
      <c r="AC15" s="66"/>
      <c r="AD15" s="470">
        <v>43</v>
      </c>
      <c r="AE15" s="6"/>
      <c r="AF15" s="66">
        <v>13</v>
      </c>
      <c r="AG15" s="495"/>
      <c r="AH15" s="566" t="s">
        <v>746</v>
      </c>
      <c r="AI15" s="515"/>
      <c r="AJ15" s="515" t="s">
        <v>113</v>
      </c>
      <c r="AK15" s="527"/>
      <c r="AM15" s="470"/>
      <c r="AN15" s="6"/>
      <c r="AO15" s="66">
        <v>10</v>
      </c>
      <c r="AP15" s="495"/>
      <c r="AQ15" s="566"/>
      <c r="AR15" s="515"/>
      <c r="AS15" s="515"/>
      <c r="AT15" s="515" t="s">
        <v>152</v>
      </c>
      <c r="AU15" s="527"/>
      <c r="AV15" s="527"/>
    </row>
    <row r="16" spans="1:48" ht="54.65" customHeight="1" x14ac:dyDescent="0.35">
      <c r="A16" s="1477"/>
      <c r="B16" s="472">
        <v>2</v>
      </c>
      <c r="C16" s="493"/>
      <c r="D16" s="494"/>
      <c r="E16" s="494">
        <v>6</v>
      </c>
      <c r="F16" s="495"/>
      <c r="G16" s="565"/>
      <c r="H16" s="638"/>
      <c r="I16" s="641" t="s">
        <v>152</v>
      </c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/>
      <c r="W16" s="6">
        <v>16</v>
      </c>
      <c r="X16" s="495"/>
      <c r="Y16" s="565"/>
      <c r="Z16" s="638"/>
      <c r="AA16" s="515" t="s">
        <v>152</v>
      </c>
      <c r="AB16" s="527"/>
      <c r="AC16" s="66"/>
      <c r="AD16" s="470">
        <v>475</v>
      </c>
      <c r="AE16" s="6"/>
      <c r="AF16" s="6">
        <v>30</v>
      </c>
      <c r="AG16" s="495"/>
      <c r="AH16" s="566" t="s">
        <v>746</v>
      </c>
      <c r="AI16" s="638"/>
      <c r="AJ16" s="6" t="s">
        <v>562</v>
      </c>
      <c r="AK16" s="527"/>
      <c r="AM16" s="470"/>
      <c r="AN16" s="6"/>
      <c r="AO16" s="6"/>
      <c r="AP16" s="495"/>
      <c r="AQ16" s="565"/>
      <c r="AR16" s="638"/>
      <c r="AS16" s="515"/>
      <c r="AT16" s="515"/>
      <c r="AU16" s="573"/>
      <c r="AV16" s="527"/>
    </row>
    <row r="17" spans="1:48" ht="66" customHeight="1" x14ac:dyDescent="0.35">
      <c r="A17" s="1478">
        <v>45207</v>
      </c>
      <c r="B17" s="534">
        <v>1</v>
      </c>
      <c r="C17" s="493"/>
      <c r="D17" s="494"/>
      <c r="E17" s="494">
        <v>10</v>
      </c>
      <c r="F17" s="495"/>
      <c r="G17" s="566"/>
      <c r="H17" s="514"/>
      <c r="I17" s="641" t="s">
        <v>152</v>
      </c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>
        <v>28</v>
      </c>
      <c r="X17" s="495"/>
      <c r="Y17" s="566"/>
      <c r="Z17" s="514"/>
      <c r="AA17" s="515" t="s">
        <v>152</v>
      </c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495"/>
      <c r="AQ17" s="566"/>
      <c r="AR17" s="514"/>
      <c r="AS17" s="515"/>
      <c r="AT17" s="515"/>
      <c r="AU17" s="527"/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>
        <v>20</v>
      </c>
      <c r="F18" s="495"/>
      <c r="G18" s="565"/>
      <c r="H18" s="638"/>
      <c r="I18" s="641" t="s">
        <v>152</v>
      </c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6">
        <v>45</v>
      </c>
      <c r="X18" s="495"/>
      <c r="Y18" s="565"/>
      <c r="Z18" s="515"/>
      <c r="AA18" s="515" t="s">
        <v>123</v>
      </c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/>
      <c r="AP18" s="47"/>
      <c r="AQ18" s="495"/>
      <c r="AR18" s="565"/>
      <c r="AS18" s="515"/>
      <c r="AT18" s="515"/>
      <c r="AU18" s="638"/>
      <c r="AV18" s="527"/>
    </row>
    <row r="19" spans="1:48" ht="33.65" customHeight="1" x14ac:dyDescent="0.35">
      <c r="A19" s="1478">
        <v>45208</v>
      </c>
      <c r="B19" s="472">
        <v>1</v>
      </c>
      <c r="C19" s="66"/>
      <c r="D19" s="494"/>
      <c r="E19" s="494">
        <v>20</v>
      </c>
      <c r="F19" s="495"/>
      <c r="G19" s="465"/>
      <c r="H19" s="6"/>
      <c r="I19" s="641" t="s">
        <v>152</v>
      </c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>
        <v>17</v>
      </c>
      <c r="X19" s="495"/>
      <c r="Y19" s="470"/>
      <c r="Z19" s="502"/>
      <c r="AA19" s="515" t="s">
        <v>152</v>
      </c>
      <c r="AB19" s="527"/>
      <c r="AC19" s="66"/>
      <c r="AD19" s="470"/>
      <c r="AE19" s="6"/>
      <c r="AF19" s="6">
        <v>12</v>
      </c>
      <c r="AG19" s="495"/>
      <c r="AH19" s="470"/>
      <c r="AI19" s="6"/>
      <c r="AJ19" s="579" t="s">
        <v>152</v>
      </c>
      <c r="AK19" s="527"/>
      <c r="AM19" s="470"/>
      <c r="AN19" s="6"/>
      <c r="AO19" s="6"/>
      <c r="AP19" s="47"/>
      <c r="AQ19" s="495"/>
      <c r="AR19" s="470"/>
      <c r="AS19" s="6"/>
      <c r="AT19" s="515"/>
      <c r="AU19" s="636"/>
      <c r="AV19" s="527"/>
    </row>
    <row r="20" spans="1:48" ht="31.2" customHeight="1" x14ac:dyDescent="0.35">
      <c r="A20" s="1477"/>
      <c r="B20" s="472">
        <v>2</v>
      </c>
      <c r="C20" s="493"/>
      <c r="D20" s="494"/>
      <c r="E20" s="494"/>
      <c r="F20" s="495"/>
      <c r="G20" s="465"/>
      <c r="H20" s="502"/>
      <c r="I20" s="515"/>
      <c r="J20" s="527"/>
      <c r="K20" s="66"/>
      <c r="L20" s="470"/>
      <c r="M20" s="6"/>
      <c r="N20" s="6"/>
      <c r="O20" s="495"/>
      <c r="P20" s="470"/>
      <c r="Q20" s="502"/>
      <c r="R20" s="605"/>
      <c r="S20" s="527"/>
      <c r="T20" s="66"/>
      <c r="U20" s="470"/>
      <c r="V20" s="214"/>
      <c r="W20" s="6">
        <v>72</v>
      </c>
      <c r="X20" s="495"/>
      <c r="Y20" s="470"/>
      <c r="Z20" s="502"/>
      <c r="AA20" s="605" t="s">
        <v>747</v>
      </c>
      <c r="AB20" s="527"/>
      <c r="AC20" s="66"/>
      <c r="AD20" s="470"/>
      <c r="AE20" s="6"/>
      <c r="AF20" s="6"/>
      <c r="AG20" s="495"/>
      <c r="AH20" s="470"/>
      <c r="AI20" s="502"/>
      <c r="AJ20" s="625"/>
      <c r="AK20" s="527"/>
      <c r="AM20" s="470"/>
      <c r="AN20" s="6"/>
      <c r="AO20" s="6"/>
      <c r="AP20" s="47"/>
      <c r="AQ20" s="495"/>
      <c r="AR20" s="470"/>
      <c r="AS20" s="502"/>
      <c r="AT20" s="502"/>
      <c r="AU20" s="66"/>
      <c r="AV20" s="527"/>
    </row>
    <row r="21" spans="1:48" ht="39.65" customHeight="1" x14ac:dyDescent="0.35">
      <c r="A21" s="1478">
        <v>45209</v>
      </c>
      <c r="B21" s="472">
        <v>1</v>
      </c>
      <c r="C21" s="493"/>
      <c r="D21" s="494"/>
      <c r="E21" s="494">
        <v>23</v>
      </c>
      <c r="F21" s="495"/>
      <c r="G21" s="569"/>
      <c r="H21" s="514"/>
      <c r="I21" s="641" t="s">
        <v>328</v>
      </c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>
        <v>32</v>
      </c>
      <c r="X21" s="495"/>
      <c r="Y21" s="465"/>
      <c r="Z21" s="6"/>
      <c r="AA21" s="641" t="s">
        <v>328</v>
      </c>
      <c r="AB21" s="527"/>
      <c r="AC21" s="66"/>
      <c r="AD21" s="470"/>
      <c r="AE21" s="6"/>
      <c r="AF21" s="6">
        <f>10+10+25</f>
        <v>45</v>
      </c>
      <c r="AG21" s="495"/>
      <c r="AH21" s="470"/>
      <c r="AI21" s="6"/>
      <c r="AJ21" s="641" t="s">
        <v>748</v>
      </c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31.95" customHeight="1" x14ac:dyDescent="0.35">
      <c r="A22" s="1477"/>
      <c r="B22" s="472">
        <v>2</v>
      </c>
      <c r="C22" s="493"/>
      <c r="D22" s="494"/>
      <c r="E22" s="494">
        <v>23</v>
      </c>
      <c r="F22" s="495"/>
      <c r="G22" s="562"/>
      <c r="H22" s="515"/>
      <c r="I22" s="641" t="s">
        <v>328</v>
      </c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>
        <v>25</v>
      </c>
      <c r="X22" s="495"/>
      <c r="Y22" s="465"/>
      <c r="Z22" s="6"/>
      <c r="AA22" s="641" t="s">
        <v>325</v>
      </c>
      <c r="AB22" s="527"/>
      <c r="AC22" s="66"/>
      <c r="AD22" s="470"/>
      <c r="AE22" s="6"/>
      <c r="AF22" s="6">
        <v>80</v>
      </c>
      <c r="AG22" s="495"/>
      <c r="AH22" s="465"/>
      <c r="AI22" s="6"/>
      <c r="AJ22" s="641" t="s">
        <v>748</v>
      </c>
      <c r="AK22" s="607"/>
      <c r="AM22" s="470"/>
      <c r="AN22" s="6"/>
      <c r="AO22" s="6"/>
      <c r="AP22" s="47"/>
      <c r="AQ22" s="495"/>
      <c r="AR22" s="470"/>
      <c r="AS22" s="502"/>
      <c r="AT22" s="47"/>
      <c r="AU22" s="47"/>
      <c r="AV22" s="527"/>
    </row>
    <row r="23" spans="1:48" ht="47.5" customHeight="1" x14ac:dyDescent="0.35">
      <c r="A23" s="1478">
        <v>45210</v>
      </c>
      <c r="B23" s="534">
        <v>1</v>
      </c>
      <c r="C23" s="493"/>
      <c r="D23" s="494"/>
      <c r="E23" s="494"/>
      <c r="F23" s="495"/>
      <c r="G23" s="566"/>
      <c r="H23" s="514"/>
      <c r="I23" s="515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465"/>
      <c r="Z23" s="514"/>
      <c r="AA23" s="515"/>
      <c r="AB23" s="527"/>
      <c r="AC23" s="66"/>
      <c r="AD23" s="470"/>
      <c r="AE23" s="6"/>
      <c r="AF23" s="6"/>
      <c r="AG23" s="495"/>
      <c r="AH23" s="6"/>
      <c r="AI23" s="514"/>
      <c r="AJ23" s="515"/>
      <c r="AK23" s="607"/>
      <c r="AM23" s="470"/>
      <c r="AN23" s="6"/>
      <c r="AO23" s="6"/>
      <c r="AP23" s="47"/>
      <c r="AQ23" s="495"/>
      <c r="AR23" s="6"/>
      <c r="AS23" s="514"/>
      <c r="AT23" s="573"/>
      <c r="AU23" s="573"/>
      <c r="AV23" s="527"/>
    </row>
    <row r="24" spans="1:48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4"/>
      <c r="I24" s="515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/>
      <c r="X24" s="495"/>
      <c r="Y24" s="566"/>
      <c r="Z24" s="514"/>
      <c r="AA24" s="515"/>
      <c r="AB24" s="527"/>
      <c r="AC24" s="66"/>
      <c r="AD24" s="470"/>
      <c r="AE24" s="6">
        <v>65</v>
      </c>
      <c r="AF24" s="6"/>
      <c r="AG24" s="495"/>
      <c r="AH24" s="566"/>
      <c r="AI24" s="514" t="s">
        <v>590</v>
      </c>
      <c r="AJ24" s="515"/>
      <c r="AK24" s="527"/>
      <c r="AM24" s="470"/>
      <c r="AN24" s="6">
        <v>157</v>
      </c>
      <c r="AO24" s="6"/>
      <c r="AP24" s="495"/>
      <c r="AQ24" s="566"/>
      <c r="AR24" s="514"/>
      <c r="AS24" s="514" t="s">
        <v>590</v>
      </c>
      <c r="AT24" s="527"/>
      <c r="AU24" s="527"/>
      <c r="AV24" s="527"/>
    </row>
    <row r="25" spans="1:48" ht="46.2" customHeight="1" x14ac:dyDescent="0.35">
      <c r="A25" s="1478">
        <v>45211</v>
      </c>
      <c r="B25" s="472">
        <v>1</v>
      </c>
      <c r="C25" s="493"/>
      <c r="D25" s="494"/>
      <c r="E25" s="494">
        <v>10</v>
      </c>
      <c r="F25" s="495"/>
      <c r="G25" s="566"/>
      <c r="H25" s="514"/>
      <c r="I25" s="641" t="s">
        <v>152</v>
      </c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>
        <v>16</v>
      </c>
      <c r="X25" s="495"/>
      <c r="Y25" s="465"/>
      <c r="Z25" s="502"/>
      <c r="AA25" s="515" t="s">
        <v>152</v>
      </c>
      <c r="AB25" s="527"/>
      <c r="AC25" s="66"/>
      <c r="AD25" s="470"/>
      <c r="AE25" s="6"/>
      <c r="AF25" s="6"/>
      <c r="AG25" s="495"/>
      <c r="AH25" s="6"/>
      <c r="AI25" s="6"/>
      <c r="AJ25" s="6"/>
      <c r="AK25" s="607"/>
      <c r="AM25" s="470"/>
      <c r="AN25" s="6"/>
      <c r="AO25" s="6"/>
      <c r="AP25" s="47"/>
      <c r="AQ25" s="495"/>
      <c r="AR25" s="6"/>
      <c r="AS25" s="6"/>
      <c r="AT25" s="47"/>
      <c r="AU25" s="47"/>
      <c r="AV25" s="527"/>
    </row>
    <row r="26" spans="1:48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573"/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/>
      <c r="V26" s="494"/>
      <c r="W26" s="6">
        <v>15</v>
      </c>
      <c r="X26" s="495"/>
      <c r="Y26" s="566"/>
      <c r="Z26" s="515"/>
      <c r="AA26" s="573" t="s">
        <v>325</v>
      </c>
      <c r="AB26" s="527"/>
      <c r="AC26" s="66"/>
      <c r="AD26" s="470"/>
      <c r="AE26" s="494"/>
      <c r="AF26" s="6"/>
      <c r="AG26" s="495"/>
      <c r="AH26" s="566"/>
      <c r="AI26" s="515"/>
      <c r="AJ26" s="573"/>
      <c r="AK26" s="527"/>
      <c r="AM26" s="470"/>
      <c r="AN26" s="494"/>
      <c r="AO26" s="6"/>
      <c r="AP26" s="651"/>
      <c r="AQ26" s="495"/>
      <c r="AR26" s="566"/>
      <c r="AS26" s="515"/>
      <c r="AT26" s="573"/>
      <c r="AU26" s="527"/>
      <c r="AV26" s="527"/>
    </row>
    <row r="27" spans="1:48" ht="49.95" customHeight="1" x14ac:dyDescent="0.35">
      <c r="A27" s="1478">
        <v>45212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>
        <f>6+10+12+15</f>
        <v>43</v>
      </c>
      <c r="X27" s="495"/>
      <c r="Y27" s="566"/>
      <c r="Z27" s="514"/>
      <c r="AA27" s="515" t="s">
        <v>559</v>
      </c>
      <c r="AB27" s="527"/>
      <c r="AC27" s="66"/>
      <c r="AD27" s="470"/>
      <c r="AE27" s="6"/>
      <c r="AF27" s="6"/>
      <c r="AG27" s="495"/>
      <c r="AH27" s="6"/>
      <c r="AI27" s="6"/>
      <c r="AJ27" s="515"/>
      <c r="AK27" s="527"/>
      <c r="AM27" s="470"/>
      <c r="AN27" s="6"/>
      <c r="AO27" s="6"/>
      <c r="AP27" s="47"/>
      <c r="AQ27" s="495"/>
      <c r="AR27" s="6"/>
      <c r="AS27" s="6"/>
      <c r="AT27" s="573"/>
      <c r="AU27" s="527"/>
      <c r="AV27" s="527"/>
    </row>
    <row r="28" spans="1:48" ht="72" customHeight="1" x14ac:dyDescent="0.35">
      <c r="A28" s="1477"/>
      <c r="B28" s="472">
        <v>2</v>
      </c>
      <c r="C28" s="493"/>
      <c r="D28" s="494"/>
      <c r="E28" s="494"/>
      <c r="F28" s="495"/>
      <c r="G28" s="515"/>
      <c r="H28" s="515"/>
      <c r="I28" s="515"/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>
        <v>713</v>
      </c>
      <c r="V28" s="6"/>
      <c r="W28" s="66"/>
      <c r="X28" s="495"/>
      <c r="Y28" s="515" t="s">
        <v>749</v>
      </c>
      <c r="Z28" s="6"/>
      <c r="AA28" s="573"/>
      <c r="AB28" s="527"/>
      <c r="AC28" s="66"/>
      <c r="AD28" s="470"/>
      <c r="AE28" s="6"/>
      <c r="AF28" s="6"/>
      <c r="AG28" s="495"/>
      <c r="AH28" s="502"/>
      <c r="AI28" s="6"/>
      <c r="AJ28" s="573"/>
      <c r="AK28" s="527"/>
      <c r="AM28" s="470"/>
      <c r="AN28" s="6"/>
      <c r="AO28" s="6"/>
      <c r="AP28" s="47"/>
      <c r="AQ28" s="495"/>
      <c r="AR28" s="502"/>
      <c r="AS28" s="6"/>
      <c r="AT28" s="573"/>
      <c r="AU28" s="527"/>
      <c r="AV28" s="526"/>
    </row>
    <row r="29" spans="1:48" ht="66" customHeight="1" x14ac:dyDescent="0.35">
      <c r="A29" s="1478">
        <v>45213</v>
      </c>
      <c r="B29" s="472">
        <v>1</v>
      </c>
      <c r="C29" s="493"/>
      <c r="D29" s="494"/>
      <c r="E29" s="494"/>
      <c r="F29" s="495"/>
      <c r="G29" s="515"/>
      <c r="H29" s="514"/>
      <c r="I29" s="573"/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>
        <v>218</v>
      </c>
      <c r="V29" s="6"/>
      <c r="W29" s="6">
        <v>502</v>
      </c>
      <c r="X29" s="495"/>
      <c r="Y29" s="515" t="s">
        <v>749</v>
      </c>
      <c r="Z29" s="514"/>
      <c r="AA29" s="573" t="s">
        <v>750</v>
      </c>
      <c r="AB29" s="527"/>
      <c r="AC29" s="66"/>
      <c r="AD29" s="470"/>
      <c r="AE29" s="6"/>
      <c r="AF29" s="6"/>
      <c r="AG29" s="495"/>
      <c r="AH29" s="566"/>
      <c r="AI29" s="514"/>
      <c r="AJ29" s="515"/>
      <c r="AK29" s="527"/>
      <c r="AM29" s="470"/>
      <c r="AN29" s="6"/>
      <c r="AO29" s="6"/>
      <c r="AP29" s="47"/>
      <c r="AQ29" s="495"/>
      <c r="AR29" s="566"/>
      <c r="AS29" s="514"/>
      <c r="AT29" s="515"/>
      <c r="AU29" s="527"/>
      <c r="AV29" s="508"/>
    </row>
    <row r="30" spans="1:48" ht="39.6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4"/>
      <c r="I30" s="515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>
        <f>77+63</f>
        <v>140</v>
      </c>
      <c r="X30" s="495"/>
      <c r="Y30" s="566"/>
      <c r="Z30" s="514"/>
      <c r="AA30" s="573" t="s">
        <v>751</v>
      </c>
      <c r="AB30" s="527"/>
      <c r="AC30" s="66"/>
      <c r="AD30" s="470"/>
      <c r="AE30" s="6">
        <v>16</v>
      </c>
      <c r="AF30" s="6"/>
      <c r="AG30" s="495"/>
      <c r="AH30" s="565"/>
      <c r="AI30" s="515" t="s">
        <v>501</v>
      </c>
      <c r="AJ30" s="515"/>
      <c r="AK30" s="527"/>
      <c r="AM30" s="470"/>
      <c r="AN30" s="6"/>
      <c r="AO30" s="6"/>
      <c r="AP30" s="47"/>
      <c r="AQ30" s="495"/>
      <c r="AR30" s="509"/>
      <c r="AS30" s="502"/>
      <c r="AT30" s="636"/>
      <c r="AU30" s="527"/>
      <c r="AV30" s="508"/>
    </row>
    <row r="31" spans="1:48" ht="39.65" customHeight="1" x14ac:dyDescent="0.35">
      <c r="A31" s="1478">
        <v>45214</v>
      </c>
      <c r="B31" s="472">
        <v>1</v>
      </c>
      <c r="C31" s="493"/>
      <c r="D31" s="494"/>
      <c r="E31" s="494">
        <v>27</v>
      </c>
      <c r="F31" s="495"/>
      <c r="G31" s="566"/>
      <c r="H31" s="514"/>
      <c r="I31" s="515" t="s">
        <v>152</v>
      </c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>
        <v>25</v>
      </c>
      <c r="X31" s="495"/>
      <c r="Y31" s="469"/>
      <c r="Z31" s="6"/>
      <c r="AA31" s="515" t="s">
        <v>152</v>
      </c>
      <c r="AB31" s="527"/>
      <c r="AC31" s="66"/>
      <c r="AD31" s="470"/>
      <c r="AE31" s="6"/>
      <c r="AF31" s="6"/>
      <c r="AG31" s="495"/>
      <c r="AH31" s="509"/>
      <c r="AI31" s="6"/>
      <c r="AJ31" s="6"/>
      <c r="AK31" s="527"/>
      <c r="AM31" s="470"/>
      <c r="AN31" s="6"/>
      <c r="AO31" s="6"/>
      <c r="AP31" s="47"/>
      <c r="AQ31" s="495"/>
      <c r="AR31" s="509"/>
      <c r="AS31" s="6"/>
      <c r="AT31" s="6"/>
      <c r="AU31" s="527"/>
      <c r="AV31" s="527"/>
    </row>
    <row r="32" spans="1:48" ht="63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66"/>
      <c r="I32" s="573"/>
      <c r="J32" s="527"/>
      <c r="K32" s="66"/>
      <c r="L32" s="470"/>
      <c r="M32" s="6"/>
      <c r="N32" s="6"/>
      <c r="O32" s="495"/>
      <c r="P32" s="509"/>
      <c r="Q32" s="6"/>
      <c r="R32" s="6"/>
      <c r="S32" s="527"/>
      <c r="T32" s="66"/>
      <c r="U32" s="470"/>
      <c r="V32" s="6"/>
      <c r="W32" s="494"/>
      <c r="X32" s="495"/>
      <c r="Y32" s="566"/>
      <c r="Z32" s="566"/>
      <c r="AA32" s="565"/>
      <c r="AB32" s="527"/>
      <c r="AC32" s="66"/>
      <c r="AD32" s="470"/>
      <c r="AE32" s="6"/>
      <c r="AF32" s="494"/>
      <c r="AG32" s="495"/>
      <c r="AH32" s="566"/>
      <c r="AI32" s="566"/>
      <c r="AJ32" s="565"/>
      <c r="AK32" s="527"/>
      <c r="AM32" s="470"/>
      <c r="AN32" s="6"/>
      <c r="AO32" s="6">
        <v>11</v>
      </c>
      <c r="AP32" s="47"/>
      <c r="AQ32" s="495"/>
      <c r="AR32" s="509"/>
      <c r="AS32" s="502"/>
      <c r="AT32" s="636" t="s">
        <v>97</v>
      </c>
      <c r="AU32" s="527"/>
      <c r="AV32" s="508"/>
    </row>
    <row r="33" spans="1:48" ht="43.2" customHeight="1" x14ac:dyDescent="0.35">
      <c r="A33" s="1478">
        <v>45215</v>
      </c>
      <c r="B33" s="472">
        <v>1</v>
      </c>
      <c r="C33" s="493"/>
      <c r="D33" s="494"/>
      <c r="E33" s="494">
        <v>29</v>
      </c>
      <c r="F33" s="495"/>
      <c r="G33" s="566"/>
      <c r="H33" s="514"/>
      <c r="I33" s="515" t="s">
        <v>152</v>
      </c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>
        <v>10</v>
      </c>
      <c r="X33" s="495"/>
      <c r="Y33" s="509"/>
      <c r="Z33" s="6"/>
      <c r="AA33" s="515" t="s">
        <v>152</v>
      </c>
      <c r="AB33" s="527"/>
      <c r="AC33" s="66"/>
      <c r="AD33" s="470"/>
      <c r="AE33" s="6"/>
      <c r="AF33" s="6">
        <v>5</v>
      </c>
      <c r="AG33" s="495"/>
      <c r="AH33" s="509"/>
      <c r="AI33" s="502"/>
      <c r="AJ33" s="579" t="s">
        <v>152</v>
      </c>
      <c r="AK33" s="527"/>
      <c r="AM33" s="470"/>
      <c r="AN33" s="6"/>
      <c r="AO33" s="6"/>
      <c r="AP33" s="47"/>
      <c r="AQ33" s="495"/>
      <c r="AR33" s="509"/>
      <c r="AS33" s="502"/>
      <c r="AT33" s="6"/>
      <c r="AU33" s="527"/>
      <c r="AV33" s="508"/>
    </row>
    <row r="34" spans="1:48" ht="67.95" customHeight="1" x14ac:dyDescent="0.35">
      <c r="A34" s="1477"/>
      <c r="B34" s="534">
        <v>2</v>
      </c>
      <c r="C34" s="494"/>
      <c r="D34" s="494"/>
      <c r="E34" s="494"/>
      <c r="F34" s="637"/>
      <c r="G34" s="565"/>
      <c r="H34" s="515"/>
      <c r="I34" s="515"/>
      <c r="J34" s="527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/>
      <c r="X34" s="508"/>
      <c r="Y34" s="502"/>
      <c r="Z34" s="502"/>
      <c r="AA34" s="565"/>
      <c r="AB34" s="527"/>
      <c r="AC34" s="66"/>
      <c r="AD34" s="470"/>
      <c r="AE34" s="6"/>
      <c r="AF34" s="6"/>
      <c r="AG34" s="508"/>
      <c r="AH34" s="509"/>
      <c r="AI34" s="6"/>
      <c r="AJ34" s="6"/>
      <c r="AK34" s="527"/>
      <c r="AM34" s="470"/>
      <c r="AN34" s="6"/>
      <c r="AO34" s="6">
        <f>40+48+20</f>
        <v>108</v>
      </c>
      <c r="AP34" s="47"/>
      <c r="AQ34" s="508"/>
      <c r="AR34" s="509"/>
      <c r="AS34" s="6"/>
      <c r="AT34" s="636" t="s">
        <v>97</v>
      </c>
      <c r="AU34" s="527"/>
      <c r="AV34" s="508"/>
    </row>
    <row r="35" spans="1:48" ht="51" customHeight="1" x14ac:dyDescent="0.35">
      <c r="A35" s="1478">
        <v>45216</v>
      </c>
      <c r="B35" s="472">
        <v>1</v>
      </c>
      <c r="C35" s="494"/>
      <c r="D35" s="494"/>
      <c r="E35" s="47">
        <v>30</v>
      </c>
      <c r="F35" s="636"/>
      <c r="G35" s="465"/>
      <c r="H35" s="509"/>
      <c r="I35" s="515" t="s">
        <v>152</v>
      </c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>
        <v>25</v>
      </c>
      <c r="X35" s="526"/>
      <c r="Y35" s="465"/>
      <c r="Z35" s="6"/>
      <c r="AA35" s="515" t="s">
        <v>152</v>
      </c>
      <c r="AB35" s="508"/>
      <c r="AC35" s="66"/>
      <c r="AD35" s="470"/>
      <c r="AE35" s="6"/>
      <c r="AF35" s="6"/>
      <c r="AG35" s="469"/>
      <c r="AH35" s="465"/>
      <c r="AI35" s="6"/>
      <c r="AJ35" s="565"/>
      <c r="AK35" s="508"/>
      <c r="AM35" s="470"/>
      <c r="AN35" s="6"/>
      <c r="AO35" s="47"/>
      <c r="AP35" s="47"/>
      <c r="AQ35" s="526"/>
      <c r="AR35" s="465"/>
      <c r="AS35" s="573"/>
      <c r="AT35" s="502"/>
      <c r="AU35" s="636"/>
      <c r="AV35" s="508"/>
    </row>
    <row r="36" spans="1:48" ht="46.95" customHeight="1" x14ac:dyDescent="0.35">
      <c r="A36" s="1477"/>
      <c r="B36" s="472">
        <v>2</v>
      </c>
      <c r="C36" s="47"/>
      <c r="D36" s="6"/>
      <c r="E36" s="47">
        <v>19</v>
      </c>
      <c r="F36" s="636"/>
      <c r="G36" s="573"/>
      <c r="H36" s="469"/>
      <c r="I36" s="515" t="s">
        <v>152</v>
      </c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/>
      <c r="W36" s="6">
        <v>31</v>
      </c>
      <c r="X36" s="469"/>
      <c r="Y36" s="465"/>
      <c r="Z36" s="502"/>
      <c r="AA36" s="515" t="s">
        <v>152</v>
      </c>
      <c r="AB36" s="508"/>
      <c r="AC36" s="66"/>
      <c r="AD36" s="470"/>
      <c r="AE36" s="6"/>
      <c r="AF36" s="47">
        <v>15</v>
      </c>
      <c r="AG36" s="526"/>
      <c r="AH36" s="465"/>
      <c r="AI36" s="502"/>
      <c r="AJ36" s="579" t="s">
        <v>152</v>
      </c>
      <c r="AK36" s="508"/>
      <c r="AM36" s="470"/>
      <c r="AN36" s="6"/>
      <c r="AO36" s="6"/>
      <c r="AP36" s="509"/>
      <c r="AQ36" s="469"/>
      <c r="AR36" s="465"/>
      <c r="AS36" s="502"/>
      <c r="AT36" s="502"/>
      <c r="AU36" s="636"/>
      <c r="AV36" s="508"/>
    </row>
    <row r="37" spans="1:48" ht="59.5" customHeight="1" x14ac:dyDescent="0.35">
      <c r="A37" s="1478">
        <v>45217</v>
      </c>
      <c r="B37" s="534">
        <v>1</v>
      </c>
      <c r="C37" s="47"/>
      <c r="D37" s="494">
        <v>505</v>
      </c>
      <c r="E37" s="47">
        <v>9</v>
      </c>
      <c r="F37" s="47"/>
      <c r="G37" s="573"/>
      <c r="H37" s="469" t="s">
        <v>753</v>
      </c>
      <c r="I37" s="573" t="s">
        <v>752</v>
      </c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>
        <v>22</v>
      </c>
      <c r="X37" s="508"/>
      <c r="Y37" s="509"/>
      <c r="Z37" s="502"/>
      <c r="AA37" s="515" t="s">
        <v>152</v>
      </c>
      <c r="AB37" s="527"/>
      <c r="AC37" s="66"/>
      <c r="AD37" s="470"/>
      <c r="AE37" s="6"/>
      <c r="AF37" s="6">
        <v>10</v>
      </c>
      <c r="AG37" s="508"/>
      <c r="AH37" s="509"/>
      <c r="AI37" s="6"/>
      <c r="AJ37" s="579" t="s">
        <v>152</v>
      </c>
      <c r="AK37" s="508"/>
      <c r="AM37" s="470"/>
      <c r="AN37" s="6"/>
      <c r="AO37" s="6"/>
      <c r="AP37" s="47"/>
      <c r="AQ37" s="508"/>
      <c r="AR37" s="509"/>
      <c r="AS37" s="6"/>
      <c r="AT37" s="6"/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/>
      <c r="E38" s="47">
        <f>13+15</f>
        <v>28</v>
      </c>
      <c r="F38" s="637"/>
      <c r="G38" s="573"/>
      <c r="H38" s="469"/>
      <c r="I38" s="515" t="s">
        <v>152</v>
      </c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/>
      <c r="V38" s="6"/>
      <c r="W38" s="6">
        <f>16+13+16+15</f>
        <v>60</v>
      </c>
      <c r="X38" s="508"/>
      <c r="Y38" s="509"/>
      <c r="Z38" s="502"/>
      <c r="AA38" s="565" t="s">
        <v>328</v>
      </c>
      <c r="AB38" s="527"/>
      <c r="AC38" s="66"/>
      <c r="AD38" s="470"/>
      <c r="AE38" s="6"/>
      <c r="AF38" s="6">
        <f>25+15</f>
        <v>40</v>
      </c>
      <c r="AG38" s="508"/>
      <c r="AH38" s="469"/>
      <c r="AI38" s="6"/>
      <c r="AJ38" s="565" t="s">
        <v>328</v>
      </c>
      <c r="AK38" s="527"/>
      <c r="AM38" s="470"/>
      <c r="AN38" s="6"/>
      <c r="AO38" s="6"/>
      <c r="AP38" s="47"/>
      <c r="AQ38" s="508"/>
      <c r="AR38" s="509"/>
      <c r="AS38" s="6"/>
      <c r="AT38" s="502"/>
      <c r="AU38" s="636"/>
      <c r="AV38" s="527"/>
    </row>
    <row r="39" spans="1:48" ht="39" customHeight="1" x14ac:dyDescent="0.35">
      <c r="A39" s="1478">
        <v>45218</v>
      </c>
      <c r="B39" s="472">
        <v>1</v>
      </c>
      <c r="C39" s="47"/>
      <c r="D39" s="494">
        <v>63</v>
      </c>
      <c r="E39" s="47">
        <v>16</v>
      </c>
      <c r="F39" s="495"/>
      <c r="G39" s="573"/>
      <c r="H39" s="514" t="s">
        <v>755</v>
      </c>
      <c r="I39" s="573" t="s">
        <v>754</v>
      </c>
      <c r="J39" s="568"/>
      <c r="K39" s="66"/>
      <c r="L39" s="470"/>
      <c r="M39" s="6"/>
      <c r="N39" s="6"/>
      <c r="O39" s="495"/>
      <c r="P39" s="566"/>
      <c r="Q39" s="514"/>
      <c r="R39" s="573"/>
      <c r="S39" s="568"/>
      <c r="T39" s="66"/>
      <c r="U39" s="470"/>
      <c r="V39" s="6"/>
      <c r="W39" s="6"/>
      <c r="X39" s="495"/>
      <c r="Y39" s="566"/>
      <c r="Z39" s="514"/>
      <c r="AA39" s="573"/>
      <c r="AB39" s="568"/>
      <c r="AC39" s="66"/>
      <c r="AD39" s="470"/>
      <c r="AE39" s="6"/>
      <c r="AF39" s="6"/>
      <c r="AG39" s="495"/>
      <c r="AH39" s="566"/>
      <c r="AI39" s="514"/>
      <c r="AJ39" s="573"/>
      <c r="AK39" s="568"/>
      <c r="AM39" s="470"/>
      <c r="AN39" s="6"/>
      <c r="AO39" s="6"/>
      <c r="AP39" s="47"/>
      <c r="AQ39" s="495"/>
      <c r="AR39" s="566"/>
      <c r="AS39" s="514"/>
      <c r="AT39" s="573"/>
      <c r="AU39" s="573"/>
      <c r="AV39" s="568"/>
    </row>
    <row r="40" spans="1:48" ht="72.650000000000006" customHeight="1" x14ac:dyDescent="0.35">
      <c r="A40" s="1477"/>
      <c r="B40" s="472">
        <v>2</v>
      </c>
      <c r="C40" s="494"/>
      <c r="D40" s="494"/>
      <c r="E40" s="494">
        <f>18+15+15</f>
        <v>48</v>
      </c>
      <c r="F40" s="508"/>
      <c r="G40" s="573"/>
      <c r="H40" s="515"/>
      <c r="I40" s="573" t="s">
        <v>328</v>
      </c>
      <c r="J40" s="527"/>
      <c r="K40" s="66"/>
      <c r="L40" s="470"/>
      <c r="M40" s="6"/>
      <c r="N40" s="6"/>
      <c r="O40" s="508"/>
      <c r="P40" s="566"/>
      <c r="Q40" s="514"/>
      <c r="R40" s="573"/>
      <c r="S40" s="527"/>
      <c r="T40" s="66"/>
      <c r="U40" s="470"/>
      <c r="V40" s="6"/>
      <c r="W40" s="6">
        <f>15+17+17+16+20+14</f>
        <v>99</v>
      </c>
      <c r="X40" s="508"/>
      <c r="Y40" s="566"/>
      <c r="Z40" s="514"/>
      <c r="AA40" s="565" t="s">
        <v>328</v>
      </c>
      <c r="AB40" s="527"/>
      <c r="AC40" s="66"/>
      <c r="AD40" s="470"/>
      <c r="AE40" s="6"/>
      <c r="AF40" s="6"/>
      <c r="AG40" s="508"/>
      <c r="AH40" s="465"/>
      <c r="AI40" s="514"/>
      <c r="AJ40" s="573"/>
      <c r="AK40" s="527"/>
      <c r="AM40" s="465"/>
      <c r="AN40" s="6"/>
      <c r="AO40" s="6"/>
      <c r="AP40" s="47"/>
      <c r="AQ40" s="508"/>
      <c r="AR40" s="566"/>
      <c r="AS40" s="514"/>
      <c r="AT40" s="573"/>
      <c r="AU40" s="573"/>
      <c r="AV40" s="527"/>
    </row>
    <row r="41" spans="1:48" ht="39.65" customHeight="1" x14ac:dyDescent="0.35">
      <c r="A41" s="1478">
        <v>45219</v>
      </c>
      <c r="B41" s="472">
        <v>1</v>
      </c>
      <c r="C41" s="493"/>
      <c r="D41" s="494"/>
      <c r="E41" s="494"/>
      <c r="F41" s="508"/>
      <c r="G41" s="566"/>
      <c r="H41" s="515"/>
      <c r="I41" s="573"/>
      <c r="J41" s="527"/>
      <c r="K41" s="66"/>
      <c r="L41" s="470"/>
      <c r="M41" s="6"/>
      <c r="N41" s="6"/>
      <c r="O41" s="508"/>
      <c r="P41" s="509"/>
      <c r="Q41" s="6"/>
      <c r="R41" s="573"/>
      <c r="S41" s="527"/>
      <c r="T41" s="66"/>
      <c r="U41" s="470"/>
      <c r="V41" s="6"/>
      <c r="W41" s="6"/>
      <c r="X41" s="508"/>
      <c r="Y41" s="509"/>
      <c r="Z41" s="502"/>
      <c r="AA41" s="573"/>
      <c r="AB41" s="508"/>
      <c r="AC41" s="66"/>
      <c r="AD41" s="470"/>
      <c r="AE41" s="6"/>
      <c r="AF41" s="6"/>
      <c r="AG41" s="508"/>
      <c r="AH41" s="465"/>
      <c r="AI41" s="502"/>
      <c r="AJ41" s="6"/>
      <c r="AK41" s="508"/>
      <c r="AM41" s="470"/>
      <c r="AN41" s="6"/>
      <c r="AO41" s="6"/>
      <c r="AP41" s="47"/>
      <c r="AQ41" s="508"/>
      <c r="AR41" s="509"/>
      <c r="AS41" s="502"/>
      <c r="AT41" s="573"/>
      <c r="AU41" s="47"/>
      <c r="AV41" s="508"/>
    </row>
    <row r="42" spans="1:48" ht="33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5"/>
      <c r="I42" s="573"/>
      <c r="J42" s="527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>
        <v>63</v>
      </c>
      <c r="V42" s="6"/>
      <c r="W42" s="6"/>
      <c r="X42" s="508"/>
      <c r="Y42" s="469" t="s">
        <v>756</v>
      </c>
      <c r="Z42" s="6"/>
      <c r="AA42" s="502"/>
      <c r="AB42" s="527"/>
      <c r="AC42" s="66"/>
      <c r="AD42" s="470"/>
      <c r="AE42" s="6"/>
      <c r="AF42" s="6"/>
      <c r="AG42" s="508"/>
      <c r="AH42" s="509"/>
      <c r="AI42" s="6"/>
      <c r="AJ42" s="6"/>
      <c r="AK42" s="527"/>
      <c r="AM42" s="470"/>
      <c r="AN42" s="6"/>
      <c r="AO42" s="6"/>
      <c r="AP42" s="47"/>
      <c r="AQ42" s="508"/>
      <c r="AR42" s="509"/>
      <c r="AS42" s="6"/>
      <c r="AT42" s="6"/>
      <c r="AU42" s="527"/>
      <c r="AV42" s="508"/>
    </row>
    <row r="43" spans="1:48" ht="65.5" customHeight="1" x14ac:dyDescent="0.35">
      <c r="A43" s="1478">
        <v>45220</v>
      </c>
      <c r="B43" s="472">
        <v>1</v>
      </c>
      <c r="C43" s="494"/>
      <c r="D43" s="494"/>
      <c r="E43" s="494"/>
      <c r="F43" s="495"/>
      <c r="G43" s="514"/>
      <c r="H43" s="514"/>
      <c r="I43" s="515"/>
      <c r="J43" s="527"/>
      <c r="K43" s="66"/>
      <c r="L43" s="470"/>
      <c r="M43" s="6"/>
      <c r="N43" s="6"/>
      <c r="O43" s="508"/>
      <c r="P43" s="509"/>
      <c r="Q43" s="6"/>
      <c r="R43" s="6"/>
      <c r="S43" s="527"/>
      <c r="T43" s="66"/>
      <c r="U43" s="470"/>
      <c r="V43" s="6"/>
      <c r="W43" s="6">
        <v>10</v>
      </c>
      <c r="X43" s="508"/>
      <c r="Y43" s="509"/>
      <c r="Z43" s="6"/>
      <c r="AA43" s="515" t="s">
        <v>97</v>
      </c>
      <c r="AB43" s="527"/>
      <c r="AC43" s="66"/>
      <c r="AD43" s="470"/>
      <c r="AE43" s="6"/>
      <c r="AF43" s="6"/>
      <c r="AG43" s="508"/>
      <c r="AH43" s="502"/>
      <c r="AI43" s="515"/>
      <c r="AJ43" s="6"/>
      <c r="AK43" s="527"/>
      <c r="AM43" s="470"/>
      <c r="AN43" s="6">
        <v>363</v>
      </c>
      <c r="AO43" s="6"/>
      <c r="AP43" s="47"/>
      <c r="AQ43" s="508"/>
      <c r="AR43" s="502"/>
      <c r="AS43" s="515" t="s">
        <v>757</v>
      </c>
      <c r="AT43" s="6"/>
      <c r="AU43" s="527"/>
      <c r="AV43" s="508"/>
    </row>
    <row r="44" spans="1:48" ht="69" customHeight="1" x14ac:dyDescent="0.35">
      <c r="A44" s="1477"/>
      <c r="B44" s="472">
        <v>2</v>
      </c>
      <c r="C44" s="494"/>
      <c r="D44" s="494">
        <v>30</v>
      </c>
      <c r="E44" s="494"/>
      <c r="F44" s="495"/>
      <c r="G44" s="514"/>
      <c r="H44" s="515" t="s">
        <v>758</v>
      </c>
      <c r="I44" s="573"/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/>
      <c r="W44" s="494"/>
      <c r="X44" s="495"/>
      <c r="Y44" s="514"/>
      <c r="Z44" s="515"/>
      <c r="AA44" s="502"/>
      <c r="AB44" s="527"/>
      <c r="AC44" s="66"/>
      <c r="AD44" s="470"/>
      <c r="AE44" s="6"/>
      <c r="AF44" s="6"/>
      <c r="AG44" s="508"/>
      <c r="AH44" s="509"/>
      <c r="AI44" s="502"/>
      <c r="AJ44" s="502"/>
      <c r="AK44" s="527"/>
      <c r="AM44" s="470"/>
      <c r="AN44" s="6"/>
      <c r="AO44" s="6"/>
      <c r="AP44" s="47"/>
      <c r="AQ44" s="508"/>
      <c r="AR44" s="509"/>
      <c r="AS44" s="502"/>
      <c r="AT44" s="502"/>
      <c r="AU44" s="527"/>
      <c r="AV44" s="508"/>
    </row>
    <row r="45" spans="1:48" ht="48" customHeight="1" x14ac:dyDescent="0.35">
      <c r="A45" s="1478">
        <v>45221</v>
      </c>
      <c r="B45" s="472">
        <v>1</v>
      </c>
      <c r="C45" s="494"/>
      <c r="D45" s="494">
        <v>13</v>
      </c>
      <c r="E45" s="494">
        <v>9</v>
      </c>
      <c r="F45" s="495"/>
      <c r="G45" s="514"/>
      <c r="H45" s="514" t="s">
        <v>759</v>
      </c>
      <c r="I45" s="515" t="s">
        <v>325</v>
      </c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>
        <f>7+6+4+6+11</f>
        <v>34</v>
      </c>
      <c r="X45" s="508"/>
      <c r="Y45" s="514"/>
      <c r="Z45" s="515"/>
      <c r="AA45" s="502" t="s">
        <v>383</v>
      </c>
      <c r="AB45" s="508"/>
      <c r="AC45" s="66"/>
      <c r="AD45" s="470"/>
      <c r="AE45" s="6"/>
      <c r="AF45" s="6">
        <v>11</v>
      </c>
      <c r="AG45" s="508"/>
      <c r="AH45" s="509"/>
      <c r="AI45" s="502"/>
      <c r="AJ45" s="502" t="s">
        <v>383</v>
      </c>
      <c r="AK45" s="508"/>
      <c r="AM45" s="470"/>
      <c r="AN45" s="6"/>
      <c r="AO45" s="6"/>
      <c r="AP45" s="47"/>
      <c r="AQ45" s="508"/>
      <c r="AR45" s="509"/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573"/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/>
      <c r="W46" s="6">
        <f>17+16+13+12+11+10+16</f>
        <v>95</v>
      </c>
      <c r="X46" s="508"/>
      <c r="Y46" s="469"/>
      <c r="Z46" s="6"/>
      <c r="AA46" s="502" t="s">
        <v>383</v>
      </c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>
        <v>230</v>
      </c>
      <c r="AO46" s="6"/>
      <c r="AP46" s="47"/>
      <c r="AQ46" s="508"/>
      <c r="AR46" s="509"/>
      <c r="AS46" s="515" t="s">
        <v>760</v>
      </c>
      <c r="AT46" s="6"/>
      <c r="AU46" s="47"/>
      <c r="AV46" s="527"/>
    </row>
    <row r="47" spans="1:48" ht="58.95" customHeight="1" x14ac:dyDescent="0.35">
      <c r="A47" s="1478">
        <v>45222</v>
      </c>
      <c r="B47" s="472">
        <v>1</v>
      </c>
      <c r="C47" s="494"/>
      <c r="D47" s="494"/>
      <c r="E47" s="494">
        <v>38</v>
      </c>
      <c r="F47" s="495"/>
      <c r="G47" s="514"/>
      <c r="H47" s="514"/>
      <c r="I47" s="573" t="s">
        <v>328</v>
      </c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>
        <v>83</v>
      </c>
      <c r="X47" s="508"/>
      <c r="Y47" s="509"/>
      <c r="Z47" s="502"/>
      <c r="AA47" s="502" t="s">
        <v>761</v>
      </c>
      <c r="AB47" s="527"/>
      <c r="AC47" s="66"/>
      <c r="AD47" s="470"/>
      <c r="AE47" s="6"/>
      <c r="AF47" s="6">
        <v>10</v>
      </c>
      <c r="AG47" s="508"/>
      <c r="AH47" s="469"/>
      <c r="AI47" s="515"/>
      <c r="AJ47" s="502" t="s">
        <v>383</v>
      </c>
      <c r="AK47" s="508"/>
      <c r="AM47" s="470"/>
      <c r="AN47" s="6"/>
      <c r="AO47" s="6"/>
      <c r="AP47" s="47"/>
      <c r="AQ47" s="508"/>
      <c r="AR47" s="509"/>
      <c r="AS47" s="515"/>
      <c r="AT47" s="6"/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>
        <v>560</v>
      </c>
      <c r="G48" s="515"/>
      <c r="H48" s="515"/>
      <c r="I48" s="573"/>
      <c r="J48" s="527" t="s">
        <v>762</v>
      </c>
      <c r="K48" s="66"/>
      <c r="L48" s="470"/>
      <c r="M48" s="6"/>
      <c r="N48" s="6"/>
      <c r="O48" s="495">
        <v>560</v>
      </c>
      <c r="P48" s="515"/>
      <c r="Q48" s="515"/>
      <c r="R48" s="573"/>
      <c r="S48" s="527" t="s">
        <v>762</v>
      </c>
      <c r="T48" s="66"/>
      <c r="U48" s="470"/>
      <c r="V48" s="6"/>
      <c r="W48" s="6"/>
      <c r="X48" s="495">
        <v>560</v>
      </c>
      <c r="Y48" s="515"/>
      <c r="Z48" s="515"/>
      <c r="AA48" s="573"/>
      <c r="AB48" s="527" t="s">
        <v>762</v>
      </c>
      <c r="AC48" s="66"/>
      <c r="AD48" s="470"/>
      <c r="AE48" s="6"/>
      <c r="AF48" s="6"/>
      <c r="AG48" s="495">
        <v>560</v>
      </c>
      <c r="AH48" s="515"/>
      <c r="AI48" s="515"/>
      <c r="AJ48" s="573"/>
      <c r="AK48" s="527" t="s">
        <v>762</v>
      </c>
      <c r="AM48" s="470"/>
      <c r="AN48" s="6"/>
      <c r="AO48" s="6"/>
      <c r="AP48" s="495">
        <v>560</v>
      </c>
      <c r="AQ48" s="515"/>
      <c r="AR48" s="515"/>
      <c r="AS48" s="573"/>
      <c r="AT48" s="527"/>
      <c r="AU48" s="527" t="s">
        <v>762</v>
      </c>
      <c r="AV48" s="508"/>
    </row>
    <row r="49" spans="1:48" ht="36" customHeight="1" x14ac:dyDescent="0.35">
      <c r="A49" s="1478">
        <v>45223</v>
      </c>
      <c r="B49" s="472">
        <v>1</v>
      </c>
      <c r="C49" s="494"/>
      <c r="D49" s="494"/>
      <c r="E49" s="494"/>
      <c r="F49" s="495">
        <v>720</v>
      </c>
      <c r="G49" s="515"/>
      <c r="H49" s="514"/>
      <c r="I49" s="573"/>
      <c r="J49" s="527" t="s">
        <v>762</v>
      </c>
      <c r="K49" s="66"/>
      <c r="L49" s="470"/>
      <c r="M49" s="6"/>
      <c r="N49" s="6"/>
      <c r="O49" s="495">
        <v>720</v>
      </c>
      <c r="P49" s="515"/>
      <c r="Q49" s="514"/>
      <c r="R49" s="573"/>
      <c r="S49" s="527" t="s">
        <v>762</v>
      </c>
      <c r="T49" s="66"/>
      <c r="U49" s="470"/>
      <c r="V49" s="6"/>
      <c r="W49" s="6"/>
      <c r="X49" s="495">
        <v>720</v>
      </c>
      <c r="Y49" s="515"/>
      <c r="Z49" s="514"/>
      <c r="AA49" s="573"/>
      <c r="AB49" s="527" t="s">
        <v>762</v>
      </c>
      <c r="AC49" s="66"/>
      <c r="AD49" s="470"/>
      <c r="AE49" s="6"/>
      <c r="AF49" s="6"/>
      <c r="AG49" s="495">
        <v>720</v>
      </c>
      <c r="AH49" s="515"/>
      <c r="AI49" s="514"/>
      <c r="AJ49" s="573"/>
      <c r="AK49" s="527" t="s">
        <v>762</v>
      </c>
      <c r="AM49" s="470"/>
      <c r="AN49" s="6"/>
      <c r="AO49" s="6"/>
      <c r="AP49" s="495">
        <v>720</v>
      </c>
      <c r="AQ49" s="515"/>
      <c r="AR49" s="514"/>
      <c r="AS49" s="573"/>
      <c r="AT49" s="527"/>
      <c r="AU49" s="527" t="s">
        <v>762</v>
      </c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/>
      <c r="F50" s="495">
        <v>720</v>
      </c>
      <c r="G50" s="514"/>
      <c r="H50" s="514"/>
      <c r="I50" s="573"/>
      <c r="J50" s="527" t="s">
        <v>762</v>
      </c>
      <c r="K50" s="66"/>
      <c r="L50" s="470"/>
      <c r="M50" s="6"/>
      <c r="N50" s="6"/>
      <c r="O50" s="495">
        <v>720</v>
      </c>
      <c r="P50" s="514"/>
      <c r="Q50" s="514"/>
      <c r="R50" s="573"/>
      <c r="S50" s="527" t="s">
        <v>762</v>
      </c>
      <c r="T50" s="66"/>
      <c r="U50" s="470"/>
      <c r="V50" s="6"/>
      <c r="W50" s="6"/>
      <c r="X50" s="495">
        <v>720</v>
      </c>
      <c r="Y50" s="514"/>
      <c r="Z50" s="514"/>
      <c r="AA50" s="573"/>
      <c r="AB50" s="527" t="s">
        <v>762</v>
      </c>
      <c r="AC50" s="66"/>
      <c r="AD50" s="470"/>
      <c r="AE50" s="6"/>
      <c r="AF50" s="6"/>
      <c r="AG50" s="495">
        <v>720</v>
      </c>
      <c r="AH50" s="514"/>
      <c r="AI50" s="514"/>
      <c r="AJ50" s="573"/>
      <c r="AK50" s="527" t="s">
        <v>762</v>
      </c>
      <c r="AM50" s="470"/>
      <c r="AN50" s="6"/>
      <c r="AO50" s="6"/>
      <c r="AP50" s="495">
        <v>720</v>
      </c>
      <c r="AQ50" s="514"/>
      <c r="AR50" s="514"/>
      <c r="AS50" s="573"/>
      <c r="AT50" s="527"/>
      <c r="AU50" s="527" t="s">
        <v>762</v>
      </c>
      <c r="AV50" s="527"/>
    </row>
    <row r="51" spans="1:48" ht="34.950000000000003" customHeight="1" x14ac:dyDescent="0.35">
      <c r="A51" s="1478">
        <v>45224</v>
      </c>
      <c r="B51" s="472">
        <v>1</v>
      </c>
      <c r="C51" s="494"/>
      <c r="D51" s="494"/>
      <c r="E51" s="494"/>
      <c r="F51" s="495">
        <v>720</v>
      </c>
      <c r="G51" s="514"/>
      <c r="H51" s="514"/>
      <c r="I51" s="573"/>
      <c r="J51" s="527" t="s">
        <v>762</v>
      </c>
      <c r="K51" s="66"/>
      <c r="L51" s="470"/>
      <c r="M51" s="6"/>
      <c r="N51" s="6"/>
      <c r="O51" s="495">
        <v>720</v>
      </c>
      <c r="P51" s="514"/>
      <c r="Q51" s="514"/>
      <c r="R51" s="573"/>
      <c r="S51" s="527" t="s">
        <v>762</v>
      </c>
      <c r="T51" s="66"/>
      <c r="U51" s="470"/>
      <c r="V51" s="6"/>
      <c r="W51" s="6"/>
      <c r="X51" s="495">
        <v>720</v>
      </c>
      <c r="Y51" s="514"/>
      <c r="Z51" s="514"/>
      <c r="AA51" s="573"/>
      <c r="AB51" s="527" t="s">
        <v>762</v>
      </c>
      <c r="AC51" s="66"/>
      <c r="AD51" s="470"/>
      <c r="AE51" s="6"/>
      <c r="AF51" s="6"/>
      <c r="AG51" s="495">
        <v>720</v>
      </c>
      <c r="AH51" s="514"/>
      <c r="AI51" s="514"/>
      <c r="AJ51" s="573"/>
      <c r="AK51" s="527" t="s">
        <v>762</v>
      </c>
      <c r="AM51" s="470"/>
      <c r="AN51" s="6"/>
      <c r="AO51" s="6"/>
      <c r="AP51" s="495">
        <v>720</v>
      </c>
      <c r="AQ51" s="514"/>
      <c r="AR51" s="514"/>
      <c r="AS51" s="573"/>
      <c r="AT51" s="527"/>
      <c r="AU51" s="527" t="s">
        <v>762</v>
      </c>
      <c r="AV51" s="508"/>
    </row>
    <row r="52" spans="1:48" ht="49.2" customHeight="1" x14ac:dyDescent="0.35">
      <c r="A52" s="1477"/>
      <c r="B52" s="472">
        <v>2</v>
      </c>
      <c r="C52" s="494"/>
      <c r="D52" s="494"/>
      <c r="E52" s="494"/>
      <c r="F52" s="495">
        <v>665</v>
      </c>
      <c r="G52" s="515"/>
      <c r="H52" s="515"/>
      <c r="I52" s="573"/>
      <c r="J52" s="527" t="s">
        <v>763</v>
      </c>
      <c r="K52" s="66"/>
      <c r="L52" s="470"/>
      <c r="M52" s="6"/>
      <c r="N52" s="6"/>
      <c r="O52" s="495">
        <v>670</v>
      </c>
      <c r="P52" s="515"/>
      <c r="Q52" s="515"/>
      <c r="R52" s="573"/>
      <c r="S52" s="527" t="s">
        <v>763</v>
      </c>
      <c r="T52" s="66"/>
      <c r="U52" s="470"/>
      <c r="V52" s="6"/>
      <c r="W52" s="6"/>
      <c r="X52" s="495">
        <v>706</v>
      </c>
      <c r="Y52" s="515"/>
      <c r="Z52" s="515"/>
      <c r="AA52" s="573"/>
      <c r="AB52" s="527" t="s">
        <v>763</v>
      </c>
      <c r="AC52" s="66"/>
      <c r="AD52" s="470"/>
      <c r="AE52" s="6"/>
      <c r="AF52" s="6"/>
      <c r="AG52" s="495">
        <v>673</v>
      </c>
      <c r="AH52" s="515"/>
      <c r="AI52" s="515"/>
      <c r="AJ52" s="573"/>
      <c r="AK52" s="527" t="s">
        <v>763</v>
      </c>
      <c r="AM52" s="470"/>
      <c r="AN52" s="508"/>
      <c r="AO52" s="508"/>
      <c r="AP52" s="508">
        <v>679</v>
      </c>
      <c r="AQ52" s="508"/>
      <c r="AR52" s="509"/>
      <c r="AS52" s="6"/>
      <c r="AT52" s="527"/>
      <c r="AU52" s="527" t="s">
        <v>763</v>
      </c>
      <c r="AV52" s="508"/>
    </row>
    <row r="53" spans="1:48" ht="40.200000000000003" customHeight="1" x14ac:dyDescent="0.35">
      <c r="A53" s="1478">
        <v>45225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>
        <v>187</v>
      </c>
      <c r="AP53" s="47"/>
      <c r="AQ53" s="508"/>
      <c r="AR53" s="509"/>
      <c r="AS53" s="502"/>
      <c r="AT53" s="6" t="s">
        <v>521</v>
      </c>
      <c r="AU53" s="47"/>
      <c r="AV53" s="508"/>
    </row>
    <row r="54" spans="1:48" ht="39.65" customHeight="1" x14ac:dyDescent="0.35">
      <c r="A54" s="1477"/>
      <c r="B54" s="500">
        <v>2</v>
      </c>
      <c r="C54" s="494"/>
      <c r="D54" s="494"/>
      <c r="E54" s="494">
        <v>39</v>
      </c>
      <c r="F54" s="495"/>
      <c r="G54" s="514"/>
      <c r="H54" s="514"/>
      <c r="I54" s="573" t="s">
        <v>328</v>
      </c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>
        <v>102</v>
      </c>
      <c r="X54" s="495"/>
      <c r="Y54" s="515"/>
      <c r="Z54" s="514"/>
      <c r="AA54" s="515" t="s">
        <v>764</v>
      </c>
      <c r="AB54" s="527"/>
      <c r="AC54" s="66"/>
      <c r="AD54" s="470"/>
      <c r="AE54" s="6"/>
      <c r="AF54" s="6">
        <v>11</v>
      </c>
      <c r="AG54" s="508"/>
      <c r="AH54" s="509"/>
      <c r="AI54" s="514"/>
      <c r="AJ54" s="6" t="s">
        <v>325</v>
      </c>
      <c r="AK54" s="527"/>
      <c r="AM54" s="470"/>
      <c r="AN54" s="6"/>
      <c r="AO54" s="6"/>
      <c r="AP54" s="47"/>
      <c r="AQ54" s="495"/>
      <c r="AR54" s="514"/>
      <c r="AS54" s="514"/>
      <c r="AT54" s="514"/>
      <c r="AU54" s="638"/>
      <c r="AV54" s="527"/>
    </row>
    <row r="55" spans="1:48" ht="39.65" customHeight="1" x14ac:dyDescent="0.35">
      <c r="A55" s="1478">
        <v>45226</v>
      </c>
      <c r="B55" s="472">
        <v>1</v>
      </c>
      <c r="C55" s="493"/>
      <c r="D55" s="494"/>
      <c r="E55" s="494">
        <v>48</v>
      </c>
      <c r="F55" s="495"/>
      <c r="G55" s="514"/>
      <c r="H55" s="514"/>
      <c r="I55" s="573" t="s">
        <v>328</v>
      </c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>
        <v>87</v>
      </c>
      <c r="X55" s="508"/>
      <c r="Y55" s="509"/>
      <c r="Z55" s="515"/>
      <c r="AA55" s="502" t="s">
        <v>383</v>
      </c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47"/>
      <c r="AQ55" s="508"/>
      <c r="AR55" s="509"/>
      <c r="AS55" s="515"/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>
        <f>63+26+10</f>
        <v>99</v>
      </c>
      <c r="F56" s="495"/>
      <c r="G56" s="515"/>
      <c r="H56" s="515"/>
      <c r="I56" s="573" t="s">
        <v>328</v>
      </c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>
        <v>59</v>
      </c>
      <c r="X56" s="495"/>
      <c r="Y56" s="469"/>
      <c r="Z56" s="514"/>
      <c r="AA56" s="502" t="s">
        <v>383</v>
      </c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7"/>
      <c r="AQ56" s="495"/>
      <c r="AR56" s="515"/>
      <c r="AS56" s="514"/>
      <c r="AT56" s="515"/>
      <c r="AU56" s="573"/>
      <c r="AV56" s="527"/>
    </row>
    <row r="57" spans="1:48" ht="52.2" customHeight="1" x14ac:dyDescent="0.35">
      <c r="A57" s="1478">
        <v>45227</v>
      </c>
      <c r="B57" s="472">
        <v>1</v>
      </c>
      <c r="C57" s="493"/>
      <c r="D57" s="494"/>
      <c r="E57" s="494">
        <f>32+20</f>
        <v>52</v>
      </c>
      <c r="F57" s="495"/>
      <c r="G57" s="515"/>
      <c r="H57" s="515"/>
      <c r="I57" s="573" t="s">
        <v>328</v>
      </c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>
        <f>6+27+20</f>
        <v>53</v>
      </c>
      <c r="X57" s="495"/>
      <c r="Y57" s="515"/>
      <c r="Z57" s="514"/>
      <c r="AA57" s="502" t="s">
        <v>383</v>
      </c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/>
      <c r="E58" s="494">
        <v>26</v>
      </c>
      <c r="F58" s="495"/>
      <c r="G58" s="515"/>
      <c r="H58" s="514"/>
      <c r="I58" s="573" t="s">
        <v>328</v>
      </c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>
        <f>12+32+14</f>
        <v>58</v>
      </c>
      <c r="X58" s="495"/>
      <c r="Y58" s="515"/>
      <c r="Z58" s="514"/>
      <c r="AA58" s="502" t="s">
        <v>383</v>
      </c>
      <c r="AB58" s="527"/>
      <c r="AC58" s="66"/>
      <c r="AD58" s="470"/>
      <c r="AE58" s="6"/>
      <c r="AF58" s="6">
        <f>32+10</f>
        <v>42</v>
      </c>
      <c r="AG58" s="495"/>
      <c r="AH58" s="515"/>
      <c r="AI58" s="514"/>
      <c r="AJ58" s="6" t="s">
        <v>325</v>
      </c>
      <c r="AK58" s="527"/>
      <c r="AM58" s="470"/>
      <c r="AN58" s="6"/>
      <c r="AO58" s="6"/>
      <c r="AP58" s="47"/>
      <c r="AQ58" s="495"/>
      <c r="AR58" s="515"/>
      <c r="AS58" s="514"/>
      <c r="AT58" s="515"/>
      <c r="AU58" s="573"/>
      <c r="AV58" s="527"/>
    </row>
    <row r="59" spans="1:48" ht="73.2" customHeight="1" x14ac:dyDescent="0.35">
      <c r="A59" s="1478">
        <v>45228</v>
      </c>
      <c r="B59" s="472">
        <v>1</v>
      </c>
      <c r="C59" s="493"/>
      <c r="D59" s="494"/>
      <c r="E59" s="494">
        <f>17+21</f>
        <v>38</v>
      </c>
      <c r="F59" s="495"/>
      <c r="G59" s="514"/>
      <c r="H59" s="514"/>
      <c r="I59" s="573" t="s">
        <v>328</v>
      </c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>
        <v>19</v>
      </c>
      <c r="X59" s="508"/>
      <c r="Y59" s="509"/>
      <c r="Z59" s="6"/>
      <c r="AA59" s="502" t="s">
        <v>383</v>
      </c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36" customHeight="1" x14ac:dyDescent="0.35">
      <c r="A60" s="1477"/>
      <c r="B60" s="500">
        <v>2</v>
      </c>
      <c r="C60" s="493"/>
      <c r="D60" s="494"/>
      <c r="E60" s="494">
        <f>24+33</f>
        <v>57</v>
      </c>
      <c r="F60" s="495"/>
      <c r="G60" s="514"/>
      <c r="H60" s="515"/>
      <c r="I60" s="573" t="s">
        <v>328</v>
      </c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>
        <f>124+19</f>
        <v>143</v>
      </c>
      <c r="X60" s="508"/>
      <c r="Y60" s="469"/>
      <c r="Z60" s="502"/>
      <c r="AA60" s="502" t="s">
        <v>383</v>
      </c>
      <c r="AB60" s="527"/>
      <c r="AC60" s="66"/>
      <c r="AD60" s="470"/>
      <c r="AE60" s="6"/>
      <c r="AF60" s="6">
        <f>25+120+8</f>
        <v>153</v>
      </c>
      <c r="AG60" s="508"/>
      <c r="AH60" s="509"/>
      <c r="AI60" s="6"/>
      <c r="AJ60" s="502" t="s">
        <v>383</v>
      </c>
      <c r="AK60" s="527"/>
      <c r="AM60" s="470"/>
      <c r="AN60" s="6"/>
      <c r="AO60" s="6"/>
      <c r="AP60" s="47"/>
      <c r="AQ60" s="508"/>
      <c r="AR60" s="509"/>
      <c r="AS60" s="6"/>
      <c r="AT60" s="502"/>
      <c r="AU60" s="636"/>
      <c r="AV60" s="527"/>
    </row>
    <row r="61" spans="1:48" ht="32.5" customHeight="1" x14ac:dyDescent="0.35">
      <c r="A61" s="1478">
        <v>45229</v>
      </c>
      <c r="B61" s="472">
        <v>1</v>
      </c>
      <c r="C61" s="618"/>
      <c r="D61" s="619"/>
      <c r="E61" s="494">
        <v>40</v>
      </c>
      <c r="F61" s="620"/>
      <c r="G61" s="514"/>
      <c r="H61" s="576"/>
      <c r="I61" s="573" t="s">
        <v>328</v>
      </c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>
        <v>65</v>
      </c>
      <c r="X61" s="508"/>
      <c r="Y61" s="469"/>
      <c r="Z61" s="502"/>
      <c r="AA61" s="502" t="s">
        <v>383</v>
      </c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>
        <v>126</v>
      </c>
      <c r="AN61" s="6"/>
      <c r="AO61" s="6"/>
      <c r="AP61" s="47"/>
      <c r="AQ61" s="508"/>
      <c r="AR61" s="469" t="s">
        <v>765</v>
      </c>
      <c r="AS61" s="6"/>
      <c r="AT61" s="502"/>
      <c r="AU61" s="648"/>
      <c r="AV61" s="624"/>
    </row>
    <row r="62" spans="1:48" ht="62.5" customHeight="1" x14ac:dyDescent="0.35">
      <c r="A62" s="1477"/>
      <c r="B62" s="500">
        <v>2</v>
      </c>
      <c r="C62" s="618"/>
      <c r="D62" s="619"/>
      <c r="E62" s="619">
        <v>47</v>
      </c>
      <c r="F62" s="620"/>
      <c r="G62" s="617"/>
      <c r="H62" s="576"/>
      <c r="I62" s="573" t="s">
        <v>328</v>
      </c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>
        <v>67</v>
      </c>
      <c r="X62" s="508"/>
      <c r="Y62" s="469"/>
      <c r="Z62" s="502"/>
      <c r="AA62" s="502" t="s">
        <v>383</v>
      </c>
      <c r="AB62" s="624"/>
      <c r="AC62" s="66"/>
      <c r="AD62" s="470"/>
      <c r="AE62" s="6"/>
      <c r="AF62" s="6">
        <v>29</v>
      </c>
      <c r="AG62" s="508"/>
      <c r="AH62" s="509"/>
      <c r="AI62" s="6"/>
      <c r="AJ62" s="502" t="s">
        <v>383</v>
      </c>
      <c r="AK62" s="624"/>
      <c r="AM62" s="470"/>
      <c r="AN62" s="6"/>
      <c r="AO62" s="6"/>
      <c r="AP62" s="47"/>
      <c r="AQ62" s="508"/>
      <c r="AR62" s="509"/>
      <c r="AS62" s="6"/>
      <c r="AT62" s="502"/>
      <c r="AU62" s="648"/>
      <c r="AV62" s="624"/>
    </row>
    <row r="63" spans="1:48" ht="64.2" customHeight="1" x14ac:dyDescent="0.35">
      <c r="A63" s="1478">
        <v>45230</v>
      </c>
      <c r="B63" s="472">
        <v>1</v>
      </c>
      <c r="C63" s="587"/>
      <c r="D63" s="588"/>
      <c r="E63" s="588">
        <v>20</v>
      </c>
      <c r="F63" s="589"/>
      <c r="G63" s="598"/>
      <c r="H63" s="590"/>
      <c r="I63" s="573" t="s">
        <v>328</v>
      </c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>
        <v>45</v>
      </c>
      <c r="X63" s="495"/>
      <c r="Y63" s="566"/>
      <c r="Z63" s="514"/>
      <c r="AA63" s="502" t="s">
        <v>383</v>
      </c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7"/>
      <c r="AQ63" s="495"/>
      <c r="AR63" s="566"/>
      <c r="AS63" s="514"/>
      <c r="AT63" s="514"/>
      <c r="AU63" s="649"/>
      <c r="AV63" s="586"/>
    </row>
    <row r="64" spans="1:48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647"/>
      <c r="AQ64" s="528"/>
      <c r="AR64" s="529"/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288</v>
      </c>
      <c r="D65" s="65">
        <f>SUM(D3:D64)</f>
        <v>764</v>
      </c>
      <c r="E65" s="631">
        <f>SUM(E3:E64)</f>
        <v>1038</v>
      </c>
      <c r="F65" s="65">
        <f>SUM(F3:F64)</f>
        <v>3385</v>
      </c>
      <c r="L65" s="65">
        <f>SUM(L3:L64)</f>
        <v>0</v>
      </c>
      <c r="M65" s="65">
        <f>SUM(M3:M64)</f>
        <v>150</v>
      </c>
      <c r="N65" s="65">
        <f>SUM(N3:N64)</f>
        <v>0</v>
      </c>
      <c r="O65" s="65">
        <f>SUM(O3:O64)</f>
        <v>3390</v>
      </c>
      <c r="U65" s="65">
        <f>SUM(U3:U64)</f>
        <v>994</v>
      </c>
      <c r="V65" s="65">
        <f>SUM(V3:V64)</f>
        <v>155</v>
      </c>
      <c r="W65" s="65">
        <f>SUM(W3:W64)</f>
        <v>2313</v>
      </c>
      <c r="X65" s="65">
        <f>SUM(X3:X64)</f>
        <v>3426</v>
      </c>
      <c r="AD65" s="65">
        <f>SUM(AD3:AD64)</f>
        <v>518</v>
      </c>
      <c r="AE65" s="65">
        <f>SUM(AE3:AE64)</f>
        <v>239</v>
      </c>
      <c r="AF65" s="65">
        <f>SUM(AF3:AF64)</f>
        <v>550</v>
      </c>
      <c r="AG65" s="65">
        <f>SUM(AG3:AG64)</f>
        <v>3393</v>
      </c>
      <c r="AM65" s="65">
        <f>SUM(AM3:AM64)</f>
        <v>126</v>
      </c>
      <c r="AN65" s="65">
        <f>SUM(AN3:AN64)</f>
        <v>912</v>
      </c>
      <c r="AO65" s="65">
        <f>SUM(AO3:AO64)</f>
        <v>374</v>
      </c>
      <c r="AP65" s="65"/>
      <c r="AQ65" s="65">
        <f>SUM(AQ3:AQ64)</f>
        <v>0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288</v>
      </c>
      <c r="D76" s="543">
        <f>C76/60</f>
        <v>4.8</v>
      </c>
      <c r="E76" s="542">
        <f>D65</f>
        <v>764</v>
      </c>
      <c r="F76" s="544">
        <f>E76/60</f>
        <v>12.733333333333333</v>
      </c>
      <c r="G76" s="542">
        <f>E65</f>
        <v>1038</v>
      </c>
      <c r="H76" s="543">
        <f>G76/60</f>
        <v>17.3</v>
      </c>
      <c r="I76" s="542">
        <f>F65</f>
        <v>3385</v>
      </c>
      <c r="J76" s="543">
        <f>I76/60</f>
        <v>56.416666666666664</v>
      </c>
    </row>
    <row r="77" spans="1:43" ht="19.5" customHeight="1" x14ac:dyDescent="0.4">
      <c r="B77" s="541" t="s">
        <v>219</v>
      </c>
      <c r="C77" s="545">
        <f>L65</f>
        <v>0</v>
      </c>
      <c r="D77" s="546">
        <f>C77/60</f>
        <v>0</v>
      </c>
      <c r="E77" s="545">
        <f>M65</f>
        <v>150</v>
      </c>
      <c r="F77" s="547">
        <f>E77/60</f>
        <v>2.5</v>
      </c>
      <c r="G77" s="545">
        <f>N65</f>
        <v>0</v>
      </c>
      <c r="H77" s="546">
        <f>G77/60</f>
        <v>0</v>
      </c>
      <c r="I77" s="545">
        <f>O65</f>
        <v>3390</v>
      </c>
      <c r="J77" s="546">
        <f>I77/60</f>
        <v>56.5</v>
      </c>
    </row>
    <row r="78" spans="1:43" ht="20.25" customHeight="1" x14ac:dyDescent="0.4">
      <c r="B78" s="541" t="s">
        <v>220</v>
      </c>
      <c r="C78" s="545">
        <f>U65</f>
        <v>994</v>
      </c>
      <c r="D78" s="546">
        <f>C78/60</f>
        <v>16.566666666666666</v>
      </c>
      <c r="E78" s="545">
        <f>V65</f>
        <v>155</v>
      </c>
      <c r="F78" s="547">
        <f>E78/60</f>
        <v>2.5833333333333335</v>
      </c>
      <c r="G78" s="545">
        <f>W65</f>
        <v>2313</v>
      </c>
      <c r="H78" s="546">
        <f>G78/60</f>
        <v>38.549999999999997</v>
      </c>
      <c r="I78" s="545">
        <f>X65</f>
        <v>3426</v>
      </c>
      <c r="J78" s="546">
        <f>I78/60</f>
        <v>57.1</v>
      </c>
    </row>
    <row r="79" spans="1:43" ht="22.5" customHeight="1" thickBot="1" x14ac:dyDescent="0.45">
      <c r="B79" s="541" t="s">
        <v>221</v>
      </c>
      <c r="C79" s="548">
        <f>AD65</f>
        <v>518</v>
      </c>
      <c r="D79" s="549">
        <f>C79/60</f>
        <v>8.6333333333333329</v>
      </c>
      <c r="E79" s="548">
        <f>AE65</f>
        <v>239</v>
      </c>
      <c r="F79" s="550">
        <f>E79/60</f>
        <v>3.9833333333333334</v>
      </c>
      <c r="G79" s="548">
        <f>AF65</f>
        <v>550</v>
      </c>
      <c r="H79" s="549">
        <f>G79/60</f>
        <v>9.1666666666666661</v>
      </c>
      <c r="I79" s="548">
        <f>AG65</f>
        <v>3393</v>
      </c>
      <c r="J79" s="549">
        <f>I79/60</f>
        <v>56.55</v>
      </c>
    </row>
    <row r="80" spans="1:43" ht="22.5" customHeight="1" thickBot="1" x14ac:dyDescent="0.45">
      <c r="B80" s="541" t="s">
        <v>488</v>
      </c>
      <c r="C80" s="643">
        <f>AM65</f>
        <v>126</v>
      </c>
      <c r="D80" s="642">
        <f>C80/60</f>
        <v>2.1</v>
      </c>
      <c r="E80" s="643">
        <f>AN65</f>
        <v>912</v>
      </c>
      <c r="F80" s="644">
        <f>E80/60</f>
        <v>15.2</v>
      </c>
      <c r="G80" s="643">
        <f>AO65</f>
        <v>374</v>
      </c>
      <c r="H80" s="642">
        <f>G80/60</f>
        <v>6.2333333333333334</v>
      </c>
      <c r="I80" s="643">
        <f>AQ65</f>
        <v>0</v>
      </c>
      <c r="J80" s="642">
        <f>I80/60</f>
        <v>0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32.1</v>
      </c>
      <c r="E82" s="556"/>
      <c r="F82" s="557">
        <f>SUM(F76:F80)</f>
        <v>37</v>
      </c>
      <c r="G82" s="556"/>
      <c r="H82" s="557">
        <f>SUM(H76:H80)</f>
        <v>71.25</v>
      </c>
      <c r="I82" s="556"/>
      <c r="J82" s="558">
        <f>AVERAGE(J76:J80)</f>
        <v>45.313333333333333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Q1"/>
    <mergeCell ref="AR1:AV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V82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Y63" sqref="Y63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3" width="10.69140625" style="423" customWidth="1"/>
    <col min="44" max="44" width="21.15234375" style="423" customWidth="1"/>
    <col min="45" max="45" width="26.3046875" style="423" customWidth="1"/>
    <col min="46" max="46" width="27.15234375" style="423" customWidth="1"/>
    <col min="47" max="47" width="24.3828125" style="423" customWidth="1"/>
    <col min="48" max="48" width="26.53515625" style="423" customWidth="1"/>
    <col min="49" max="16384" width="8.84375" style="423"/>
  </cols>
  <sheetData>
    <row r="1" spans="1:48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3"/>
      <c r="AR1" s="1354" t="s">
        <v>206</v>
      </c>
      <c r="AS1" s="1354"/>
      <c r="AT1" s="1354"/>
      <c r="AU1" s="1354"/>
      <c r="AV1" s="1355"/>
    </row>
    <row r="2" spans="1:48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5" t="s">
        <v>204</v>
      </c>
      <c r="AR2" s="657" t="s">
        <v>199</v>
      </c>
      <c r="AS2" s="655" t="s">
        <v>200</v>
      </c>
      <c r="AT2" s="655" t="s">
        <v>201</v>
      </c>
      <c r="AU2" s="655" t="s">
        <v>204</v>
      </c>
      <c r="AV2" s="655" t="s">
        <v>204</v>
      </c>
    </row>
    <row r="3" spans="1:48" ht="78" customHeight="1" x14ac:dyDescent="0.35">
      <c r="A3" s="1478">
        <v>45231</v>
      </c>
      <c r="B3" s="501">
        <v>1</v>
      </c>
      <c r="C3" s="490"/>
      <c r="D3" s="491"/>
      <c r="E3" s="6">
        <f>19+38</f>
        <v>57</v>
      </c>
      <c r="F3" s="492"/>
      <c r="G3" s="566"/>
      <c r="H3" s="514"/>
      <c r="I3" s="515" t="s">
        <v>767</v>
      </c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6"/>
      <c r="X3" s="508"/>
      <c r="Y3" s="469"/>
      <c r="Z3" s="521"/>
      <c r="AA3" s="515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80"/>
      <c r="AQ3" s="520"/>
      <c r="AR3" s="521"/>
      <c r="AS3" s="538"/>
      <c r="AT3" s="6"/>
      <c r="AU3" s="80"/>
      <c r="AV3" s="520"/>
    </row>
    <row r="4" spans="1:48" ht="70.2" customHeight="1" x14ac:dyDescent="0.35">
      <c r="A4" s="1477"/>
      <c r="B4" s="472">
        <v>2</v>
      </c>
      <c r="C4" s="493"/>
      <c r="D4" s="494"/>
      <c r="E4" s="494">
        <v>24</v>
      </c>
      <c r="F4" s="495"/>
      <c r="G4" s="566"/>
      <c r="H4" s="514"/>
      <c r="I4" s="641" t="s">
        <v>328</v>
      </c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>
        <v>19</v>
      </c>
      <c r="X4" s="508"/>
      <c r="Y4" s="469"/>
      <c r="Z4" s="514"/>
      <c r="AA4" s="579" t="s">
        <v>152</v>
      </c>
      <c r="AB4" s="603"/>
      <c r="AC4" s="66"/>
      <c r="AD4" s="470"/>
      <c r="AE4" s="6"/>
      <c r="AF4" s="6"/>
      <c r="AG4" s="508"/>
      <c r="AH4" s="509"/>
      <c r="AI4" s="514"/>
      <c r="AJ4" s="6"/>
      <c r="AK4" s="508"/>
      <c r="AM4" s="470"/>
      <c r="AN4" s="6"/>
      <c r="AO4" s="6"/>
      <c r="AP4" s="47"/>
      <c r="AQ4" s="508"/>
      <c r="AR4" s="509"/>
      <c r="AS4" s="515"/>
      <c r="AT4" s="6"/>
      <c r="AU4" s="47"/>
      <c r="AV4" s="508"/>
    </row>
    <row r="5" spans="1:48" ht="60" customHeight="1" x14ac:dyDescent="0.35">
      <c r="A5" s="1478">
        <v>45232</v>
      </c>
      <c r="B5" s="472">
        <v>1</v>
      </c>
      <c r="C5" s="493"/>
      <c r="D5" s="494"/>
      <c r="E5" s="494">
        <v>25</v>
      </c>
      <c r="F5" s="495"/>
      <c r="G5" s="566"/>
      <c r="H5" s="514"/>
      <c r="I5" s="641" t="s">
        <v>328</v>
      </c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>
        <v>6</v>
      </c>
      <c r="X5" s="508"/>
      <c r="Y5" s="469"/>
      <c r="Z5" s="6"/>
      <c r="AA5" s="579" t="s">
        <v>325</v>
      </c>
      <c r="AB5" s="604"/>
      <c r="AC5" s="66"/>
      <c r="AD5" s="470"/>
      <c r="AE5" s="6"/>
      <c r="AF5" s="6">
        <v>35</v>
      </c>
      <c r="AG5" s="508"/>
      <c r="AH5" s="509"/>
      <c r="AI5" s="6"/>
      <c r="AJ5" s="661" t="s">
        <v>769</v>
      </c>
      <c r="AK5" s="508"/>
      <c r="AM5" s="470">
        <v>450</v>
      </c>
      <c r="AN5" s="6"/>
      <c r="AO5" s="6">
        <v>245</v>
      </c>
      <c r="AP5" s="47"/>
      <c r="AQ5" s="508"/>
      <c r="AR5" s="509" t="s">
        <v>766</v>
      </c>
      <c r="AS5" s="6"/>
      <c r="AT5" s="502" t="s">
        <v>768</v>
      </c>
      <c r="AU5" s="636"/>
      <c r="AV5" s="526"/>
    </row>
    <row r="6" spans="1:48" ht="80.5" customHeight="1" x14ac:dyDescent="0.35">
      <c r="A6" s="1477"/>
      <c r="B6" s="472">
        <v>2</v>
      </c>
      <c r="C6" s="493"/>
      <c r="D6" s="494"/>
      <c r="E6" s="494">
        <v>7</v>
      </c>
      <c r="F6" s="495"/>
      <c r="G6" s="566"/>
      <c r="H6" s="514"/>
      <c r="I6" s="641" t="s">
        <v>152</v>
      </c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>
        <v>33</v>
      </c>
      <c r="X6" s="508"/>
      <c r="Y6" s="469"/>
      <c r="Z6" s="6"/>
      <c r="AA6" s="579" t="s">
        <v>770</v>
      </c>
      <c r="AB6" s="508"/>
      <c r="AC6" s="66"/>
      <c r="AD6" s="470"/>
      <c r="AE6" s="6"/>
      <c r="AF6" s="6">
        <v>15</v>
      </c>
      <c r="AG6" s="508"/>
      <c r="AH6" s="509"/>
      <c r="AI6" s="6"/>
      <c r="AJ6" s="6" t="s">
        <v>401</v>
      </c>
      <c r="AK6" s="508"/>
      <c r="AM6" s="470">
        <v>720</v>
      </c>
      <c r="AN6" s="6"/>
      <c r="AO6" s="6"/>
      <c r="AP6" s="47"/>
      <c r="AQ6" s="508"/>
      <c r="AR6" s="509" t="s">
        <v>766</v>
      </c>
      <c r="AS6" s="6"/>
      <c r="AT6" s="502"/>
      <c r="AU6" s="636"/>
      <c r="AV6" s="526"/>
    </row>
    <row r="7" spans="1:48" ht="71.5" customHeight="1" x14ac:dyDescent="0.35">
      <c r="A7" s="1478">
        <v>45233</v>
      </c>
      <c r="B7" s="472">
        <v>1</v>
      </c>
      <c r="C7" s="493"/>
      <c r="D7" s="494"/>
      <c r="E7" s="494">
        <v>28</v>
      </c>
      <c r="F7" s="495"/>
      <c r="G7" s="566"/>
      <c r="H7" s="660"/>
      <c r="I7" s="641" t="s">
        <v>152</v>
      </c>
      <c r="J7" s="568"/>
      <c r="K7" s="66"/>
      <c r="L7" s="470"/>
      <c r="M7" s="509"/>
      <c r="N7" s="6"/>
      <c r="O7" s="508"/>
      <c r="P7" s="509"/>
      <c r="Q7" s="660"/>
      <c r="R7" s="6"/>
      <c r="S7" s="508"/>
      <c r="T7" s="66"/>
      <c r="U7" s="470"/>
      <c r="V7" s="6"/>
      <c r="W7" s="6">
        <v>18</v>
      </c>
      <c r="X7" s="508"/>
      <c r="Y7" s="509"/>
      <c r="Z7" s="660"/>
      <c r="AA7" s="579" t="s">
        <v>152</v>
      </c>
      <c r="AB7" s="508"/>
      <c r="AC7" s="66"/>
      <c r="AD7" s="470"/>
      <c r="AE7" s="6"/>
      <c r="AF7" s="6"/>
      <c r="AG7" s="508"/>
      <c r="AH7" s="509"/>
      <c r="AI7" s="660"/>
      <c r="AJ7" s="6"/>
      <c r="AK7" s="508"/>
      <c r="AM7" s="470">
        <v>720</v>
      </c>
      <c r="AN7" s="6"/>
      <c r="AO7" s="6"/>
      <c r="AP7" s="47"/>
      <c r="AQ7" s="508"/>
      <c r="AR7" s="509" t="s">
        <v>766</v>
      </c>
      <c r="AS7" s="660"/>
      <c r="AT7" s="515"/>
      <c r="AU7" s="573"/>
      <c r="AV7" s="526"/>
    </row>
    <row r="8" spans="1:48" ht="69.650000000000006" customHeight="1" x14ac:dyDescent="0.35">
      <c r="A8" s="1477"/>
      <c r="B8" s="472">
        <v>2</v>
      </c>
      <c r="C8" s="493"/>
      <c r="D8" s="494"/>
      <c r="E8" s="494">
        <v>15</v>
      </c>
      <c r="F8" s="495"/>
      <c r="G8" s="565"/>
      <c r="H8" s="515"/>
      <c r="I8" s="641" t="s">
        <v>152</v>
      </c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>
        <v>30</v>
      </c>
      <c r="X8" s="508"/>
      <c r="Y8" s="469"/>
      <c r="Z8" s="6"/>
      <c r="AA8" s="579" t="s">
        <v>152</v>
      </c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>
        <v>720</v>
      </c>
      <c r="AN8" s="6"/>
      <c r="AO8" s="6"/>
      <c r="AP8" s="47"/>
      <c r="AQ8" s="508"/>
      <c r="AR8" s="509" t="s">
        <v>766</v>
      </c>
      <c r="AS8" s="6"/>
      <c r="AT8" s="6"/>
      <c r="AU8" s="47"/>
      <c r="AV8" s="526"/>
    </row>
    <row r="9" spans="1:48" ht="76.95" customHeight="1" x14ac:dyDescent="0.35">
      <c r="A9" s="1478">
        <v>45234</v>
      </c>
      <c r="B9" s="472">
        <v>1</v>
      </c>
      <c r="C9" s="493"/>
      <c r="D9" s="494"/>
      <c r="E9" s="494">
        <v>19</v>
      </c>
      <c r="F9" s="495"/>
      <c r="G9" s="565"/>
      <c r="H9" s="514"/>
      <c r="I9" s="641" t="s">
        <v>152</v>
      </c>
      <c r="J9" s="527"/>
      <c r="K9" s="66"/>
      <c r="L9" s="470"/>
      <c r="M9" s="6"/>
      <c r="N9" s="6"/>
      <c r="O9" s="508"/>
      <c r="P9" s="469"/>
      <c r="Q9" s="515"/>
      <c r="R9" s="502"/>
      <c r="S9" s="527"/>
      <c r="T9" s="66"/>
      <c r="U9" s="470"/>
      <c r="V9" s="6"/>
      <c r="W9" s="6">
        <v>32</v>
      </c>
      <c r="X9" s="508"/>
      <c r="Y9" s="509"/>
      <c r="Z9" s="6"/>
      <c r="AA9" s="579" t="s">
        <v>152</v>
      </c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>
        <v>88</v>
      </c>
      <c r="AN9" s="6"/>
      <c r="AO9" s="6">
        <v>632</v>
      </c>
      <c r="AP9" s="47"/>
      <c r="AQ9" s="508"/>
      <c r="AR9" s="509" t="s">
        <v>766</v>
      </c>
      <c r="AS9" s="6"/>
      <c r="AT9" s="6" t="s">
        <v>649</v>
      </c>
      <c r="AU9" s="636"/>
      <c r="AV9" s="526"/>
    </row>
    <row r="10" spans="1:48" ht="67.2" customHeight="1" x14ac:dyDescent="0.35">
      <c r="A10" s="1477"/>
      <c r="B10" s="472">
        <v>2</v>
      </c>
      <c r="C10" s="493"/>
      <c r="D10" s="494">
        <v>15</v>
      </c>
      <c r="E10" s="494">
        <v>48</v>
      </c>
      <c r="F10" s="495"/>
      <c r="G10" s="566"/>
      <c r="H10" s="514" t="s">
        <v>276</v>
      </c>
      <c r="I10" s="641" t="s">
        <v>152</v>
      </c>
      <c r="J10" s="527"/>
      <c r="K10" s="66"/>
      <c r="L10" s="470"/>
      <c r="M10" s="6">
        <v>118</v>
      </c>
      <c r="N10" s="6"/>
      <c r="O10" s="508"/>
      <c r="P10" s="469"/>
      <c r="Q10" s="6" t="s">
        <v>96</v>
      </c>
      <c r="R10" s="502"/>
      <c r="S10" s="527"/>
      <c r="T10" s="66"/>
      <c r="U10" s="470"/>
      <c r="V10" s="6"/>
      <c r="W10" s="6">
        <v>15</v>
      </c>
      <c r="X10" s="508"/>
      <c r="Y10" s="465"/>
      <c r="Z10" s="469"/>
      <c r="AA10" s="579" t="s">
        <v>152</v>
      </c>
      <c r="AB10" s="527"/>
      <c r="AC10" s="66"/>
      <c r="AD10" s="470"/>
      <c r="AE10" s="6"/>
      <c r="AF10" s="6"/>
      <c r="AG10" s="508"/>
      <c r="AH10" s="469"/>
      <c r="AI10" s="502"/>
      <c r="AJ10" s="6"/>
      <c r="AK10" s="527"/>
      <c r="AM10" s="470"/>
      <c r="AN10" s="6"/>
      <c r="AO10" s="6">
        <v>253</v>
      </c>
      <c r="AP10" s="47"/>
      <c r="AQ10" s="508"/>
      <c r="AR10" s="509"/>
      <c r="AS10" s="6"/>
      <c r="AT10" s="502" t="s">
        <v>771</v>
      </c>
      <c r="AU10" s="47"/>
      <c r="AV10" s="526"/>
    </row>
    <row r="11" spans="1:48" ht="60" customHeight="1" x14ac:dyDescent="0.35">
      <c r="A11" s="1478">
        <v>45235</v>
      </c>
      <c r="B11" s="472">
        <v>1</v>
      </c>
      <c r="C11" s="493"/>
      <c r="D11" s="494"/>
      <c r="E11" s="494"/>
      <c r="F11" s="495"/>
      <c r="G11" s="565"/>
      <c r="H11" s="514"/>
      <c r="I11" s="515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>
        <v>49</v>
      </c>
      <c r="X11" s="508"/>
      <c r="Y11" s="509"/>
      <c r="Z11" s="6"/>
      <c r="AA11" s="579" t="s">
        <v>152</v>
      </c>
      <c r="AB11" s="508"/>
      <c r="AC11" s="66"/>
      <c r="AD11" s="470"/>
      <c r="AE11" s="6"/>
      <c r="AF11" s="6">
        <v>25</v>
      </c>
      <c r="AG11" s="508"/>
      <c r="AH11" s="509"/>
      <c r="AI11" s="6"/>
      <c r="AJ11" s="502" t="s">
        <v>772</v>
      </c>
      <c r="AK11" s="508"/>
      <c r="AM11" s="470"/>
      <c r="AN11" s="6"/>
      <c r="AO11" s="6"/>
      <c r="AP11" s="47"/>
      <c r="AQ11" s="508"/>
      <c r="AR11" s="509"/>
      <c r="AS11" s="6"/>
      <c r="AT11" s="6"/>
      <c r="AU11" s="47"/>
      <c r="AV11" s="526"/>
    </row>
    <row r="12" spans="1:48" ht="55.2" customHeight="1" x14ac:dyDescent="0.35">
      <c r="A12" s="1477"/>
      <c r="B12" s="472">
        <v>2</v>
      </c>
      <c r="C12" s="493"/>
      <c r="D12" s="494"/>
      <c r="E12" s="494">
        <v>26</v>
      </c>
      <c r="F12" s="495"/>
      <c r="G12" s="566"/>
      <c r="H12" s="514"/>
      <c r="I12" s="641" t="s">
        <v>152</v>
      </c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509"/>
      <c r="Z12" s="6"/>
      <c r="AA12" s="579"/>
      <c r="AB12" s="527"/>
      <c r="AC12" s="66"/>
      <c r="AD12" s="470"/>
      <c r="AE12" s="6"/>
      <c r="AF12" s="6">
        <v>28</v>
      </c>
      <c r="AG12" s="508"/>
      <c r="AH12" s="509"/>
      <c r="AI12" s="502"/>
      <c r="AJ12" s="502" t="s">
        <v>773</v>
      </c>
      <c r="AK12" s="527"/>
      <c r="AM12" s="470"/>
      <c r="AN12" s="6"/>
      <c r="AO12" s="6"/>
      <c r="AP12" s="47"/>
      <c r="AQ12" s="508"/>
      <c r="AR12" s="509"/>
      <c r="AS12" s="6"/>
      <c r="AT12" s="6"/>
      <c r="AU12" s="47"/>
      <c r="AV12" s="527"/>
    </row>
    <row r="13" spans="1:48" ht="34.950000000000003" customHeight="1" x14ac:dyDescent="0.35">
      <c r="A13" s="1478">
        <v>45236</v>
      </c>
      <c r="B13" s="472">
        <v>1</v>
      </c>
      <c r="C13" s="493"/>
      <c r="D13" s="494"/>
      <c r="E13" s="494">
        <f>25+9+9</f>
        <v>43</v>
      </c>
      <c r="F13" s="495"/>
      <c r="G13" s="566"/>
      <c r="H13" s="514"/>
      <c r="I13" s="641" t="s">
        <v>328</v>
      </c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>
        <v>25</v>
      </c>
      <c r="X13" s="495"/>
      <c r="Y13" s="469"/>
      <c r="Z13" s="502"/>
      <c r="AA13" s="579" t="s">
        <v>328</v>
      </c>
      <c r="AB13" s="527"/>
      <c r="AC13" s="66"/>
      <c r="AD13" s="470"/>
      <c r="AE13" s="6"/>
      <c r="AF13" s="6">
        <v>26</v>
      </c>
      <c r="AG13" s="495"/>
      <c r="AH13" s="509"/>
      <c r="AI13" s="6"/>
      <c r="AJ13" s="579" t="s">
        <v>774</v>
      </c>
      <c r="AK13" s="527"/>
      <c r="AM13" s="470"/>
      <c r="AN13" s="6"/>
      <c r="AO13" s="6"/>
      <c r="AP13" s="47"/>
      <c r="AQ13" s="495"/>
      <c r="AR13" s="509"/>
      <c r="AS13" s="6"/>
      <c r="AT13" s="6"/>
      <c r="AU13" s="47"/>
      <c r="AV13" s="527"/>
    </row>
    <row r="14" spans="1:48" ht="49.2" customHeight="1" x14ac:dyDescent="0.35">
      <c r="A14" s="1477"/>
      <c r="B14" s="472">
        <v>2</v>
      </c>
      <c r="C14" s="493"/>
      <c r="D14" s="494"/>
      <c r="E14" s="494">
        <v>27</v>
      </c>
      <c r="F14" s="495"/>
      <c r="G14" s="566"/>
      <c r="H14" s="515"/>
      <c r="I14" s="641" t="s">
        <v>152</v>
      </c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>
        <v>17</v>
      </c>
      <c r="X14" s="495"/>
      <c r="Y14" s="469"/>
      <c r="Z14" s="502"/>
      <c r="AA14" s="579" t="s">
        <v>328</v>
      </c>
      <c r="AB14" s="527"/>
      <c r="AC14" s="66"/>
      <c r="AD14" s="470"/>
      <c r="AE14" s="6"/>
      <c r="AF14" s="6">
        <v>20</v>
      </c>
      <c r="AG14" s="495"/>
      <c r="AH14" s="469"/>
      <c r="AI14" s="6"/>
      <c r="AJ14" s="6" t="s">
        <v>325</v>
      </c>
      <c r="AK14" s="527"/>
      <c r="AM14" s="470"/>
      <c r="AN14" s="6"/>
      <c r="AO14" s="6"/>
      <c r="AP14" s="47"/>
      <c r="AQ14" s="495"/>
      <c r="AR14" s="469"/>
      <c r="AS14" s="6"/>
      <c r="AT14" s="6"/>
      <c r="AU14" s="47"/>
      <c r="AV14" s="527"/>
    </row>
    <row r="15" spans="1:48" ht="48" customHeight="1" x14ac:dyDescent="0.35">
      <c r="A15" s="1478">
        <v>45237</v>
      </c>
      <c r="B15" s="472">
        <v>1</v>
      </c>
      <c r="C15" s="493"/>
      <c r="D15" s="494"/>
      <c r="E15" s="6">
        <v>30</v>
      </c>
      <c r="F15" s="495"/>
      <c r="G15" s="566"/>
      <c r="H15" s="515"/>
      <c r="I15" s="641" t="s">
        <v>328</v>
      </c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/>
      <c r="V15" s="6"/>
      <c r="W15" s="6">
        <v>20</v>
      </c>
      <c r="X15" s="495"/>
      <c r="Y15" s="566"/>
      <c r="Z15" s="515"/>
      <c r="AA15" s="579" t="s">
        <v>328</v>
      </c>
      <c r="AB15" s="527"/>
      <c r="AC15" s="66"/>
      <c r="AD15" s="470"/>
      <c r="AE15" s="6"/>
      <c r="AF15" s="66">
        <v>10</v>
      </c>
      <c r="AG15" s="495"/>
      <c r="AH15" s="566"/>
      <c r="AI15" s="515"/>
      <c r="AJ15" s="515" t="s">
        <v>775</v>
      </c>
      <c r="AK15" s="527"/>
      <c r="AM15" s="470"/>
      <c r="AN15" s="6"/>
      <c r="AO15" s="66">
        <v>120</v>
      </c>
      <c r="AP15" s="495"/>
      <c r="AQ15" s="566"/>
      <c r="AR15" s="515"/>
      <c r="AS15" s="515"/>
      <c r="AT15" s="515" t="s">
        <v>401</v>
      </c>
      <c r="AU15" s="527"/>
      <c r="AV15" s="527"/>
    </row>
    <row r="16" spans="1:48" ht="54.65" customHeight="1" x14ac:dyDescent="0.35">
      <c r="A16" s="1477"/>
      <c r="B16" s="472">
        <v>2</v>
      </c>
      <c r="C16" s="493"/>
      <c r="D16" s="494"/>
      <c r="E16" s="494"/>
      <c r="F16" s="495"/>
      <c r="G16" s="565"/>
      <c r="H16" s="638"/>
      <c r="I16" s="641"/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/>
      <c r="W16" s="6"/>
      <c r="X16" s="495"/>
      <c r="Y16" s="565"/>
      <c r="Z16" s="638"/>
      <c r="AA16" s="515"/>
      <c r="AB16" s="527"/>
      <c r="AC16" s="66"/>
      <c r="AD16" s="470"/>
      <c r="AE16" s="6"/>
      <c r="AF16" s="6"/>
      <c r="AG16" s="495"/>
      <c r="AH16" s="566"/>
      <c r="AI16" s="638"/>
      <c r="AJ16" s="6"/>
      <c r="AK16" s="527"/>
      <c r="AM16" s="470"/>
      <c r="AN16" s="6"/>
      <c r="AO16" s="6">
        <v>600</v>
      </c>
      <c r="AP16" s="495"/>
      <c r="AQ16" s="565"/>
      <c r="AR16" s="638"/>
      <c r="AS16" s="515"/>
      <c r="AT16" s="515" t="s">
        <v>401</v>
      </c>
      <c r="AU16" s="573"/>
      <c r="AV16" s="527"/>
    </row>
    <row r="17" spans="1:48" ht="66" customHeight="1" x14ac:dyDescent="0.35">
      <c r="A17" s="1478">
        <v>45238</v>
      </c>
      <c r="B17" s="534">
        <v>1</v>
      </c>
      <c r="C17" s="493"/>
      <c r="D17" s="494"/>
      <c r="E17" s="494">
        <f>52+17</f>
        <v>69</v>
      </c>
      <c r="F17" s="495"/>
      <c r="G17" s="566"/>
      <c r="H17" s="514"/>
      <c r="I17" s="641" t="s">
        <v>152</v>
      </c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>
        <f>50+28</f>
        <v>78</v>
      </c>
      <c r="X17" s="495"/>
      <c r="Y17" s="566"/>
      <c r="Z17" s="514"/>
      <c r="AA17" s="579" t="s">
        <v>152</v>
      </c>
      <c r="AB17" s="527"/>
      <c r="AC17" s="66"/>
      <c r="AD17" s="470"/>
      <c r="AE17" s="6"/>
      <c r="AF17" s="6">
        <v>33</v>
      </c>
      <c r="AG17" s="495"/>
      <c r="AH17" s="566"/>
      <c r="AI17" s="514"/>
      <c r="AJ17" s="515" t="s">
        <v>776</v>
      </c>
      <c r="AK17" s="527"/>
      <c r="AM17" s="470"/>
      <c r="AN17" s="6"/>
      <c r="AO17" s="6">
        <v>272</v>
      </c>
      <c r="AP17" s="495"/>
      <c r="AQ17" s="566"/>
      <c r="AR17" s="514"/>
      <c r="AS17" s="515"/>
      <c r="AT17" s="515" t="s">
        <v>401</v>
      </c>
      <c r="AU17" s="527"/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>
        <v>58</v>
      </c>
      <c r="F18" s="495"/>
      <c r="G18" s="565"/>
      <c r="H18" s="638"/>
      <c r="I18" s="641" t="s">
        <v>152</v>
      </c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6">
        <v>42</v>
      </c>
      <c r="X18" s="495"/>
      <c r="Y18" s="565"/>
      <c r="Z18" s="515"/>
      <c r="AA18" s="579" t="s">
        <v>152</v>
      </c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>
        <v>455</v>
      </c>
      <c r="AP18" s="47"/>
      <c r="AQ18" s="495"/>
      <c r="AR18" s="565"/>
      <c r="AS18" s="515"/>
      <c r="AT18" s="515" t="s">
        <v>401</v>
      </c>
      <c r="AU18" s="638"/>
      <c r="AV18" s="527"/>
    </row>
    <row r="19" spans="1:48" ht="33.65" customHeight="1" x14ac:dyDescent="0.35">
      <c r="A19" s="1478">
        <v>45239</v>
      </c>
      <c r="B19" s="472">
        <v>1</v>
      </c>
      <c r="C19" s="66"/>
      <c r="D19" s="494"/>
      <c r="E19" s="494">
        <v>38</v>
      </c>
      <c r="F19" s="495"/>
      <c r="G19" s="465"/>
      <c r="H19" s="6"/>
      <c r="I19" s="641" t="s">
        <v>152</v>
      </c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>
        <v>40</v>
      </c>
      <c r="X19" s="495"/>
      <c r="Y19" s="470"/>
      <c r="Z19" s="502"/>
      <c r="AA19" s="579" t="s">
        <v>152</v>
      </c>
      <c r="AB19" s="527"/>
      <c r="AC19" s="66"/>
      <c r="AD19" s="470"/>
      <c r="AE19" s="6"/>
      <c r="AF19" s="6"/>
      <c r="AG19" s="495"/>
      <c r="AH19" s="470"/>
      <c r="AI19" s="6"/>
      <c r="AJ19" s="579"/>
      <c r="AK19" s="527"/>
      <c r="AM19" s="470"/>
      <c r="AN19" s="6"/>
      <c r="AO19" s="6"/>
      <c r="AP19" s="47"/>
      <c r="AQ19" s="495"/>
      <c r="AR19" s="470"/>
      <c r="AS19" s="6"/>
      <c r="AT19" s="515"/>
      <c r="AU19" s="636"/>
      <c r="AV19" s="527"/>
    </row>
    <row r="20" spans="1:48" ht="31.2" customHeight="1" x14ac:dyDescent="0.35">
      <c r="A20" s="1477"/>
      <c r="B20" s="472">
        <v>2</v>
      </c>
      <c r="C20" s="493"/>
      <c r="D20" s="494"/>
      <c r="E20" s="494">
        <v>44</v>
      </c>
      <c r="F20" s="495"/>
      <c r="G20" s="465"/>
      <c r="H20" s="502"/>
      <c r="I20" s="641" t="s">
        <v>152</v>
      </c>
      <c r="J20" s="527"/>
      <c r="K20" s="66"/>
      <c r="L20" s="470"/>
      <c r="M20" s="6"/>
      <c r="N20" s="6"/>
      <c r="O20" s="495"/>
      <c r="P20" s="470"/>
      <c r="Q20" s="502"/>
      <c r="R20" s="605"/>
      <c r="S20" s="527"/>
      <c r="T20" s="66"/>
      <c r="U20" s="470"/>
      <c r="V20" s="214"/>
      <c r="W20" s="6">
        <v>25</v>
      </c>
      <c r="X20" s="495"/>
      <c r="Y20" s="470"/>
      <c r="Z20" s="502"/>
      <c r="AA20" s="579" t="s">
        <v>152</v>
      </c>
      <c r="AB20" s="527"/>
      <c r="AC20" s="66"/>
      <c r="AD20" s="470"/>
      <c r="AE20" s="6"/>
      <c r="AF20" s="6">
        <v>23</v>
      </c>
      <c r="AG20" s="495"/>
      <c r="AH20" s="470"/>
      <c r="AI20" s="502"/>
      <c r="AJ20" s="579" t="s">
        <v>152</v>
      </c>
      <c r="AK20" s="527"/>
      <c r="AM20" s="470"/>
      <c r="AN20" s="6"/>
      <c r="AO20" s="6">
        <v>13</v>
      </c>
      <c r="AP20" s="47"/>
      <c r="AQ20" s="495"/>
      <c r="AR20" s="470"/>
      <c r="AS20" s="502"/>
      <c r="AT20" s="502" t="s">
        <v>724</v>
      </c>
      <c r="AU20" s="66"/>
      <c r="AV20" s="527"/>
    </row>
    <row r="21" spans="1:48" ht="39.65" customHeight="1" x14ac:dyDescent="0.35">
      <c r="A21" s="1478">
        <v>45240</v>
      </c>
      <c r="B21" s="472">
        <v>1</v>
      </c>
      <c r="C21" s="493"/>
      <c r="D21" s="494"/>
      <c r="E21" s="494">
        <v>33</v>
      </c>
      <c r="F21" s="495"/>
      <c r="G21" s="569"/>
      <c r="H21" s="514"/>
      <c r="I21" s="641" t="s">
        <v>152</v>
      </c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>
        <v>56</v>
      </c>
      <c r="X21" s="495"/>
      <c r="Y21" s="465"/>
      <c r="Z21" s="6"/>
      <c r="AA21" s="579" t="s">
        <v>152</v>
      </c>
      <c r="AB21" s="527"/>
      <c r="AC21" s="66"/>
      <c r="AD21" s="470"/>
      <c r="AE21" s="6"/>
      <c r="AF21" s="6"/>
      <c r="AG21" s="495"/>
      <c r="AH21" s="470"/>
      <c r="AI21" s="6"/>
      <c r="AJ21" s="641"/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31.95" customHeight="1" x14ac:dyDescent="0.35">
      <c r="A22" s="1477"/>
      <c r="B22" s="472">
        <v>2</v>
      </c>
      <c r="C22" s="493"/>
      <c r="D22" s="494"/>
      <c r="E22" s="494">
        <v>34</v>
      </c>
      <c r="F22" s="495"/>
      <c r="G22" s="562"/>
      <c r="H22" s="515"/>
      <c r="I22" s="641" t="s">
        <v>152</v>
      </c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>
        <v>37</v>
      </c>
      <c r="X22" s="495"/>
      <c r="Y22" s="465"/>
      <c r="Z22" s="6"/>
      <c r="AA22" s="579" t="s">
        <v>152</v>
      </c>
      <c r="AB22" s="527"/>
      <c r="AC22" s="66"/>
      <c r="AD22" s="470"/>
      <c r="AE22" s="6"/>
      <c r="AF22" s="6">
        <v>12</v>
      </c>
      <c r="AG22" s="495"/>
      <c r="AH22" s="465"/>
      <c r="AI22" s="6"/>
      <c r="AJ22" s="579" t="s">
        <v>152</v>
      </c>
      <c r="AK22" s="607"/>
      <c r="AM22" s="470"/>
      <c r="AN22" s="6"/>
      <c r="AO22" s="6"/>
      <c r="AP22" s="47"/>
      <c r="AQ22" s="495"/>
      <c r="AR22" s="470"/>
      <c r="AS22" s="502"/>
      <c r="AT22" s="47"/>
      <c r="AU22" s="47"/>
      <c r="AV22" s="527"/>
    </row>
    <row r="23" spans="1:48" ht="47.5" customHeight="1" x14ac:dyDescent="0.35">
      <c r="A23" s="1478">
        <v>45241</v>
      </c>
      <c r="B23" s="534">
        <v>1</v>
      </c>
      <c r="C23" s="493"/>
      <c r="D23" s="494"/>
      <c r="E23" s="494"/>
      <c r="F23" s="495"/>
      <c r="G23" s="566"/>
      <c r="H23" s="514"/>
      <c r="I23" s="515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>
        <v>48</v>
      </c>
      <c r="X23" s="495"/>
      <c r="Y23" s="465"/>
      <c r="Z23" s="514"/>
      <c r="AA23" s="579" t="s">
        <v>152</v>
      </c>
      <c r="AB23" s="527"/>
      <c r="AC23" s="66"/>
      <c r="AD23" s="470"/>
      <c r="AE23" s="6"/>
      <c r="AF23" s="6">
        <v>55</v>
      </c>
      <c r="AG23" s="495"/>
      <c r="AH23" s="6"/>
      <c r="AI23" s="514"/>
      <c r="AJ23" s="515" t="s">
        <v>97</v>
      </c>
      <c r="AK23" s="607"/>
      <c r="AM23" s="470"/>
      <c r="AN23" s="6"/>
      <c r="AO23" s="6"/>
      <c r="AP23" s="47"/>
      <c r="AQ23" s="495"/>
      <c r="AR23" s="6"/>
      <c r="AS23" s="514"/>
      <c r="AT23" s="573"/>
      <c r="AU23" s="573"/>
      <c r="AV23" s="527"/>
    </row>
    <row r="24" spans="1:48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4"/>
      <c r="I24" s="515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>
        <v>22</v>
      </c>
      <c r="X24" s="495"/>
      <c r="Y24" s="566"/>
      <c r="Z24" s="514"/>
      <c r="AA24" s="579" t="s">
        <v>152</v>
      </c>
      <c r="AB24" s="527"/>
      <c r="AC24" s="66"/>
      <c r="AD24" s="470"/>
      <c r="AE24" s="6"/>
      <c r="AF24" s="6"/>
      <c r="AG24" s="495"/>
      <c r="AH24" s="566"/>
      <c r="AI24" s="514"/>
      <c r="AJ24" s="515"/>
      <c r="AK24" s="527"/>
      <c r="AM24" s="470"/>
      <c r="AN24" s="6"/>
      <c r="AO24" s="6"/>
      <c r="AP24" s="495"/>
      <c r="AQ24" s="566"/>
      <c r="AR24" s="514"/>
      <c r="AS24" s="514"/>
      <c r="AT24" s="527"/>
      <c r="AU24" s="527"/>
      <c r="AV24" s="527"/>
    </row>
    <row r="25" spans="1:48" ht="46.2" customHeight="1" x14ac:dyDescent="0.35">
      <c r="A25" s="1478">
        <v>45242</v>
      </c>
      <c r="B25" s="472">
        <v>1</v>
      </c>
      <c r="C25" s="493"/>
      <c r="D25" s="494"/>
      <c r="E25" s="494"/>
      <c r="F25" s="495"/>
      <c r="G25" s="566"/>
      <c r="H25" s="514"/>
      <c r="I25" s="641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65"/>
      <c r="Z25" s="502"/>
      <c r="AA25" s="515"/>
      <c r="AB25" s="527"/>
      <c r="AC25" s="66"/>
      <c r="AD25" s="470"/>
      <c r="AE25" s="6">
        <v>53</v>
      </c>
      <c r="AF25" s="6">
        <v>35</v>
      </c>
      <c r="AG25" s="495"/>
      <c r="AH25" s="6"/>
      <c r="AI25" s="502" t="s">
        <v>317</v>
      </c>
      <c r="AJ25" s="515" t="s">
        <v>97</v>
      </c>
      <c r="AK25" s="607"/>
      <c r="AM25" s="470"/>
      <c r="AN25" s="6"/>
      <c r="AO25" s="6"/>
      <c r="AP25" s="47"/>
      <c r="AQ25" s="495"/>
      <c r="AR25" s="6"/>
      <c r="AS25" s="6"/>
      <c r="AT25" s="47"/>
      <c r="AU25" s="47"/>
      <c r="AV25" s="527"/>
    </row>
    <row r="26" spans="1:48" ht="42" customHeight="1" x14ac:dyDescent="0.35">
      <c r="A26" s="1477"/>
      <c r="B26" s="472">
        <v>2</v>
      </c>
      <c r="C26" s="493"/>
      <c r="D26" s="494"/>
      <c r="E26" s="494">
        <v>16</v>
      </c>
      <c r="F26" s="495"/>
      <c r="G26" s="566"/>
      <c r="H26" s="515"/>
      <c r="I26" s="641" t="s">
        <v>152</v>
      </c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/>
      <c r="V26" s="494"/>
      <c r="W26" s="6">
        <v>54</v>
      </c>
      <c r="X26" s="495"/>
      <c r="Y26" s="566"/>
      <c r="Z26" s="515"/>
      <c r="AA26" s="579" t="s">
        <v>152</v>
      </c>
      <c r="AB26" s="527"/>
      <c r="AC26" s="66"/>
      <c r="AD26" s="470">
        <v>521</v>
      </c>
      <c r="AE26" s="494"/>
      <c r="AF26" s="6">
        <v>199</v>
      </c>
      <c r="AG26" s="495"/>
      <c r="AH26" s="566" t="s">
        <v>444</v>
      </c>
      <c r="AI26" s="515"/>
      <c r="AJ26" s="573" t="s">
        <v>768</v>
      </c>
      <c r="AK26" s="527"/>
      <c r="AM26" s="470"/>
      <c r="AN26" s="494"/>
      <c r="AO26" s="6">
        <v>10</v>
      </c>
      <c r="AP26" s="651"/>
      <c r="AQ26" s="495"/>
      <c r="AR26" s="566"/>
      <c r="AS26" s="515"/>
      <c r="AT26" s="573" t="s">
        <v>152</v>
      </c>
      <c r="AU26" s="527"/>
      <c r="AV26" s="527"/>
    </row>
    <row r="27" spans="1:48" ht="49.95" customHeight="1" x14ac:dyDescent="0.35">
      <c r="A27" s="1478">
        <v>45243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/>
      <c r="X27" s="495"/>
      <c r="Y27" s="566"/>
      <c r="Z27" s="514"/>
      <c r="AA27" s="515"/>
      <c r="AB27" s="527"/>
      <c r="AC27" s="66"/>
      <c r="AD27" s="470">
        <v>720</v>
      </c>
      <c r="AE27" s="6"/>
      <c r="AF27" s="6"/>
      <c r="AG27" s="495"/>
      <c r="AH27" s="566" t="s">
        <v>444</v>
      </c>
      <c r="AI27" s="6"/>
      <c r="AJ27" s="515"/>
      <c r="AK27" s="527"/>
      <c r="AM27" s="470"/>
      <c r="AN27" s="6"/>
      <c r="AO27" s="6"/>
      <c r="AP27" s="47"/>
      <c r="AQ27" s="495"/>
      <c r="AR27" s="6"/>
      <c r="AS27" s="6"/>
      <c r="AT27" s="573"/>
      <c r="AU27" s="527"/>
      <c r="AV27" s="527"/>
    </row>
    <row r="28" spans="1:48" ht="72" customHeight="1" x14ac:dyDescent="0.35">
      <c r="A28" s="1477"/>
      <c r="B28" s="472">
        <v>2</v>
      </c>
      <c r="C28" s="493"/>
      <c r="D28" s="494"/>
      <c r="E28" s="494">
        <v>24</v>
      </c>
      <c r="F28" s="495"/>
      <c r="G28" s="515"/>
      <c r="H28" s="515"/>
      <c r="I28" s="641" t="s">
        <v>152</v>
      </c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/>
      <c r="V28" s="6"/>
      <c r="W28" s="66">
        <v>57</v>
      </c>
      <c r="X28" s="495"/>
      <c r="Y28" s="515"/>
      <c r="Z28" s="6"/>
      <c r="AA28" s="579" t="s">
        <v>152</v>
      </c>
      <c r="AB28" s="527"/>
      <c r="AC28" s="66"/>
      <c r="AD28" s="470">
        <v>720</v>
      </c>
      <c r="AE28" s="6"/>
      <c r="AF28" s="6"/>
      <c r="AG28" s="495"/>
      <c r="AH28" s="566" t="s">
        <v>444</v>
      </c>
      <c r="AI28" s="6"/>
      <c r="AJ28" s="573"/>
      <c r="AK28" s="527"/>
      <c r="AM28" s="470"/>
      <c r="AN28" s="6"/>
      <c r="AO28" s="6">
        <v>18</v>
      </c>
      <c r="AP28" s="47"/>
      <c r="AQ28" s="495"/>
      <c r="AR28" s="502"/>
      <c r="AS28" s="6"/>
      <c r="AT28" s="573" t="s">
        <v>737</v>
      </c>
      <c r="AU28" s="527"/>
      <c r="AV28" s="526"/>
    </row>
    <row r="29" spans="1:48" ht="66" customHeight="1" x14ac:dyDescent="0.35">
      <c r="A29" s="1478">
        <v>45244</v>
      </c>
      <c r="B29" s="472">
        <v>1</v>
      </c>
      <c r="C29" s="493"/>
      <c r="D29" s="494"/>
      <c r="E29" s="494">
        <v>15</v>
      </c>
      <c r="F29" s="495"/>
      <c r="G29" s="515"/>
      <c r="H29" s="514"/>
      <c r="I29" s="641" t="s">
        <v>152</v>
      </c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>
        <v>23</v>
      </c>
      <c r="X29" s="495"/>
      <c r="Y29" s="515"/>
      <c r="Z29" s="514"/>
      <c r="AA29" s="579" t="s">
        <v>152</v>
      </c>
      <c r="AB29" s="527"/>
      <c r="AC29" s="66"/>
      <c r="AD29" s="470">
        <v>720</v>
      </c>
      <c r="AE29" s="6"/>
      <c r="AF29" s="6"/>
      <c r="AG29" s="495"/>
      <c r="AH29" s="566" t="s">
        <v>444</v>
      </c>
      <c r="AI29" s="514"/>
      <c r="AJ29" s="515"/>
      <c r="AK29" s="527"/>
      <c r="AM29" s="470"/>
      <c r="AN29" s="6"/>
      <c r="AO29" s="6"/>
      <c r="AP29" s="47"/>
      <c r="AQ29" s="495"/>
      <c r="AR29" s="566"/>
      <c r="AS29" s="514"/>
      <c r="AT29" s="515"/>
      <c r="AU29" s="527"/>
      <c r="AV29" s="508"/>
    </row>
    <row r="30" spans="1:48" ht="39.65" customHeight="1" x14ac:dyDescent="0.35">
      <c r="A30" s="1477"/>
      <c r="B30" s="534">
        <v>2</v>
      </c>
      <c r="C30" s="493"/>
      <c r="D30" s="494"/>
      <c r="E30" s="494">
        <v>30</v>
      </c>
      <c r="F30" s="495"/>
      <c r="G30" s="566"/>
      <c r="H30" s="514"/>
      <c r="I30" s="641" t="s">
        <v>152</v>
      </c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>
        <v>71</v>
      </c>
      <c r="X30" s="495"/>
      <c r="Y30" s="566"/>
      <c r="Z30" s="514"/>
      <c r="AA30" s="579" t="s">
        <v>152</v>
      </c>
      <c r="AB30" s="527"/>
      <c r="AC30" s="66"/>
      <c r="AD30" s="470">
        <v>720</v>
      </c>
      <c r="AE30" s="6"/>
      <c r="AF30" s="6"/>
      <c r="AG30" s="495"/>
      <c r="AH30" s="566" t="s">
        <v>444</v>
      </c>
      <c r="AI30" s="515"/>
      <c r="AJ30" s="515"/>
      <c r="AK30" s="527"/>
      <c r="AM30" s="470"/>
      <c r="AN30" s="6"/>
      <c r="AO30" s="6"/>
      <c r="AP30" s="47"/>
      <c r="AQ30" s="495"/>
      <c r="AR30" s="509"/>
      <c r="AS30" s="502"/>
      <c r="AT30" s="636"/>
      <c r="AU30" s="527"/>
      <c r="AV30" s="508"/>
    </row>
    <row r="31" spans="1:48" ht="39.65" customHeight="1" x14ac:dyDescent="0.35">
      <c r="A31" s="1478">
        <v>45245</v>
      </c>
      <c r="B31" s="472">
        <v>1</v>
      </c>
      <c r="C31" s="493"/>
      <c r="D31" s="494"/>
      <c r="E31" s="494">
        <v>37</v>
      </c>
      <c r="F31" s="495"/>
      <c r="G31" s="566"/>
      <c r="H31" s="514"/>
      <c r="I31" s="641" t="s">
        <v>152</v>
      </c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>
        <v>86</v>
      </c>
      <c r="X31" s="495"/>
      <c r="Y31" s="469"/>
      <c r="Z31" s="6"/>
      <c r="AA31" s="579" t="s">
        <v>152</v>
      </c>
      <c r="AB31" s="527"/>
      <c r="AC31" s="66"/>
      <c r="AD31" s="470">
        <v>150</v>
      </c>
      <c r="AE31" s="6"/>
      <c r="AF31" s="6">
        <v>570</v>
      </c>
      <c r="AG31" s="495"/>
      <c r="AH31" s="566" t="s">
        <v>444</v>
      </c>
      <c r="AI31" s="6"/>
      <c r="AJ31" s="6" t="s">
        <v>443</v>
      </c>
      <c r="AK31" s="527"/>
      <c r="AM31" s="470"/>
      <c r="AN31" s="6"/>
      <c r="AO31" s="6"/>
      <c r="AP31" s="47"/>
      <c r="AQ31" s="495"/>
      <c r="AR31" s="509"/>
      <c r="AS31" s="6"/>
      <c r="AT31" s="6"/>
      <c r="AU31" s="527"/>
      <c r="AV31" s="527"/>
    </row>
    <row r="32" spans="1:48" ht="63" customHeight="1" x14ac:dyDescent="0.35">
      <c r="A32" s="1477"/>
      <c r="B32" s="472">
        <v>2</v>
      </c>
      <c r="C32" s="493"/>
      <c r="D32" s="494"/>
      <c r="E32" s="494">
        <v>47</v>
      </c>
      <c r="F32" s="495"/>
      <c r="G32" s="566"/>
      <c r="H32" s="566"/>
      <c r="I32" s="641" t="s">
        <v>152</v>
      </c>
      <c r="J32" s="527"/>
      <c r="K32" s="66"/>
      <c r="L32" s="470"/>
      <c r="M32" s="6"/>
      <c r="N32" s="6"/>
      <c r="O32" s="495"/>
      <c r="P32" s="509"/>
      <c r="Q32" s="6"/>
      <c r="R32" s="6"/>
      <c r="S32" s="527"/>
      <c r="T32" s="66"/>
      <c r="U32" s="470"/>
      <c r="V32" s="6"/>
      <c r="W32" s="494">
        <v>113</v>
      </c>
      <c r="X32" s="495"/>
      <c r="Y32" s="566"/>
      <c r="Z32" s="566"/>
      <c r="AA32" s="579" t="s">
        <v>152</v>
      </c>
      <c r="AB32" s="527"/>
      <c r="AC32" s="66"/>
      <c r="AD32" s="470"/>
      <c r="AE32" s="6"/>
      <c r="AF32" s="494">
        <f>162+47</f>
        <v>209</v>
      </c>
      <c r="AG32" s="495"/>
      <c r="AH32" s="566"/>
      <c r="AI32" s="566"/>
      <c r="AJ32" s="565" t="s">
        <v>777</v>
      </c>
      <c r="AK32" s="527"/>
      <c r="AM32" s="470"/>
      <c r="AN32" s="6"/>
      <c r="AO32" s="6"/>
      <c r="AP32" s="47"/>
      <c r="AQ32" s="495"/>
      <c r="AR32" s="509"/>
      <c r="AS32" s="502"/>
      <c r="AT32" s="636"/>
      <c r="AU32" s="527"/>
      <c r="AV32" s="508"/>
    </row>
    <row r="33" spans="1:48" ht="43.2" customHeight="1" x14ac:dyDescent="0.35">
      <c r="A33" s="1478">
        <v>45246</v>
      </c>
      <c r="B33" s="472">
        <v>1</v>
      </c>
      <c r="C33" s="493"/>
      <c r="D33" s="494"/>
      <c r="E33" s="494">
        <v>22</v>
      </c>
      <c r="F33" s="495"/>
      <c r="G33" s="566"/>
      <c r="H33" s="514"/>
      <c r="I33" s="641" t="s">
        <v>152</v>
      </c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>
        <v>89</v>
      </c>
      <c r="X33" s="495"/>
      <c r="Y33" s="509"/>
      <c r="Z33" s="6"/>
      <c r="AA33" s="579" t="s">
        <v>152</v>
      </c>
      <c r="AB33" s="527"/>
      <c r="AC33" s="66"/>
      <c r="AD33" s="470"/>
      <c r="AE33" s="6"/>
      <c r="AF33" s="6">
        <v>45</v>
      </c>
      <c r="AG33" s="495"/>
      <c r="AH33" s="509"/>
      <c r="AI33" s="502"/>
      <c r="AJ33" s="579" t="s">
        <v>152</v>
      </c>
      <c r="AK33" s="527"/>
      <c r="AM33" s="470"/>
      <c r="AN33" s="6"/>
      <c r="AO33" s="6"/>
      <c r="AP33" s="47"/>
      <c r="AQ33" s="495"/>
      <c r="AR33" s="509"/>
      <c r="AS33" s="502"/>
      <c r="AT33" s="6"/>
      <c r="AU33" s="527"/>
      <c r="AV33" s="508"/>
    </row>
    <row r="34" spans="1:48" ht="67.95" customHeight="1" x14ac:dyDescent="0.35">
      <c r="A34" s="1477"/>
      <c r="B34" s="534">
        <v>2</v>
      </c>
      <c r="C34" s="494"/>
      <c r="D34" s="494"/>
      <c r="E34" s="494">
        <v>21</v>
      </c>
      <c r="F34" s="637"/>
      <c r="G34" s="565"/>
      <c r="H34" s="515"/>
      <c r="I34" s="641" t="s">
        <v>152</v>
      </c>
      <c r="J34" s="527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>
        <v>16</v>
      </c>
      <c r="X34" s="508"/>
      <c r="Y34" s="502"/>
      <c r="Z34" s="502"/>
      <c r="AA34" s="579" t="s">
        <v>152</v>
      </c>
      <c r="AB34" s="527"/>
      <c r="AC34" s="66"/>
      <c r="AD34" s="470"/>
      <c r="AE34" s="6"/>
      <c r="AF34" s="6">
        <v>59</v>
      </c>
      <c r="AG34" s="508"/>
      <c r="AH34" s="509"/>
      <c r="AI34" s="6"/>
      <c r="AJ34" s="502" t="s">
        <v>670</v>
      </c>
      <c r="AK34" s="527"/>
      <c r="AM34" s="470"/>
      <c r="AN34" s="6"/>
      <c r="AO34" s="6"/>
      <c r="AP34" s="47"/>
      <c r="AQ34" s="508"/>
      <c r="AR34" s="509"/>
      <c r="AS34" s="6"/>
      <c r="AT34" s="636"/>
      <c r="AU34" s="527"/>
      <c r="AV34" s="508"/>
    </row>
    <row r="35" spans="1:48" ht="51" customHeight="1" x14ac:dyDescent="0.35">
      <c r="A35" s="1478">
        <v>45247</v>
      </c>
      <c r="B35" s="472">
        <v>1</v>
      </c>
      <c r="C35" s="494"/>
      <c r="D35" s="494"/>
      <c r="E35" s="47">
        <v>84</v>
      </c>
      <c r="F35" s="636"/>
      <c r="G35" s="465"/>
      <c r="H35" s="509"/>
      <c r="I35" s="641" t="s">
        <v>152</v>
      </c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>
        <v>103</v>
      </c>
      <c r="X35" s="526"/>
      <c r="Y35" s="465"/>
      <c r="Z35" s="6"/>
      <c r="AA35" s="579" t="s">
        <v>152</v>
      </c>
      <c r="AB35" s="508"/>
      <c r="AC35" s="66"/>
      <c r="AD35" s="470"/>
      <c r="AE35" s="6"/>
      <c r="AF35" s="6">
        <v>37</v>
      </c>
      <c r="AG35" s="469"/>
      <c r="AH35" s="465"/>
      <c r="AI35" s="6"/>
      <c r="AJ35" s="579" t="s">
        <v>152</v>
      </c>
      <c r="AK35" s="508"/>
      <c r="AM35" s="470"/>
      <c r="AN35" s="6"/>
      <c r="AO35" s="47"/>
      <c r="AP35" s="47"/>
      <c r="AQ35" s="526"/>
      <c r="AR35" s="465"/>
      <c r="AS35" s="573"/>
      <c r="AT35" s="502"/>
      <c r="AU35" s="636"/>
      <c r="AV35" s="508"/>
    </row>
    <row r="36" spans="1:48" ht="46.95" customHeight="1" x14ac:dyDescent="0.35">
      <c r="A36" s="1477"/>
      <c r="B36" s="472">
        <v>2</v>
      </c>
      <c r="C36" s="47"/>
      <c r="D36" s="6"/>
      <c r="E36" s="47">
        <v>32</v>
      </c>
      <c r="F36" s="636"/>
      <c r="G36" s="573"/>
      <c r="H36" s="469"/>
      <c r="I36" s="641" t="s">
        <v>152</v>
      </c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>
        <v>15</v>
      </c>
      <c r="W36" s="6">
        <v>33</v>
      </c>
      <c r="X36" s="469"/>
      <c r="Y36" s="465"/>
      <c r="Z36" s="502" t="s">
        <v>471</v>
      </c>
      <c r="AA36" s="579" t="s">
        <v>152</v>
      </c>
      <c r="AB36" s="508"/>
      <c r="AC36" s="66"/>
      <c r="AD36" s="470"/>
      <c r="AE36" s="6"/>
      <c r="AF36" s="47">
        <v>23</v>
      </c>
      <c r="AG36" s="526"/>
      <c r="AH36" s="465"/>
      <c r="AI36" s="502"/>
      <c r="AJ36" s="579" t="s">
        <v>152</v>
      </c>
      <c r="AK36" s="508"/>
      <c r="AM36" s="470"/>
      <c r="AN36" s="6"/>
      <c r="AO36" s="6"/>
      <c r="AP36" s="509"/>
      <c r="AQ36" s="469"/>
      <c r="AR36" s="465"/>
      <c r="AS36" s="502"/>
      <c r="AT36" s="502"/>
      <c r="AU36" s="636"/>
      <c r="AV36" s="508"/>
    </row>
    <row r="37" spans="1:48" ht="59.5" customHeight="1" x14ac:dyDescent="0.35">
      <c r="A37" s="1478">
        <v>45248</v>
      </c>
      <c r="B37" s="534">
        <v>1</v>
      </c>
      <c r="C37" s="47"/>
      <c r="D37" s="494"/>
      <c r="E37" s="47">
        <v>74</v>
      </c>
      <c r="F37" s="47"/>
      <c r="G37" s="573"/>
      <c r="H37" s="469"/>
      <c r="I37" s="641" t="s">
        <v>152</v>
      </c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>
        <v>20</v>
      </c>
      <c r="W37" s="6">
        <v>107</v>
      </c>
      <c r="X37" s="508"/>
      <c r="Y37" s="509"/>
      <c r="Z37" s="502"/>
      <c r="AA37" s="579" t="s">
        <v>152</v>
      </c>
      <c r="AB37" s="527"/>
      <c r="AC37" s="66"/>
      <c r="AD37" s="470"/>
      <c r="AE37" s="6"/>
      <c r="AF37" s="6">
        <v>10</v>
      </c>
      <c r="AG37" s="508"/>
      <c r="AH37" s="469"/>
      <c r="AI37" s="6"/>
      <c r="AJ37" s="579" t="s">
        <v>152</v>
      </c>
      <c r="AK37" s="508"/>
      <c r="AM37" s="470"/>
      <c r="AN37" s="6"/>
      <c r="AO37" s="6"/>
      <c r="AP37" s="47"/>
      <c r="AQ37" s="508"/>
      <c r="AR37" s="509"/>
      <c r="AS37" s="6"/>
      <c r="AT37" s="6"/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/>
      <c r="E38" s="47">
        <v>22</v>
      </c>
      <c r="F38" s="637"/>
      <c r="G38" s="573"/>
      <c r="H38" s="469"/>
      <c r="I38" s="641" t="s">
        <v>152</v>
      </c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/>
      <c r="V38" s="6"/>
      <c r="W38" s="6">
        <v>36</v>
      </c>
      <c r="X38" s="508"/>
      <c r="Y38" s="509"/>
      <c r="Z38" s="502"/>
      <c r="AA38" s="579" t="s">
        <v>152</v>
      </c>
      <c r="AB38" s="527"/>
      <c r="AC38" s="66"/>
      <c r="AD38" s="470"/>
      <c r="AE38" s="6"/>
      <c r="AF38" s="6">
        <v>26</v>
      </c>
      <c r="AG38" s="508"/>
      <c r="AH38" s="469"/>
      <c r="AI38" s="6"/>
      <c r="AJ38" s="579" t="s">
        <v>778</v>
      </c>
      <c r="AK38" s="527"/>
      <c r="AM38" s="470"/>
      <c r="AN38" s="6"/>
      <c r="AO38" s="6"/>
      <c r="AP38" s="47"/>
      <c r="AQ38" s="508"/>
      <c r="AR38" s="509"/>
      <c r="AS38" s="6"/>
      <c r="AT38" s="502"/>
      <c r="AU38" s="636"/>
      <c r="AV38" s="527"/>
    </row>
    <row r="39" spans="1:48" ht="70.95" customHeight="1" x14ac:dyDescent="0.35">
      <c r="A39" s="1478">
        <v>45249</v>
      </c>
      <c r="B39" s="472">
        <v>1</v>
      </c>
      <c r="C39" s="47"/>
      <c r="D39" s="494"/>
      <c r="E39" s="47"/>
      <c r="F39" s="495">
        <v>585</v>
      </c>
      <c r="G39" s="573"/>
      <c r="H39" s="514"/>
      <c r="I39" s="573"/>
      <c r="J39" s="527" t="s">
        <v>779</v>
      </c>
      <c r="K39" s="66"/>
      <c r="L39" s="470"/>
      <c r="M39" s="6"/>
      <c r="N39" s="6"/>
      <c r="O39" s="495">
        <v>585</v>
      </c>
      <c r="P39" s="573"/>
      <c r="Q39" s="514"/>
      <c r="R39" s="573"/>
      <c r="S39" s="527" t="s">
        <v>779</v>
      </c>
      <c r="T39" s="66"/>
      <c r="U39" s="470"/>
      <c r="V39" s="6"/>
      <c r="W39" s="6">
        <v>21</v>
      </c>
      <c r="X39" s="495">
        <v>585</v>
      </c>
      <c r="Y39" s="573"/>
      <c r="Z39" s="514"/>
      <c r="AA39" s="579" t="s">
        <v>152</v>
      </c>
      <c r="AB39" s="527" t="s">
        <v>779</v>
      </c>
      <c r="AC39" s="66"/>
      <c r="AD39" s="470"/>
      <c r="AE39" s="6"/>
      <c r="AF39" s="6"/>
      <c r="AG39" s="495">
        <v>585</v>
      </c>
      <c r="AH39" s="573"/>
      <c r="AI39" s="514"/>
      <c r="AJ39" s="573"/>
      <c r="AK39" s="527" t="s">
        <v>779</v>
      </c>
      <c r="AM39" s="470"/>
      <c r="AN39" s="6"/>
      <c r="AO39" s="6"/>
      <c r="AP39" s="495">
        <v>585</v>
      </c>
      <c r="AQ39" s="573"/>
      <c r="AR39" s="514"/>
      <c r="AS39" s="573"/>
      <c r="AT39" s="527"/>
      <c r="AU39" s="527" t="s">
        <v>779</v>
      </c>
      <c r="AV39" s="568"/>
    </row>
    <row r="40" spans="1:48" ht="72.650000000000006" customHeight="1" x14ac:dyDescent="0.35">
      <c r="A40" s="1477"/>
      <c r="B40" s="472">
        <v>2</v>
      </c>
      <c r="C40" s="494"/>
      <c r="D40" s="494"/>
      <c r="E40" s="494"/>
      <c r="F40" s="508">
        <v>246</v>
      </c>
      <c r="G40" s="573"/>
      <c r="H40" s="515"/>
      <c r="I40" s="573"/>
      <c r="J40" s="527" t="s">
        <v>780</v>
      </c>
      <c r="K40" s="66"/>
      <c r="L40" s="470"/>
      <c r="M40" s="6"/>
      <c r="N40" s="6"/>
      <c r="O40" s="508">
        <v>205</v>
      </c>
      <c r="P40" s="566"/>
      <c r="Q40" s="514"/>
      <c r="R40" s="573"/>
      <c r="S40" s="527" t="s">
        <v>780</v>
      </c>
      <c r="T40" s="66"/>
      <c r="U40" s="470"/>
      <c r="V40" s="6"/>
      <c r="W40" s="6"/>
      <c r="X40" s="508">
        <v>320</v>
      </c>
      <c r="Y40" s="566"/>
      <c r="Z40" s="514"/>
      <c r="AA40" s="565"/>
      <c r="AB40" s="527" t="s">
        <v>780</v>
      </c>
      <c r="AC40" s="66"/>
      <c r="AD40" s="470"/>
      <c r="AE40" s="6"/>
      <c r="AF40" s="6"/>
      <c r="AG40" s="508">
        <v>210</v>
      </c>
      <c r="AH40" s="465"/>
      <c r="AI40" s="514"/>
      <c r="AJ40" s="573"/>
      <c r="AK40" s="527" t="s">
        <v>780</v>
      </c>
      <c r="AM40" s="465"/>
      <c r="AN40" s="6"/>
      <c r="AO40" s="6"/>
      <c r="AP40" s="47">
        <v>214</v>
      </c>
      <c r="AQ40" s="508"/>
      <c r="AR40" s="566"/>
      <c r="AS40" s="514"/>
      <c r="AT40" s="573"/>
      <c r="AU40" s="527" t="s">
        <v>780</v>
      </c>
      <c r="AV40" s="527"/>
    </row>
    <row r="41" spans="1:48" ht="39.65" customHeight="1" x14ac:dyDescent="0.35">
      <c r="A41" s="1478">
        <v>45250</v>
      </c>
      <c r="B41" s="472">
        <v>1</v>
      </c>
      <c r="C41" s="493"/>
      <c r="D41" s="494"/>
      <c r="E41" s="494">
        <v>58</v>
      </c>
      <c r="F41" s="508"/>
      <c r="G41" s="566"/>
      <c r="H41" s="515"/>
      <c r="I41" s="573" t="s">
        <v>152</v>
      </c>
      <c r="J41" s="527"/>
      <c r="K41" s="66"/>
      <c r="L41" s="470"/>
      <c r="M41" s="6"/>
      <c r="N41" s="6"/>
      <c r="O41" s="508"/>
      <c r="P41" s="509"/>
      <c r="Q41" s="6"/>
      <c r="R41" s="573"/>
      <c r="S41" s="527"/>
      <c r="T41" s="66"/>
      <c r="U41" s="470"/>
      <c r="V41" s="6"/>
      <c r="W41" s="6">
        <v>55</v>
      </c>
      <c r="X41" s="508"/>
      <c r="Y41" s="509"/>
      <c r="Z41" s="502"/>
      <c r="AA41" s="579" t="s">
        <v>152</v>
      </c>
      <c r="AB41" s="508"/>
      <c r="AC41" s="66"/>
      <c r="AD41" s="470"/>
      <c r="AE41" s="6"/>
      <c r="AF41" s="6"/>
      <c r="AG41" s="508"/>
      <c r="AH41" s="465"/>
      <c r="AI41" s="502"/>
      <c r="AJ41" s="6"/>
      <c r="AK41" s="508"/>
      <c r="AM41" s="470"/>
      <c r="AN41" s="6"/>
      <c r="AO41" s="6"/>
      <c r="AP41" s="47"/>
      <c r="AQ41" s="508"/>
      <c r="AR41" s="509"/>
      <c r="AS41" s="502"/>
      <c r="AT41" s="573"/>
      <c r="AU41" s="47"/>
      <c r="AV41" s="508"/>
    </row>
    <row r="42" spans="1:48" ht="33" customHeight="1" x14ac:dyDescent="0.35">
      <c r="A42" s="1477"/>
      <c r="B42" s="472">
        <v>2</v>
      </c>
      <c r="C42" s="494"/>
      <c r="D42" s="494"/>
      <c r="E42" s="494">
        <v>10</v>
      </c>
      <c r="F42" s="508"/>
      <c r="G42" s="566"/>
      <c r="H42" s="515"/>
      <c r="I42" s="573" t="s">
        <v>152</v>
      </c>
      <c r="J42" s="527"/>
      <c r="K42" s="66"/>
      <c r="L42" s="470"/>
      <c r="M42" s="6">
        <v>23</v>
      </c>
      <c r="N42" s="6"/>
      <c r="O42" s="508"/>
      <c r="P42" s="509"/>
      <c r="Q42" s="6" t="s">
        <v>276</v>
      </c>
      <c r="R42" s="6"/>
      <c r="S42" s="527"/>
      <c r="T42" s="66"/>
      <c r="U42" s="470"/>
      <c r="V42" s="6"/>
      <c r="W42" s="6">
        <v>10</v>
      </c>
      <c r="X42" s="508"/>
      <c r="Y42" s="469"/>
      <c r="Z42" s="6"/>
      <c r="AA42" s="579" t="s">
        <v>152</v>
      </c>
      <c r="AB42" s="527"/>
      <c r="AC42" s="66"/>
      <c r="AD42" s="470"/>
      <c r="AE42" s="6"/>
      <c r="AF42" s="6"/>
      <c r="AG42" s="508"/>
      <c r="AH42" s="509"/>
      <c r="AI42" s="6"/>
      <c r="AJ42" s="6"/>
      <c r="AK42" s="527"/>
      <c r="AM42" s="470"/>
      <c r="AN42" s="6">
        <v>19</v>
      </c>
      <c r="AO42" s="6"/>
      <c r="AP42" s="47"/>
      <c r="AQ42" s="508"/>
      <c r="AR42" s="509"/>
      <c r="AS42" s="6" t="s">
        <v>317</v>
      </c>
      <c r="AT42" s="6"/>
      <c r="AU42" s="527"/>
      <c r="AV42" s="508"/>
    </row>
    <row r="43" spans="1:48" ht="65.5" customHeight="1" x14ac:dyDescent="0.35">
      <c r="A43" s="1478">
        <v>45251</v>
      </c>
      <c r="B43" s="472">
        <v>1</v>
      </c>
      <c r="C43" s="494"/>
      <c r="D43" s="494"/>
      <c r="E43" s="494">
        <v>15</v>
      </c>
      <c r="F43" s="495"/>
      <c r="G43" s="514"/>
      <c r="H43" s="514"/>
      <c r="I43" s="573" t="s">
        <v>152</v>
      </c>
      <c r="J43" s="527"/>
      <c r="K43" s="66"/>
      <c r="L43" s="470"/>
      <c r="M43" s="6"/>
      <c r="N43" s="6"/>
      <c r="O43" s="508"/>
      <c r="P43" s="509"/>
      <c r="Q43" s="6"/>
      <c r="R43" s="6"/>
      <c r="S43" s="527"/>
      <c r="T43" s="66"/>
      <c r="U43" s="470"/>
      <c r="V43" s="6"/>
      <c r="W43" s="6">
        <v>21</v>
      </c>
      <c r="X43" s="508"/>
      <c r="Y43" s="509"/>
      <c r="Z43" s="6"/>
      <c r="AA43" s="579" t="s">
        <v>152</v>
      </c>
      <c r="AB43" s="527"/>
      <c r="AC43" s="66"/>
      <c r="AD43" s="470"/>
      <c r="AE43" s="6"/>
      <c r="AF43" s="6"/>
      <c r="AG43" s="508"/>
      <c r="AH43" s="502"/>
      <c r="AI43" s="515"/>
      <c r="AJ43" s="6"/>
      <c r="AK43" s="527"/>
      <c r="AM43" s="470"/>
      <c r="AN43" s="6"/>
      <c r="AO43" s="6"/>
      <c r="AP43" s="47"/>
      <c r="AQ43" s="508"/>
      <c r="AR43" s="502"/>
      <c r="AS43" s="515"/>
      <c r="AT43" s="6"/>
      <c r="AU43" s="527"/>
      <c r="AV43" s="508"/>
    </row>
    <row r="44" spans="1:48" ht="69" customHeight="1" x14ac:dyDescent="0.35">
      <c r="A44" s="1477"/>
      <c r="B44" s="472">
        <v>2</v>
      </c>
      <c r="C44" s="494"/>
      <c r="D44" s="494">
        <v>8</v>
      </c>
      <c r="E44" s="494">
        <v>22</v>
      </c>
      <c r="F44" s="495"/>
      <c r="G44" s="514"/>
      <c r="H44" s="515" t="s">
        <v>276</v>
      </c>
      <c r="I44" s="573" t="s">
        <v>152</v>
      </c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/>
      <c r="W44" s="494">
        <v>17</v>
      </c>
      <c r="X44" s="495"/>
      <c r="Y44" s="514"/>
      <c r="Z44" s="515"/>
      <c r="AA44" s="579" t="s">
        <v>152</v>
      </c>
      <c r="AB44" s="527"/>
      <c r="AC44" s="66"/>
      <c r="AD44" s="470"/>
      <c r="AE44" s="6"/>
      <c r="AF44" s="6"/>
      <c r="AG44" s="508"/>
      <c r="AH44" s="509"/>
      <c r="AI44" s="502"/>
      <c r="AJ44" s="502"/>
      <c r="AK44" s="527"/>
      <c r="AM44" s="470"/>
      <c r="AN44" s="6"/>
      <c r="AO44" s="6"/>
      <c r="AP44" s="47"/>
      <c r="AQ44" s="508"/>
      <c r="AR44" s="509"/>
      <c r="AS44" s="502"/>
      <c r="AT44" s="502"/>
      <c r="AU44" s="527"/>
      <c r="AV44" s="508"/>
    </row>
    <row r="45" spans="1:48" ht="48" customHeight="1" x14ac:dyDescent="0.35">
      <c r="A45" s="1478">
        <v>45252</v>
      </c>
      <c r="B45" s="472">
        <v>1</v>
      </c>
      <c r="C45" s="494"/>
      <c r="D45" s="494"/>
      <c r="E45" s="494">
        <v>17</v>
      </c>
      <c r="F45" s="495"/>
      <c r="G45" s="514"/>
      <c r="H45" s="514"/>
      <c r="I45" s="573" t="s">
        <v>152</v>
      </c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14"/>
      <c r="Z45" s="515"/>
      <c r="AA45" s="502"/>
      <c r="AB45" s="508"/>
      <c r="AC45" s="66"/>
      <c r="AD45" s="470"/>
      <c r="AE45" s="6"/>
      <c r="AF45" s="6"/>
      <c r="AG45" s="508"/>
      <c r="AH45" s="509"/>
      <c r="AI45" s="502"/>
      <c r="AJ45" s="502"/>
      <c r="AK45" s="508"/>
      <c r="AM45" s="470"/>
      <c r="AN45" s="6"/>
      <c r="AO45" s="6"/>
      <c r="AP45" s="47"/>
      <c r="AQ45" s="508"/>
      <c r="AR45" s="509"/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573"/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/>
      <c r="W46" s="6"/>
      <c r="X46" s="508"/>
      <c r="Y46" s="469"/>
      <c r="Z46" s="6"/>
      <c r="AA46" s="502"/>
      <c r="AB46" s="527"/>
      <c r="AC46" s="66"/>
      <c r="AD46" s="470"/>
      <c r="AE46" s="6"/>
      <c r="AF46" s="6">
        <v>15</v>
      </c>
      <c r="AG46" s="508"/>
      <c r="AH46" s="469"/>
      <c r="AI46" s="6"/>
      <c r="AJ46" s="6" t="s">
        <v>97</v>
      </c>
      <c r="AK46" s="527"/>
      <c r="AM46" s="470"/>
      <c r="AN46" s="6"/>
      <c r="AO46" s="6"/>
      <c r="AP46" s="47"/>
      <c r="AQ46" s="508"/>
      <c r="AR46" s="509"/>
      <c r="AS46" s="515"/>
      <c r="AT46" s="6"/>
      <c r="AU46" s="47"/>
      <c r="AV46" s="527"/>
    </row>
    <row r="47" spans="1:48" ht="58.95" customHeight="1" x14ac:dyDescent="0.35">
      <c r="A47" s="1478">
        <v>45253</v>
      </c>
      <c r="B47" s="472">
        <v>1</v>
      </c>
      <c r="C47" s="494"/>
      <c r="D47" s="494"/>
      <c r="E47" s="494">
        <v>16</v>
      </c>
      <c r="F47" s="495"/>
      <c r="G47" s="514"/>
      <c r="H47" s="514"/>
      <c r="I47" s="573" t="s">
        <v>152</v>
      </c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09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502"/>
      <c r="AK47" s="508"/>
      <c r="AM47" s="470"/>
      <c r="AN47" s="6"/>
      <c r="AO47" s="6"/>
      <c r="AP47" s="47"/>
      <c r="AQ47" s="508"/>
      <c r="AR47" s="509"/>
      <c r="AS47" s="515"/>
      <c r="AT47" s="6"/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27"/>
      <c r="K48" s="66"/>
      <c r="L48" s="470"/>
      <c r="M48" s="6"/>
      <c r="N48" s="6"/>
      <c r="O48" s="495"/>
      <c r="P48" s="515"/>
      <c r="Q48" s="515"/>
      <c r="R48" s="573"/>
      <c r="S48" s="527"/>
      <c r="T48" s="66"/>
      <c r="U48" s="470"/>
      <c r="V48" s="6"/>
      <c r="W48" s="6"/>
      <c r="X48" s="495"/>
      <c r="Y48" s="515"/>
      <c r="Z48" s="515"/>
      <c r="AA48" s="573"/>
      <c r="AB48" s="527"/>
      <c r="AC48" s="66"/>
      <c r="AD48" s="470"/>
      <c r="AE48" s="6"/>
      <c r="AF48" s="6"/>
      <c r="AG48" s="495"/>
      <c r="AH48" s="515"/>
      <c r="AI48" s="515"/>
      <c r="AJ48" s="573"/>
      <c r="AK48" s="527"/>
      <c r="AM48" s="470"/>
      <c r="AN48" s="6"/>
      <c r="AO48" s="470">
        <v>116</v>
      </c>
      <c r="AP48" s="6"/>
      <c r="AQ48" s="6"/>
      <c r="AR48" s="495"/>
      <c r="AS48" s="515"/>
      <c r="AT48" s="515" t="s">
        <v>521</v>
      </c>
      <c r="AU48" s="527"/>
      <c r="AV48" s="508"/>
    </row>
    <row r="49" spans="1:48" ht="36" customHeight="1" x14ac:dyDescent="0.35">
      <c r="A49" s="1478">
        <v>45254</v>
      </c>
      <c r="B49" s="472">
        <v>1</v>
      </c>
      <c r="C49" s="494"/>
      <c r="D49" s="494"/>
      <c r="E49" s="494">
        <v>52</v>
      </c>
      <c r="F49" s="495"/>
      <c r="G49" s="515"/>
      <c r="H49" s="514"/>
      <c r="I49" s="573" t="s">
        <v>152</v>
      </c>
      <c r="J49" s="527"/>
      <c r="K49" s="66"/>
      <c r="L49" s="470"/>
      <c r="M49" s="6"/>
      <c r="N49" s="6"/>
      <c r="O49" s="495"/>
      <c r="P49" s="515"/>
      <c r="Q49" s="514"/>
      <c r="R49" s="573"/>
      <c r="S49" s="527"/>
      <c r="T49" s="66"/>
      <c r="U49" s="470"/>
      <c r="V49" s="6"/>
      <c r="W49" s="6">
        <v>15</v>
      </c>
      <c r="X49" s="495"/>
      <c r="Y49" s="515"/>
      <c r="Z49" s="514"/>
      <c r="AA49" s="579" t="s">
        <v>152</v>
      </c>
      <c r="AB49" s="527"/>
      <c r="AC49" s="66"/>
      <c r="AD49" s="470"/>
      <c r="AE49" s="6"/>
      <c r="AF49" s="6"/>
      <c r="AG49" s="495"/>
      <c r="AH49" s="515"/>
      <c r="AI49" s="514"/>
      <c r="AJ49" s="573"/>
      <c r="AK49" s="527"/>
      <c r="AM49" s="470"/>
      <c r="AN49" s="6"/>
      <c r="AO49" s="6"/>
      <c r="AP49" s="495"/>
      <c r="AQ49" s="515"/>
      <c r="AR49" s="514"/>
      <c r="AS49" s="573"/>
      <c r="AT49" s="527"/>
      <c r="AU49" s="527"/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>
        <v>14</v>
      </c>
      <c r="F50" s="495"/>
      <c r="G50" s="514"/>
      <c r="H50" s="514"/>
      <c r="I50" s="573" t="s">
        <v>152</v>
      </c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>
        <v>16</v>
      </c>
      <c r="X50" s="495"/>
      <c r="Y50" s="514"/>
      <c r="Z50" s="514"/>
      <c r="AA50" s="579" t="s">
        <v>152</v>
      </c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495"/>
      <c r="AQ50" s="514"/>
      <c r="AR50" s="514"/>
      <c r="AS50" s="573"/>
      <c r="AT50" s="527"/>
      <c r="AU50" s="527"/>
      <c r="AV50" s="527"/>
    </row>
    <row r="51" spans="1:48" ht="34.950000000000003" customHeight="1" x14ac:dyDescent="0.35">
      <c r="A51" s="1478">
        <v>45255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495"/>
      <c r="P51" s="514"/>
      <c r="Q51" s="514"/>
      <c r="R51" s="573"/>
      <c r="S51" s="527"/>
      <c r="T51" s="66"/>
      <c r="U51" s="470"/>
      <c r="V51" s="6"/>
      <c r="W51" s="6"/>
      <c r="X51" s="495"/>
      <c r="Y51" s="514"/>
      <c r="Z51" s="514"/>
      <c r="AA51" s="573"/>
      <c r="AB51" s="527"/>
      <c r="AC51" s="66"/>
      <c r="AD51" s="470"/>
      <c r="AE51" s="6"/>
      <c r="AF51" s="6">
        <v>32</v>
      </c>
      <c r="AG51" s="495"/>
      <c r="AH51" s="514"/>
      <c r="AI51" s="514"/>
      <c r="AJ51" s="573" t="s">
        <v>781</v>
      </c>
      <c r="AK51" s="527"/>
      <c r="AM51" s="470"/>
      <c r="AN51" s="6"/>
      <c r="AO51" s="6"/>
      <c r="AP51" s="495"/>
      <c r="AQ51" s="514"/>
      <c r="AR51" s="514"/>
      <c r="AS51" s="573"/>
      <c r="AT51" s="527"/>
      <c r="AU51" s="527"/>
      <c r="AV51" s="508"/>
    </row>
    <row r="52" spans="1:48" ht="49.2" customHeight="1" x14ac:dyDescent="0.35">
      <c r="A52" s="1477"/>
      <c r="B52" s="472">
        <v>2</v>
      </c>
      <c r="C52" s="494"/>
      <c r="D52" s="494"/>
      <c r="E52" s="494">
        <v>21</v>
      </c>
      <c r="F52" s="495"/>
      <c r="G52" s="515"/>
      <c r="H52" s="515"/>
      <c r="I52" s="573" t="s">
        <v>152</v>
      </c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/>
      <c r="W52" s="6"/>
      <c r="X52" s="495"/>
      <c r="Y52" s="515"/>
      <c r="Z52" s="515"/>
      <c r="AA52" s="573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8"/>
      <c r="AR52" s="509"/>
      <c r="AS52" s="6"/>
      <c r="AT52" s="527"/>
      <c r="AU52" s="527"/>
      <c r="AV52" s="508"/>
    </row>
    <row r="53" spans="1:48" ht="40.200000000000003" customHeight="1" x14ac:dyDescent="0.35">
      <c r="A53" s="1478">
        <v>45256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/>
      <c r="AP53" s="47"/>
      <c r="AQ53" s="508"/>
      <c r="AR53" s="509"/>
      <c r="AS53" s="502"/>
      <c r="AT53" s="6"/>
      <c r="AU53" s="47"/>
      <c r="AV53" s="508"/>
    </row>
    <row r="54" spans="1:48" ht="39.65" customHeight="1" x14ac:dyDescent="0.35">
      <c r="A54" s="1477"/>
      <c r="B54" s="500">
        <v>2</v>
      </c>
      <c r="C54" s="494"/>
      <c r="D54" s="494">
        <v>8</v>
      </c>
      <c r="E54" s="494"/>
      <c r="F54" s="495"/>
      <c r="G54" s="514"/>
      <c r="H54" s="515" t="s">
        <v>782</v>
      </c>
      <c r="I54" s="573"/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/>
      <c r="X54" s="495"/>
      <c r="Y54" s="515"/>
      <c r="Z54" s="514"/>
      <c r="AA54" s="515"/>
      <c r="AB54" s="527"/>
      <c r="AC54" s="66"/>
      <c r="AD54" s="470"/>
      <c r="AE54" s="6"/>
      <c r="AF54" s="6"/>
      <c r="AG54" s="508"/>
      <c r="AH54" s="509"/>
      <c r="AI54" s="514"/>
      <c r="AJ54" s="6"/>
      <c r="AK54" s="527"/>
      <c r="AM54" s="470"/>
      <c r="AN54" s="6"/>
      <c r="AO54" s="6"/>
      <c r="AP54" s="47"/>
      <c r="AQ54" s="495"/>
      <c r="AR54" s="514"/>
      <c r="AS54" s="514"/>
      <c r="AT54" s="514"/>
      <c r="AU54" s="638"/>
      <c r="AV54" s="527"/>
    </row>
    <row r="55" spans="1:48" ht="39.65" customHeight="1" x14ac:dyDescent="0.35">
      <c r="A55" s="1478">
        <v>45257</v>
      </c>
      <c r="B55" s="472">
        <v>1</v>
      </c>
      <c r="C55" s="493"/>
      <c r="D55" s="494"/>
      <c r="E55" s="494">
        <v>10</v>
      </c>
      <c r="F55" s="495"/>
      <c r="G55" s="514"/>
      <c r="H55" s="514"/>
      <c r="I55" s="573" t="s">
        <v>152</v>
      </c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5"/>
      <c r="AA55" s="502"/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47"/>
      <c r="AQ55" s="508"/>
      <c r="AR55" s="509"/>
      <c r="AS55" s="515"/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>
        <v>8</v>
      </c>
      <c r="F56" s="495"/>
      <c r="G56" s="515"/>
      <c r="H56" s="515"/>
      <c r="I56" s="573" t="s">
        <v>783</v>
      </c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02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7"/>
      <c r="AQ56" s="495"/>
      <c r="AR56" s="515"/>
      <c r="AS56" s="514"/>
      <c r="AT56" s="515"/>
      <c r="AU56" s="573"/>
      <c r="AV56" s="527"/>
    </row>
    <row r="57" spans="1:48" ht="52.2" customHeight="1" x14ac:dyDescent="0.35">
      <c r="A57" s="1478">
        <v>45258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>
        <v>46</v>
      </c>
      <c r="X57" s="495"/>
      <c r="Y57" s="515"/>
      <c r="Z57" s="514"/>
      <c r="AA57" s="502" t="s">
        <v>325</v>
      </c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/>
      <c r="E58" s="494">
        <v>46</v>
      </c>
      <c r="F58" s="495"/>
      <c r="G58" s="515"/>
      <c r="H58" s="514"/>
      <c r="I58" s="573" t="s">
        <v>152</v>
      </c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/>
      <c r="X58" s="495"/>
      <c r="Y58" s="515"/>
      <c r="Z58" s="514"/>
      <c r="AA58" s="502"/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>
        <v>24</v>
      </c>
      <c r="AP58" s="47"/>
      <c r="AQ58" s="495"/>
      <c r="AR58" s="515"/>
      <c r="AS58" s="514"/>
      <c r="AT58" s="515" t="s">
        <v>567</v>
      </c>
      <c r="AU58" s="573"/>
      <c r="AV58" s="527"/>
    </row>
    <row r="59" spans="1:48" ht="73.2" customHeight="1" x14ac:dyDescent="0.35">
      <c r="A59" s="1478">
        <v>45259</v>
      </c>
      <c r="B59" s="472">
        <v>1</v>
      </c>
      <c r="C59" s="493"/>
      <c r="D59" s="494"/>
      <c r="E59" s="494">
        <v>24</v>
      </c>
      <c r="F59" s="495"/>
      <c r="G59" s="514"/>
      <c r="H59" s="514"/>
      <c r="I59" s="573" t="s">
        <v>152</v>
      </c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02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573"/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502"/>
      <c r="AB60" s="527"/>
      <c r="AC60" s="66"/>
      <c r="AD60" s="470"/>
      <c r="AE60" s="6"/>
      <c r="AF60" s="6">
        <v>8</v>
      </c>
      <c r="AG60" s="508"/>
      <c r="AH60" s="509"/>
      <c r="AI60" s="6"/>
      <c r="AJ60" s="502" t="s">
        <v>325</v>
      </c>
      <c r="AK60" s="527"/>
      <c r="AM60" s="470"/>
      <c r="AN60" s="6"/>
      <c r="AO60" s="6"/>
      <c r="AP60" s="47"/>
      <c r="AQ60" s="508"/>
      <c r="AR60" s="509"/>
      <c r="AS60" s="6"/>
      <c r="AT60" s="502"/>
      <c r="AU60" s="636"/>
      <c r="AV60" s="527"/>
    </row>
    <row r="61" spans="1:48" ht="32.5" customHeight="1" x14ac:dyDescent="0.35">
      <c r="A61" s="1478">
        <v>45260</v>
      </c>
      <c r="B61" s="472">
        <v>1</v>
      </c>
      <c r="C61" s="618"/>
      <c r="D61" s="619"/>
      <c r="E61" s="494">
        <v>10</v>
      </c>
      <c r="F61" s="620"/>
      <c r="G61" s="514"/>
      <c r="H61" s="576"/>
      <c r="I61" s="573" t="s">
        <v>152</v>
      </c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47"/>
      <c r="AQ61" s="508"/>
      <c r="AR61" s="469"/>
      <c r="AS61" s="6"/>
      <c r="AT61" s="502"/>
      <c r="AU61" s="648"/>
      <c r="AV61" s="624"/>
    </row>
    <row r="62" spans="1:48" ht="62.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>
        <v>17</v>
      </c>
      <c r="W62" s="6"/>
      <c r="X62" s="508"/>
      <c r="Y62" s="469"/>
      <c r="Z62" s="502" t="s">
        <v>784</v>
      </c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47"/>
      <c r="AQ62" s="508"/>
      <c r="AR62" s="509"/>
      <c r="AS62" s="6"/>
      <c r="AT62" s="502"/>
      <c r="AU62" s="648"/>
      <c r="AV62" s="624"/>
    </row>
    <row r="63" spans="1:48" ht="64.2" customHeight="1" x14ac:dyDescent="0.35">
      <c r="A63" s="1478"/>
      <c r="B63" s="472">
        <v>1</v>
      </c>
      <c r="C63" s="587"/>
      <c r="D63" s="588"/>
      <c r="E63" s="588"/>
      <c r="F63" s="589"/>
      <c r="G63" s="598"/>
      <c r="H63" s="590"/>
      <c r="I63" s="573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502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7"/>
      <c r="AQ63" s="495"/>
      <c r="AR63" s="566"/>
      <c r="AS63" s="514"/>
      <c r="AT63" s="514"/>
      <c r="AU63" s="649"/>
      <c r="AV63" s="586"/>
    </row>
    <row r="64" spans="1:48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647"/>
      <c r="AQ64" s="528"/>
      <c r="AR64" s="529"/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0</v>
      </c>
      <c r="D65" s="65">
        <f>SUM(D3:D64)</f>
        <v>31</v>
      </c>
      <c r="E65" s="631">
        <f>SUM(E3:E64)</f>
        <v>1372</v>
      </c>
      <c r="F65" s="65">
        <f>SUM(F3:F64)</f>
        <v>831</v>
      </c>
      <c r="L65" s="65">
        <f>SUM(L3:L64)</f>
        <v>0</v>
      </c>
      <c r="M65" s="65">
        <f>SUM(M3:M64)</f>
        <v>141</v>
      </c>
      <c r="N65" s="65">
        <f>SUM(N3:N64)</f>
        <v>0</v>
      </c>
      <c r="O65" s="65">
        <f>SUM(O3:O64)</f>
        <v>790</v>
      </c>
      <c r="U65" s="65">
        <f>SUM(U3:U64)</f>
        <v>0</v>
      </c>
      <c r="V65" s="65">
        <f>SUM(V3:V64)</f>
        <v>52</v>
      </c>
      <c r="W65" s="65">
        <f>SUM(W3:W64)</f>
        <v>1601</v>
      </c>
      <c r="X65" s="65">
        <f>SUM(X3:X64)</f>
        <v>905</v>
      </c>
      <c r="AD65" s="65">
        <f>SUM(AD3:AD64)</f>
        <v>3551</v>
      </c>
      <c r="AE65" s="65">
        <f>SUM(AE3:AE64)</f>
        <v>53</v>
      </c>
      <c r="AF65" s="65">
        <f>SUM(AF3:AF64)</f>
        <v>1550</v>
      </c>
      <c r="AG65" s="65">
        <f>SUM(AG3:AG64)</f>
        <v>795</v>
      </c>
      <c r="AM65" s="65">
        <f>SUM(AM3:AM64)</f>
        <v>2698</v>
      </c>
      <c r="AN65" s="65">
        <f>SUM(AN3:AN64)</f>
        <v>19</v>
      </c>
      <c r="AO65" s="65">
        <f>SUM(AO3:AO64)</f>
        <v>2758</v>
      </c>
      <c r="AP65" s="65"/>
      <c r="AQ65" s="65">
        <f>SUM(AQ3:AQ64)</f>
        <v>0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0</v>
      </c>
      <c r="D76" s="543">
        <f>C76/60</f>
        <v>0</v>
      </c>
      <c r="E76" s="542">
        <f>D65</f>
        <v>31</v>
      </c>
      <c r="F76" s="544">
        <f>E76/60</f>
        <v>0.51666666666666672</v>
      </c>
      <c r="G76" s="542">
        <f>E65</f>
        <v>1372</v>
      </c>
      <c r="H76" s="543">
        <f>G76/60</f>
        <v>22.866666666666667</v>
      </c>
      <c r="I76" s="542">
        <f>F65</f>
        <v>831</v>
      </c>
      <c r="J76" s="543">
        <f>I76/60</f>
        <v>13.85</v>
      </c>
    </row>
    <row r="77" spans="1:43" ht="19.5" customHeight="1" x14ac:dyDescent="0.4">
      <c r="B77" s="541" t="s">
        <v>219</v>
      </c>
      <c r="C77" s="545">
        <f>L65</f>
        <v>0</v>
      </c>
      <c r="D77" s="546">
        <f>C77/60</f>
        <v>0</v>
      </c>
      <c r="E77" s="545">
        <f>M65</f>
        <v>141</v>
      </c>
      <c r="F77" s="547">
        <f>E77/60</f>
        <v>2.35</v>
      </c>
      <c r="G77" s="545">
        <f>N65</f>
        <v>0</v>
      </c>
      <c r="H77" s="546">
        <f>G77/60</f>
        <v>0</v>
      </c>
      <c r="I77" s="545">
        <f>O65</f>
        <v>790</v>
      </c>
      <c r="J77" s="546">
        <f>I77/60</f>
        <v>13.166666666666666</v>
      </c>
    </row>
    <row r="78" spans="1:43" ht="20.25" customHeight="1" x14ac:dyDescent="0.4">
      <c r="B78" s="541" t="s">
        <v>220</v>
      </c>
      <c r="C78" s="545">
        <f>U65</f>
        <v>0</v>
      </c>
      <c r="D78" s="546">
        <f>C78/60</f>
        <v>0</v>
      </c>
      <c r="E78" s="545">
        <f>V65</f>
        <v>52</v>
      </c>
      <c r="F78" s="547">
        <f>E78/60</f>
        <v>0.8666666666666667</v>
      </c>
      <c r="G78" s="545">
        <f>W65</f>
        <v>1601</v>
      </c>
      <c r="H78" s="546">
        <f>G78/60</f>
        <v>26.683333333333334</v>
      </c>
      <c r="I78" s="545">
        <f>X65</f>
        <v>905</v>
      </c>
      <c r="J78" s="546">
        <f>I78/60</f>
        <v>15.083333333333334</v>
      </c>
    </row>
    <row r="79" spans="1:43" ht="22.5" customHeight="1" thickBot="1" x14ac:dyDescent="0.45">
      <c r="B79" s="541" t="s">
        <v>221</v>
      </c>
      <c r="C79" s="548">
        <f>AD65</f>
        <v>3551</v>
      </c>
      <c r="D79" s="549">
        <f>C79/60</f>
        <v>59.18333333333333</v>
      </c>
      <c r="E79" s="548">
        <f>AE65</f>
        <v>53</v>
      </c>
      <c r="F79" s="550">
        <f>E79/60</f>
        <v>0.8833333333333333</v>
      </c>
      <c r="G79" s="548">
        <f>AF65</f>
        <v>1550</v>
      </c>
      <c r="H79" s="549">
        <f>G79/60</f>
        <v>25.833333333333332</v>
      </c>
      <c r="I79" s="548">
        <f>AG65</f>
        <v>795</v>
      </c>
      <c r="J79" s="549">
        <f>I79/60</f>
        <v>13.25</v>
      </c>
    </row>
    <row r="80" spans="1:43" ht="22.5" customHeight="1" thickBot="1" x14ac:dyDescent="0.45">
      <c r="B80" s="541" t="s">
        <v>488</v>
      </c>
      <c r="C80" s="643">
        <f>AM65</f>
        <v>2698</v>
      </c>
      <c r="D80" s="642">
        <f>C80/60</f>
        <v>44.966666666666669</v>
      </c>
      <c r="E80" s="643">
        <f>AN65</f>
        <v>19</v>
      </c>
      <c r="F80" s="644">
        <f>E80/60</f>
        <v>0.31666666666666665</v>
      </c>
      <c r="G80" s="643">
        <f>AO65</f>
        <v>2758</v>
      </c>
      <c r="H80" s="642">
        <f>G80/60</f>
        <v>45.966666666666669</v>
      </c>
      <c r="I80" s="643">
        <f>AQ65</f>
        <v>0</v>
      </c>
      <c r="J80" s="642">
        <f>I80/60</f>
        <v>0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104.15</v>
      </c>
      <c r="E82" s="556"/>
      <c r="F82" s="557">
        <f>SUM(F76:F80)</f>
        <v>4.9333333333333336</v>
      </c>
      <c r="G82" s="556"/>
      <c r="H82" s="557">
        <f>SUM(H76:H80)</f>
        <v>121.35</v>
      </c>
      <c r="I82" s="556"/>
      <c r="J82" s="558">
        <f>AVERAGE(J76:J80)</f>
        <v>11.07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Q1"/>
    <mergeCell ref="AR1:AV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V82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10" sqref="P10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3" width="10.69140625" style="423" customWidth="1"/>
    <col min="44" max="44" width="21.15234375" style="423" customWidth="1"/>
    <col min="45" max="45" width="26.3046875" style="423" customWidth="1"/>
    <col min="46" max="46" width="27.15234375" style="423" customWidth="1"/>
    <col min="47" max="47" width="24.3828125" style="423" customWidth="1"/>
    <col min="48" max="48" width="26.53515625" style="423" customWidth="1"/>
    <col min="49" max="16384" width="8.84375" style="423"/>
  </cols>
  <sheetData>
    <row r="1" spans="1:48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3"/>
      <c r="AR1" s="1354" t="s">
        <v>206</v>
      </c>
      <c r="AS1" s="1354"/>
      <c r="AT1" s="1354"/>
      <c r="AU1" s="1354"/>
      <c r="AV1" s="1355"/>
    </row>
    <row r="2" spans="1:48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5" t="s">
        <v>204</v>
      </c>
      <c r="AR2" s="657" t="s">
        <v>199</v>
      </c>
      <c r="AS2" s="655" t="s">
        <v>200</v>
      </c>
      <c r="AT2" s="655" t="s">
        <v>201</v>
      </c>
      <c r="AU2" s="655" t="s">
        <v>204</v>
      </c>
      <c r="AV2" s="655" t="s">
        <v>204</v>
      </c>
    </row>
    <row r="3" spans="1:48" ht="78" customHeight="1" x14ac:dyDescent="0.35">
      <c r="A3" s="1478">
        <v>45261</v>
      </c>
      <c r="B3" s="501">
        <v>1</v>
      </c>
      <c r="C3" s="490"/>
      <c r="D3" s="491"/>
      <c r="E3" s="6">
        <v>5</v>
      </c>
      <c r="F3" s="492"/>
      <c r="G3" s="566"/>
      <c r="H3" s="514"/>
      <c r="I3" s="515" t="s">
        <v>325</v>
      </c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6"/>
      <c r="X3" s="508"/>
      <c r="Y3" s="469"/>
      <c r="Z3" s="521"/>
      <c r="AA3" s="515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80"/>
      <c r="AQ3" s="520"/>
      <c r="AR3" s="521"/>
      <c r="AS3" s="538"/>
      <c r="AT3" s="6"/>
      <c r="AU3" s="80"/>
      <c r="AV3" s="520"/>
    </row>
    <row r="4" spans="1:48" ht="70.2" customHeight="1" x14ac:dyDescent="0.35">
      <c r="A4" s="1477"/>
      <c r="B4" s="472">
        <v>2</v>
      </c>
      <c r="C4" s="493"/>
      <c r="D4" s="494"/>
      <c r="E4" s="494">
        <v>10</v>
      </c>
      <c r="F4" s="495"/>
      <c r="G4" s="566"/>
      <c r="H4" s="514"/>
      <c r="I4" s="641" t="s">
        <v>152</v>
      </c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>
        <v>21</v>
      </c>
      <c r="W4" s="6">
        <v>25</v>
      </c>
      <c r="X4" s="508"/>
      <c r="Y4" s="469"/>
      <c r="Z4" s="514" t="s">
        <v>785</v>
      </c>
      <c r="AA4" s="579" t="s">
        <v>786</v>
      </c>
      <c r="AB4" s="603"/>
      <c r="AC4" s="66"/>
      <c r="AD4" s="470"/>
      <c r="AE4" s="6"/>
      <c r="AF4" s="6"/>
      <c r="AG4" s="508"/>
      <c r="AH4" s="509"/>
      <c r="AI4" s="514"/>
      <c r="AJ4" s="6"/>
      <c r="AK4" s="508"/>
      <c r="AM4" s="470"/>
      <c r="AN4" s="6"/>
      <c r="AO4" s="6"/>
      <c r="AP4" s="47"/>
      <c r="AQ4" s="508"/>
      <c r="AR4" s="509"/>
      <c r="AS4" s="515"/>
      <c r="AT4" s="6"/>
      <c r="AU4" s="47"/>
      <c r="AV4" s="508"/>
    </row>
    <row r="5" spans="1:48" ht="60" customHeight="1" x14ac:dyDescent="0.35">
      <c r="A5" s="1478">
        <v>45262</v>
      </c>
      <c r="B5" s="472">
        <v>1</v>
      </c>
      <c r="C5" s="493"/>
      <c r="D5" s="494">
        <v>15</v>
      </c>
      <c r="E5" s="494">
        <v>11</v>
      </c>
      <c r="F5" s="495"/>
      <c r="G5" s="565"/>
      <c r="H5" s="565" t="s">
        <v>787</v>
      </c>
      <c r="I5" s="641" t="s">
        <v>152</v>
      </c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>
        <v>44</v>
      </c>
      <c r="X5" s="508"/>
      <c r="Y5" s="469"/>
      <c r="Z5" s="6"/>
      <c r="AA5" s="579" t="s">
        <v>788</v>
      </c>
      <c r="AB5" s="604"/>
      <c r="AC5" s="66"/>
      <c r="AD5" s="470"/>
      <c r="AE5" s="6"/>
      <c r="AF5" s="6"/>
      <c r="AG5" s="508"/>
      <c r="AH5" s="509"/>
      <c r="AI5" s="6"/>
      <c r="AJ5" s="661"/>
      <c r="AK5" s="508"/>
      <c r="AM5" s="470"/>
      <c r="AN5" s="6"/>
      <c r="AO5" s="6"/>
      <c r="AP5" s="47"/>
      <c r="AQ5" s="508"/>
      <c r="AR5" s="509"/>
      <c r="AS5" s="6"/>
      <c r="AT5" s="502"/>
      <c r="AU5" s="636"/>
      <c r="AV5" s="526"/>
    </row>
    <row r="6" spans="1:48" ht="80.5" customHeight="1" x14ac:dyDescent="0.35">
      <c r="A6" s="1477"/>
      <c r="B6" s="472">
        <v>2</v>
      </c>
      <c r="C6" s="493">
        <v>256</v>
      </c>
      <c r="D6" s="494"/>
      <c r="E6" s="494">
        <v>11</v>
      </c>
      <c r="F6" s="495"/>
      <c r="G6" s="566" t="s">
        <v>789</v>
      </c>
      <c r="H6" s="514"/>
      <c r="I6" s="641" t="s">
        <v>152</v>
      </c>
      <c r="J6" s="568"/>
      <c r="K6" s="66"/>
      <c r="L6" s="470">
        <v>278</v>
      </c>
      <c r="M6" s="6"/>
      <c r="N6" s="6"/>
      <c r="O6" s="508"/>
      <c r="P6" s="509" t="s">
        <v>789</v>
      </c>
      <c r="Q6" s="514"/>
      <c r="R6" s="6"/>
      <c r="S6" s="508"/>
      <c r="T6" s="66"/>
      <c r="U6" s="470">
        <v>623</v>
      </c>
      <c r="V6" s="6"/>
      <c r="W6" s="6"/>
      <c r="X6" s="508"/>
      <c r="Y6" s="509" t="s">
        <v>789</v>
      </c>
      <c r="Z6" s="6"/>
      <c r="AA6" s="579"/>
      <c r="AB6" s="508"/>
      <c r="AC6" s="66"/>
      <c r="AD6" s="470">
        <v>262</v>
      </c>
      <c r="AE6" s="6"/>
      <c r="AF6" s="6">
        <v>5</v>
      </c>
      <c r="AG6" s="508"/>
      <c r="AH6" s="509" t="s">
        <v>789</v>
      </c>
      <c r="AI6" s="6"/>
      <c r="AJ6" s="6" t="s">
        <v>336</v>
      </c>
      <c r="AK6" s="508"/>
      <c r="AM6" s="470">
        <v>275</v>
      </c>
      <c r="AN6" s="6"/>
      <c r="AO6" s="6"/>
      <c r="AP6" s="47"/>
      <c r="AQ6" s="508"/>
      <c r="AR6" s="509" t="s">
        <v>789</v>
      </c>
      <c r="AS6" s="6"/>
      <c r="AT6" s="502"/>
      <c r="AU6" s="636"/>
      <c r="AV6" s="526"/>
    </row>
    <row r="7" spans="1:48" ht="71.5" customHeight="1" x14ac:dyDescent="0.35">
      <c r="A7" s="1478">
        <v>45263</v>
      </c>
      <c r="B7" s="472">
        <v>1</v>
      </c>
      <c r="C7" s="493"/>
      <c r="D7" s="494"/>
      <c r="E7" s="494">
        <v>32</v>
      </c>
      <c r="F7" s="495"/>
      <c r="G7" s="566"/>
      <c r="H7" s="660"/>
      <c r="I7" s="641" t="s">
        <v>152</v>
      </c>
      <c r="J7" s="568"/>
      <c r="K7" s="66"/>
      <c r="L7" s="470"/>
      <c r="M7" s="509"/>
      <c r="N7" s="6"/>
      <c r="O7" s="508"/>
      <c r="P7" s="509"/>
      <c r="Q7" s="660"/>
      <c r="R7" s="6"/>
      <c r="S7" s="508"/>
      <c r="T7" s="66"/>
      <c r="U7" s="470"/>
      <c r="V7" s="6"/>
      <c r="W7" s="6">
        <v>16</v>
      </c>
      <c r="X7" s="508"/>
      <c r="Y7" s="509"/>
      <c r="Z7" s="660"/>
      <c r="AA7" s="579" t="s">
        <v>790</v>
      </c>
      <c r="AB7" s="508"/>
      <c r="AC7" s="66"/>
      <c r="AD7" s="470"/>
      <c r="AE7" s="6"/>
      <c r="AF7" s="6"/>
      <c r="AG7" s="508"/>
      <c r="AH7" s="509"/>
      <c r="AI7" s="660"/>
      <c r="AJ7" s="6"/>
      <c r="AK7" s="508"/>
      <c r="AM7" s="470"/>
      <c r="AN7" s="6"/>
      <c r="AO7" s="6"/>
      <c r="AP7" s="47"/>
      <c r="AQ7" s="508"/>
      <c r="AR7" s="509"/>
      <c r="AS7" s="660"/>
      <c r="AT7" s="515"/>
      <c r="AU7" s="573"/>
      <c r="AV7" s="526"/>
    </row>
    <row r="8" spans="1:48" ht="69.650000000000006" customHeight="1" x14ac:dyDescent="0.35">
      <c r="A8" s="1477"/>
      <c r="B8" s="472">
        <v>2</v>
      </c>
      <c r="C8" s="493"/>
      <c r="D8" s="494"/>
      <c r="E8" s="494">
        <v>25</v>
      </c>
      <c r="F8" s="495"/>
      <c r="G8" s="565"/>
      <c r="H8" s="515"/>
      <c r="I8" s="641" t="s">
        <v>152</v>
      </c>
      <c r="J8" s="527"/>
      <c r="K8" s="66"/>
      <c r="L8" s="470"/>
      <c r="M8" s="6"/>
      <c r="N8" s="6"/>
      <c r="O8" s="508"/>
      <c r="P8" s="469"/>
      <c r="Q8" s="502"/>
      <c r="R8" s="502"/>
      <c r="S8" s="527"/>
      <c r="T8" s="66"/>
      <c r="U8" s="470"/>
      <c r="V8" s="639"/>
      <c r="W8" s="509"/>
      <c r="X8" s="508"/>
      <c r="Y8" s="469"/>
      <c r="Z8" s="6"/>
      <c r="AA8" s="579"/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/>
      <c r="AN8" s="6"/>
      <c r="AO8" s="6"/>
      <c r="AP8" s="47"/>
      <c r="AQ8" s="508"/>
      <c r="AR8" s="509"/>
      <c r="AS8" s="6"/>
      <c r="AT8" s="6"/>
      <c r="AU8" s="47"/>
      <c r="AV8" s="526"/>
    </row>
    <row r="9" spans="1:48" ht="76.95" customHeight="1" x14ac:dyDescent="0.35">
      <c r="A9" s="1478">
        <v>45264</v>
      </c>
      <c r="B9" s="472">
        <v>1</v>
      </c>
      <c r="C9" s="493"/>
      <c r="D9" s="494"/>
      <c r="E9" s="494">
        <v>41</v>
      </c>
      <c r="F9" s="495"/>
      <c r="G9" s="565"/>
      <c r="H9" s="514"/>
      <c r="I9" s="641" t="s">
        <v>152</v>
      </c>
      <c r="J9" s="527"/>
      <c r="K9" s="66"/>
      <c r="L9" s="470"/>
      <c r="M9" s="6"/>
      <c r="N9" s="6"/>
      <c r="O9" s="508"/>
      <c r="P9" s="469"/>
      <c r="Q9" s="515"/>
      <c r="R9" s="502"/>
      <c r="S9" s="527"/>
      <c r="T9" s="66"/>
      <c r="U9" s="470"/>
      <c r="V9" s="6"/>
      <c r="W9" s="6"/>
      <c r="X9" s="508"/>
      <c r="Y9" s="509"/>
      <c r="Z9" s="6"/>
      <c r="AA9" s="579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508"/>
      <c r="AR9" s="509"/>
      <c r="AS9" s="6"/>
      <c r="AT9" s="6"/>
      <c r="AU9" s="636"/>
      <c r="AV9" s="526"/>
    </row>
    <row r="10" spans="1:48" ht="67.2" customHeight="1" x14ac:dyDescent="0.35">
      <c r="A10" s="1477"/>
      <c r="B10" s="472">
        <v>2</v>
      </c>
      <c r="C10" s="493"/>
      <c r="D10" s="494"/>
      <c r="E10" s="494">
        <v>34</v>
      </c>
      <c r="F10" s="495"/>
      <c r="G10" s="566"/>
      <c r="H10" s="514"/>
      <c r="I10" s="641" t="s">
        <v>152</v>
      </c>
      <c r="J10" s="527"/>
      <c r="K10" s="66"/>
      <c r="L10" s="470">
        <v>181</v>
      </c>
      <c r="M10" s="6"/>
      <c r="N10" s="6"/>
      <c r="O10" s="508"/>
      <c r="P10" s="469" t="s">
        <v>513</v>
      </c>
      <c r="Q10" s="6"/>
      <c r="R10" s="502"/>
      <c r="S10" s="527"/>
      <c r="T10" s="66"/>
      <c r="U10" s="470"/>
      <c r="V10" s="6"/>
      <c r="W10" s="6">
        <v>22</v>
      </c>
      <c r="X10" s="508"/>
      <c r="Y10" s="465"/>
      <c r="Z10" s="469"/>
      <c r="AA10" s="579" t="s">
        <v>152</v>
      </c>
      <c r="AB10" s="527"/>
      <c r="AC10" s="66"/>
      <c r="AD10" s="470"/>
      <c r="AE10" s="6"/>
      <c r="AF10" s="6"/>
      <c r="AG10" s="508"/>
      <c r="AH10" s="469"/>
      <c r="AI10" s="502"/>
      <c r="AJ10" s="6"/>
      <c r="AK10" s="527"/>
      <c r="AM10" s="470"/>
      <c r="AN10" s="6"/>
      <c r="AO10" s="6"/>
      <c r="AP10" s="47"/>
      <c r="AQ10" s="508"/>
      <c r="AR10" s="509"/>
      <c r="AS10" s="6"/>
      <c r="AT10" s="502"/>
      <c r="AU10" s="47"/>
      <c r="AV10" s="526"/>
    </row>
    <row r="11" spans="1:48" ht="60" customHeight="1" x14ac:dyDescent="0.35">
      <c r="A11" s="1478">
        <v>45265</v>
      </c>
      <c r="B11" s="472">
        <v>1</v>
      </c>
      <c r="C11" s="493"/>
      <c r="D11" s="494"/>
      <c r="E11" s="494">
        <v>60</v>
      </c>
      <c r="F11" s="495"/>
      <c r="G11" s="565"/>
      <c r="H11" s="514"/>
      <c r="I11" s="641" t="s">
        <v>152</v>
      </c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>
        <v>3</v>
      </c>
      <c r="X11" s="508"/>
      <c r="Y11" s="509"/>
      <c r="Z11" s="6"/>
      <c r="AA11" s="579" t="s">
        <v>152</v>
      </c>
      <c r="AB11" s="508"/>
      <c r="AC11" s="66"/>
      <c r="AD11" s="470"/>
      <c r="AE11" s="6"/>
      <c r="AF11" s="6">
        <v>44</v>
      </c>
      <c r="AG11" s="508"/>
      <c r="AH11" s="509"/>
      <c r="AI11" s="6"/>
      <c r="AJ11" s="502" t="s">
        <v>791</v>
      </c>
      <c r="AK11" s="508"/>
      <c r="AM11" s="470"/>
      <c r="AN11" s="6"/>
      <c r="AO11" s="6"/>
      <c r="AP11" s="47"/>
      <c r="AQ11" s="508"/>
      <c r="AR11" s="509"/>
      <c r="AS11" s="6"/>
      <c r="AT11" s="6"/>
      <c r="AU11" s="47"/>
      <c r="AV11" s="526"/>
    </row>
    <row r="12" spans="1:48" ht="55.2" customHeight="1" x14ac:dyDescent="0.35">
      <c r="A12" s="1477"/>
      <c r="B12" s="472">
        <v>2</v>
      </c>
      <c r="C12" s="493">
        <v>506</v>
      </c>
      <c r="D12" s="494"/>
      <c r="E12" s="494">
        <v>18</v>
      </c>
      <c r="F12" s="495"/>
      <c r="G12" s="566" t="s">
        <v>513</v>
      </c>
      <c r="H12" s="514"/>
      <c r="I12" s="641" t="s">
        <v>152</v>
      </c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>
        <v>30</v>
      </c>
      <c r="X12" s="508"/>
      <c r="Y12" s="509"/>
      <c r="Z12" s="6"/>
      <c r="AA12" s="579" t="s">
        <v>152</v>
      </c>
      <c r="AB12" s="527"/>
      <c r="AC12" s="66"/>
      <c r="AD12" s="470"/>
      <c r="AE12" s="6"/>
      <c r="AF12" s="6">
        <v>12</v>
      </c>
      <c r="AG12" s="508"/>
      <c r="AH12" s="509"/>
      <c r="AI12" s="502"/>
      <c r="AJ12" s="502" t="s">
        <v>336</v>
      </c>
      <c r="AK12" s="527"/>
      <c r="AM12" s="470"/>
      <c r="AN12" s="6"/>
      <c r="AO12" s="6"/>
      <c r="AP12" s="47"/>
      <c r="AQ12" s="508"/>
      <c r="AR12" s="509"/>
      <c r="AS12" s="6"/>
      <c r="AT12" s="6"/>
      <c r="AU12" s="47"/>
      <c r="AV12" s="527"/>
    </row>
    <row r="13" spans="1:48" ht="34.950000000000003" customHeight="1" x14ac:dyDescent="0.35">
      <c r="A13" s="1478">
        <v>45266</v>
      </c>
      <c r="B13" s="472">
        <v>1</v>
      </c>
      <c r="C13" s="493"/>
      <c r="D13" s="494"/>
      <c r="E13" s="494">
        <v>8</v>
      </c>
      <c r="F13" s="495"/>
      <c r="G13" s="566"/>
      <c r="H13" s="514"/>
      <c r="I13" s="641" t="s">
        <v>152</v>
      </c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>
        <v>8</v>
      </c>
      <c r="X13" s="495"/>
      <c r="Y13" s="469"/>
      <c r="Z13" s="502"/>
      <c r="AA13" s="579" t="s">
        <v>336</v>
      </c>
      <c r="AB13" s="527"/>
      <c r="AC13" s="66"/>
      <c r="AD13" s="470"/>
      <c r="AE13" s="6"/>
      <c r="AF13" s="6">
        <v>15</v>
      </c>
      <c r="AG13" s="495"/>
      <c r="AH13" s="509"/>
      <c r="AI13" s="6"/>
      <c r="AJ13" s="502" t="s">
        <v>336</v>
      </c>
      <c r="AK13" s="527"/>
      <c r="AM13" s="470"/>
      <c r="AN13" s="6"/>
      <c r="AO13" s="6">
        <v>15</v>
      </c>
      <c r="AP13" s="47"/>
      <c r="AQ13" s="495"/>
      <c r="AR13" s="509"/>
      <c r="AS13" s="6"/>
      <c r="AT13" s="6" t="s">
        <v>97</v>
      </c>
      <c r="AU13" s="47"/>
      <c r="AV13" s="527"/>
    </row>
    <row r="14" spans="1:48" ht="49.2" customHeight="1" x14ac:dyDescent="0.35">
      <c r="A14" s="1477"/>
      <c r="B14" s="472">
        <v>2</v>
      </c>
      <c r="C14" s="493"/>
      <c r="D14" s="494"/>
      <c r="E14" s="494">
        <v>10</v>
      </c>
      <c r="F14" s="495"/>
      <c r="G14" s="566"/>
      <c r="H14" s="515"/>
      <c r="I14" s="641" t="s">
        <v>152</v>
      </c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79"/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/>
      <c r="AN14" s="6"/>
      <c r="AO14" s="6"/>
      <c r="AP14" s="47"/>
      <c r="AQ14" s="495"/>
      <c r="AR14" s="469"/>
      <c r="AS14" s="6"/>
      <c r="AT14" s="6"/>
      <c r="AU14" s="47"/>
      <c r="AV14" s="527"/>
    </row>
    <row r="15" spans="1:48" ht="48" customHeight="1" x14ac:dyDescent="0.35">
      <c r="A15" s="1478">
        <v>45267</v>
      </c>
      <c r="B15" s="472">
        <v>1</v>
      </c>
      <c r="C15" s="493"/>
      <c r="D15" s="494"/>
      <c r="E15" s="6">
        <v>46</v>
      </c>
      <c r="F15" s="495"/>
      <c r="G15" s="566"/>
      <c r="H15" s="515"/>
      <c r="I15" s="641" t="s">
        <v>152</v>
      </c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/>
      <c r="V15" s="6"/>
      <c r="W15" s="6">
        <v>7</v>
      </c>
      <c r="X15" s="495"/>
      <c r="Y15" s="566"/>
      <c r="Z15" s="515"/>
      <c r="AA15" s="579" t="s">
        <v>152</v>
      </c>
      <c r="AB15" s="527"/>
      <c r="AC15" s="66"/>
      <c r="AD15" s="470"/>
      <c r="AE15" s="6"/>
      <c r="AF15" s="66"/>
      <c r="AG15" s="495"/>
      <c r="AH15" s="566"/>
      <c r="AI15" s="515"/>
      <c r="AJ15" s="515"/>
      <c r="AK15" s="527"/>
      <c r="AM15" s="470"/>
      <c r="AN15" s="6"/>
      <c r="AO15" s="66"/>
      <c r="AP15" s="495"/>
      <c r="AQ15" s="566"/>
      <c r="AR15" s="515"/>
      <c r="AS15" s="515"/>
      <c r="AT15" s="515"/>
      <c r="AU15" s="527"/>
      <c r="AV15" s="527"/>
    </row>
    <row r="16" spans="1:48" ht="54.65" customHeight="1" x14ac:dyDescent="0.35">
      <c r="A16" s="1477"/>
      <c r="B16" s="472">
        <v>2</v>
      </c>
      <c r="C16" s="493"/>
      <c r="D16" s="494"/>
      <c r="E16" s="494">
        <v>18</v>
      </c>
      <c r="F16" s="495"/>
      <c r="G16" s="565"/>
      <c r="H16" s="638"/>
      <c r="I16" s="641" t="s">
        <v>152</v>
      </c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/>
      <c r="W16" s="6"/>
      <c r="X16" s="495"/>
      <c r="Y16" s="565"/>
      <c r="Z16" s="638"/>
      <c r="AA16" s="515"/>
      <c r="AB16" s="527"/>
      <c r="AC16" s="66"/>
      <c r="AD16" s="470">
        <v>15</v>
      </c>
      <c r="AE16" s="6"/>
      <c r="AF16" s="6"/>
      <c r="AG16" s="495"/>
      <c r="AH16" s="566" t="s">
        <v>113</v>
      </c>
      <c r="AI16" s="638"/>
      <c r="AJ16" s="6"/>
      <c r="AK16" s="527"/>
      <c r="AM16" s="470"/>
      <c r="AN16" s="6"/>
      <c r="AO16" s="6"/>
      <c r="AP16" s="495"/>
      <c r="AQ16" s="565"/>
      <c r="AR16" s="638"/>
      <c r="AS16" s="515"/>
      <c r="AT16" s="515"/>
      <c r="AU16" s="573"/>
      <c r="AV16" s="527"/>
    </row>
    <row r="17" spans="1:48" ht="66" customHeight="1" x14ac:dyDescent="0.35">
      <c r="A17" s="1478">
        <v>45268</v>
      </c>
      <c r="B17" s="534">
        <v>1</v>
      </c>
      <c r="C17" s="493"/>
      <c r="D17" s="494">
        <v>15</v>
      </c>
      <c r="E17" s="494">
        <v>24</v>
      </c>
      <c r="F17" s="495"/>
      <c r="G17" s="566"/>
      <c r="H17" s="514" t="s">
        <v>792</v>
      </c>
      <c r="I17" s="641" t="s">
        <v>152</v>
      </c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/>
      <c r="X17" s="495"/>
      <c r="Y17" s="566"/>
      <c r="Z17" s="514"/>
      <c r="AA17" s="579"/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495"/>
      <c r="AQ17" s="566"/>
      <c r="AR17" s="514"/>
      <c r="AS17" s="515"/>
      <c r="AT17" s="579"/>
      <c r="AU17" s="527"/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>
        <v>35</v>
      </c>
      <c r="F18" s="495"/>
      <c r="G18" s="565"/>
      <c r="H18" s="638"/>
      <c r="I18" s="641" t="s">
        <v>793</v>
      </c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6">
        <v>5</v>
      </c>
      <c r="X18" s="495"/>
      <c r="Y18" s="565"/>
      <c r="Z18" s="515"/>
      <c r="AA18" s="579" t="s">
        <v>794</v>
      </c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>
        <v>5</v>
      </c>
      <c r="AP18" s="47"/>
      <c r="AQ18" s="495"/>
      <c r="AR18" s="565"/>
      <c r="AS18" s="515"/>
      <c r="AT18" s="579" t="s">
        <v>794</v>
      </c>
      <c r="AU18" s="638"/>
      <c r="AV18" s="527"/>
    </row>
    <row r="19" spans="1:48" ht="33.65" customHeight="1" x14ac:dyDescent="0.35">
      <c r="A19" s="1478">
        <v>45269</v>
      </c>
      <c r="B19" s="472">
        <v>1</v>
      </c>
      <c r="C19" s="66"/>
      <c r="D19" s="494"/>
      <c r="E19" s="494">
        <v>5</v>
      </c>
      <c r="F19" s="495"/>
      <c r="G19" s="465"/>
      <c r="H19" s="6"/>
      <c r="I19" s="641" t="s">
        <v>152</v>
      </c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>
        <v>12</v>
      </c>
      <c r="X19" s="495"/>
      <c r="Y19" s="470"/>
      <c r="Z19" s="502"/>
      <c r="AA19" s="579" t="s">
        <v>152</v>
      </c>
      <c r="AB19" s="527"/>
      <c r="AC19" s="66"/>
      <c r="AD19" s="470"/>
      <c r="AE19" s="6"/>
      <c r="AF19" s="6"/>
      <c r="AG19" s="495"/>
      <c r="AH19" s="470"/>
      <c r="AI19" s="6"/>
      <c r="AJ19" s="579"/>
      <c r="AK19" s="527"/>
      <c r="AM19" s="470"/>
      <c r="AN19" s="6"/>
      <c r="AO19" s="6"/>
      <c r="AP19" s="47"/>
      <c r="AQ19" s="495"/>
      <c r="AR19" s="470"/>
      <c r="AS19" s="6"/>
      <c r="AT19" s="515"/>
      <c r="AU19" s="636"/>
      <c r="AV19" s="527"/>
    </row>
    <row r="20" spans="1:48" ht="31.2" customHeight="1" x14ac:dyDescent="0.35">
      <c r="A20" s="1477"/>
      <c r="B20" s="472">
        <v>2</v>
      </c>
      <c r="C20" s="493"/>
      <c r="D20" s="494">
        <v>15</v>
      </c>
      <c r="E20" s="494">
        <v>17</v>
      </c>
      <c r="F20" s="495"/>
      <c r="G20" s="465"/>
      <c r="H20" s="502"/>
      <c r="I20" s="641" t="s">
        <v>152</v>
      </c>
      <c r="J20" s="527"/>
      <c r="K20" s="66"/>
      <c r="L20" s="470"/>
      <c r="M20" s="6"/>
      <c r="N20" s="6"/>
      <c r="O20" s="495"/>
      <c r="P20" s="470"/>
      <c r="Q20" s="502"/>
      <c r="R20" s="605"/>
      <c r="S20" s="527"/>
      <c r="T20" s="66"/>
      <c r="U20" s="470"/>
      <c r="V20" s="214"/>
      <c r="W20" s="6"/>
      <c r="X20" s="495"/>
      <c r="Y20" s="470"/>
      <c r="Z20" s="502"/>
      <c r="AA20" s="579"/>
      <c r="AB20" s="527"/>
      <c r="AC20" s="66"/>
      <c r="AD20" s="470"/>
      <c r="AE20" s="6"/>
      <c r="AF20" s="6"/>
      <c r="AG20" s="495"/>
      <c r="AH20" s="470"/>
      <c r="AI20" s="502"/>
      <c r="AJ20" s="579"/>
      <c r="AK20" s="527"/>
      <c r="AM20" s="470"/>
      <c r="AN20" s="6"/>
      <c r="AO20" s="6">
        <v>24</v>
      </c>
      <c r="AP20" s="47"/>
      <c r="AQ20" s="495">
        <v>36</v>
      </c>
      <c r="AR20" s="470"/>
      <c r="AS20" s="502"/>
      <c r="AT20" s="502" t="s">
        <v>97</v>
      </c>
      <c r="AU20" s="645" t="s">
        <v>795</v>
      </c>
      <c r="AV20" s="527"/>
    </row>
    <row r="21" spans="1:48" ht="39.65" customHeight="1" x14ac:dyDescent="0.35">
      <c r="A21" s="1478">
        <v>45270</v>
      </c>
      <c r="B21" s="472">
        <v>1</v>
      </c>
      <c r="C21" s="493"/>
      <c r="D21" s="494"/>
      <c r="E21" s="494"/>
      <c r="F21" s="495"/>
      <c r="G21" s="569"/>
      <c r="H21" s="514"/>
      <c r="I21" s="641"/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65"/>
      <c r="Z21" s="6"/>
      <c r="AA21" s="579"/>
      <c r="AB21" s="527"/>
      <c r="AC21" s="66"/>
      <c r="AD21" s="470"/>
      <c r="AE21" s="6"/>
      <c r="AF21" s="6"/>
      <c r="AG21" s="495"/>
      <c r="AH21" s="470"/>
      <c r="AI21" s="6"/>
      <c r="AJ21" s="641"/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31.95" customHeight="1" x14ac:dyDescent="0.35">
      <c r="A22" s="1477"/>
      <c r="B22" s="472">
        <v>2</v>
      </c>
      <c r="C22" s="493"/>
      <c r="D22" s="494"/>
      <c r="E22" s="494">
        <v>47</v>
      </c>
      <c r="F22" s="495"/>
      <c r="G22" s="562"/>
      <c r="H22" s="515"/>
      <c r="I22" s="641" t="s">
        <v>796</v>
      </c>
      <c r="J22" s="527"/>
      <c r="K22" s="66"/>
      <c r="L22" s="470"/>
      <c r="M22" s="6"/>
      <c r="N22" s="6"/>
      <c r="O22" s="495"/>
      <c r="P22" s="469"/>
      <c r="Q22" s="6"/>
      <c r="R22" s="6"/>
      <c r="S22" s="527"/>
      <c r="T22" s="66"/>
      <c r="U22" s="470"/>
      <c r="V22" s="6"/>
      <c r="W22" s="6">
        <v>7</v>
      </c>
      <c r="X22" s="495"/>
      <c r="Y22" s="465"/>
      <c r="Z22" s="6"/>
      <c r="AA22" s="579" t="s">
        <v>152</v>
      </c>
      <c r="AB22" s="527"/>
      <c r="AC22" s="66"/>
      <c r="AD22" s="470"/>
      <c r="AE22" s="6"/>
      <c r="AF22" s="6"/>
      <c r="AG22" s="495"/>
      <c r="AH22" s="465"/>
      <c r="AI22" s="6"/>
      <c r="AJ22" s="579"/>
      <c r="AK22" s="607"/>
      <c r="AM22" s="470"/>
      <c r="AN22" s="6"/>
      <c r="AO22" s="6"/>
      <c r="AP22" s="47"/>
      <c r="AQ22" s="495"/>
      <c r="AR22" s="470"/>
      <c r="AS22" s="502"/>
      <c r="AT22" s="47"/>
      <c r="AU22" s="47"/>
      <c r="AV22" s="527"/>
    </row>
    <row r="23" spans="1:48" ht="47.5" customHeight="1" x14ac:dyDescent="0.35">
      <c r="A23" s="1478">
        <v>45271</v>
      </c>
      <c r="B23" s="534">
        <v>1</v>
      </c>
      <c r="C23" s="493"/>
      <c r="D23" s="494"/>
      <c r="E23" s="494">
        <v>15</v>
      </c>
      <c r="F23" s="495"/>
      <c r="G23" s="566"/>
      <c r="H23" s="514"/>
      <c r="I23" s="641" t="s">
        <v>152</v>
      </c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465"/>
      <c r="Z23" s="514"/>
      <c r="AA23" s="579"/>
      <c r="AB23" s="527"/>
      <c r="AC23" s="66"/>
      <c r="AD23" s="470"/>
      <c r="AE23" s="6"/>
      <c r="AF23" s="6"/>
      <c r="AG23" s="495"/>
      <c r="AH23" s="6"/>
      <c r="AI23" s="514"/>
      <c r="AJ23" s="515"/>
      <c r="AK23" s="607"/>
      <c r="AM23" s="470"/>
      <c r="AN23" s="6"/>
      <c r="AO23" s="6"/>
      <c r="AP23" s="47"/>
      <c r="AQ23" s="495"/>
      <c r="AR23" s="6"/>
      <c r="AS23" s="514"/>
      <c r="AT23" s="573"/>
      <c r="AU23" s="573"/>
      <c r="AV23" s="527"/>
    </row>
    <row r="24" spans="1:48" ht="49.95" customHeight="1" x14ac:dyDescent="0.35">
      <c r="A24" s="1477"/>
      <c r="B24" s="472">
        <v>2</v>
      </c>
      <c r="C24" s="493"/>
      <c r="D24" s="494"/>
      <c r="E24" s="494">
        <v>27</v>
      </c>
      <c r="F24" s="495"/>
      <c r="G24" s="566"/>
      <c r="H24" s="514"/>
      <c r="I24" s="641" t="s">
        <v>796</v>
      </c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>
        <v>36</v>
      </c>
      <c r="X24" s="495"/>
      <c r="Y24" s="566"/>
      <c r="Z24" s="514"/>
      <c r="AA24" s="641" t="s">
        <v>796</v>
      </c>
      <c r="AB24" s="527"/>
      <c r="AC24" s="66"/>
      <c r="AD24" s="470"/>
      <c r="AE24" s="6"/>
      <c r="AF24" s="6"/>
      <c r="AG24" s="495"/>
      <c r="AH24" s="566"/>
      <c r="AI24" s="514"/>
      <c r="AJ24" s="515"/>
      <c r="AK24" s="527"/>
      <c r="AM24" s="470"/>
      <c r="AN24" s="6"/>
      <c r="AO24" s="6"/>
      <c r="AP24" s="495"/>
      <c r="AQ24" s="566"/>
      <c r="AR24" s="514"/>
      <c r="AS24" s="514"/>
      <c r="AT24" s="527"/>
      <c r="AU24" s="527"/>
      <c r="AV24" s="527"/>
    </row>
    <row r="25" spans="1:48" ht="46.2" customHeight="1" x14ac:dyDescent="0.35">
      <c r="A25" s="1478">
        <v>45272</v>
      </c>
      <c r="B25" s="472">
        <v>1</v>
      </c>
      <c r="C25" s="493"/>
      <c r="D25" s="494"/>
      <c r="E25" s="494">
        <v>27</v>
      </c>
      <c r="F25" s="495">
        <v>158</v>
      </c>
      <c r="G25" s="566"/>
      <c r="H25" s="514"/>
      <c r="I25" s="641" t="s">
        <v>152</v>
      </c>
      <c r="J25" s="527" t="s">
        <v>797</v>
      </c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>
        <v>7</v>
      </c>
      <c r="X25" s="495">
        <v>375</v>
      </c>
      <c r="Y25" s="465"/>
      <c r="Z25" s="502"/>
      <c r="AA25" s="579" t="s">
        <v>152</v>
      </c>
      <c r="AB25" s="527" t="s">
        <v>797</v>
      </c>
      <c r="AC25" s="66"/>
      <c r="AD25" s="470"/>
      <c r="AE25" s="6"/>
      <c r="AF25" s="6"/>
      <c r="AG25" s="495"/>
      <c r="AH25" s="6"/>
      <c r="AI25" s="502"/>
      <c r="AJ25" s="515"/>
      <c r="AK25" s="607"/>
      <c r="AM25" s="470"/>
      <c r="AN25" s="6"/>
      <c r="AO25" s="6"/>
      <c r="AP25" s="47"/>
      <c r="AQ25" s="495"/>
      <c r="AR25" s="6"/>
      <c r="AS25" s="6"/>
      <c r="AT25" s="47"/>
      <c r="AU25" s="47"/>
      <c r="AV25" s="527"/>
    </row>
    <row r="26" spans="1:48" ht="42" customHeight="1" x14ac:dyDescent="0.35">
      <c r="A26" s="1477"/>
      <c r="B26" s="472">
        <v>2</v>
      </c>
      <c r="C26" s="493"/>
      <c r="D26" s="494"/>
      <c r="E26" s="494">
        <v>38</v>
      </c>
      <c r="F26" s="495"/>
      <c r="G26" s="566"/>
      <c r="H26" s="515"/>
      <c r="I26" s="641" t="s">
        <v>796</v>
      </c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/>
      <c r="V26" s="494">
        <v>20</v>
      </c>
      <c r="W26" s="6"/>
      <c r="X26" s="495">
        <v>165</v>
      </c>
      <c r="Y26" s="566"/>
      <c r="Z26" s="515" t="s">
        <v>798</v>
      </c>
      <c r="AA26" s="579"/>
      <c r="AB26" s="527" t="s">
        <v>797</v>
      </c>
      <c r="AC26" s="66"/>
      <c r="AD26" s="470"/>
      <c r="AE26" s="494"/>
      <c r="AF26" s="6">
        <v>40</v>
      </c>
      <c r="AG26" s="495"/>
      <c r="AH26" s="566"/>
      <c r="AI26" s="515"/>
      <c r="AJ26" s="573" t="s">
        <v>799</v>
      </c>
      <c r="AK26" s="527"/>
      <c r="AM26" s="470"/>
      <c r="AN26" s="494"/>
      <c r="AO26" s="6"/>
      <c r="AP26" s="651"/>
      <c r="AQ26" s="495"/>
      <c r="AR26" s="566"/>
      <c r="AS26" s="515"/>
      <c r="AT26" s="573"/>
      <c r="AU26" s="527"/>
      <c r="AV26" s="527"/>
    </row>
    <row r="27" spans="1:48" ht="49.95" customHeight="1" x14ac:dyDescent="0.35">
      <c r="A27" s="1478">
        <v>45273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>
        <v>14</v>
      </c>
      <c r="X27" s="495"/>
      <c r="Y27" s="566"/>
      <c r="Z27" s="514"/>
      <c r="AA27" s="579" t="s">
        <v>152</v>
      </c>
      <c r="AB27" s="527"/>
      <c r="AC27" s="66"/>
      <c r="AD27" s="470"/>
      <c r="AE27" s="6"/>
      <c r="AF27" s="6"/>
      <c r="AG27" s="495"/>
      <c r="AH27" s="566"/>
      <c r="AI27" s="6"/>
      <c r="AJ27" s="515"/>
      <c r="AK27" s="527"/>
      <c r="AM27" s="470"/>
      <c r="AN27" s="6"/>
      <c r="AO27" s="6"/>
      <c r="AP27" s="47"/>
      <c r="AQ27" s="495"/>
      <c r="AR27" s="6"/>
      <c r="AS27" s="6"/>
      <c r="AT27" s="573"/>
      <c r="AU27" s="527"/>
      <c r="AV27" s="527"/>
    </row>
    <row r="28" spans="1:48" ht="72" customHeight="1" x14ac:dyDescent="0.35">
      <c r="A28" s="1477"/>
      <c r="B28" s="472">
        <v>2</v>
      </c>
      <c r="C28" s="493"/>
      <c r="D28" s="494"/>
      <c r="E28" s="494">
        <v>50</v>
      </c>
      <c r="F28" s="495"/>
      <c r="G28" s="515"/>
      <c r="H28" s="515"/>
      <c r="I28" s="579" t="s">
        <v>800</v>
      </c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/>
      <c r="V28" s="6"/>
      <c r="W28" s="66">
        <v>68</v>
      </c>
      <c r="X28" s="495"/>
      <c r="Y28" s="515"/>
      <c r="Z28" s="6"/>
      <c r="AA28" s="579" t="s">
        <v>801</v>
      </c>
      <c r="AB28" s="527"/>
      <c r="AC28" s="66"/>
      <c r="AD28" s="470"/>
      <c r="AE28" s="6"/>
      <c r="AF28" s="6"/>
      <c r="AG28" s="495"/>
      <c r="AH28" s="566"/>
      <c r="AI28" s="6"/>
      <c r="AJ28" s="573"/>
      <c r="AK28" s="527"/>
      <c r="AM28" s="470"/>
      <c r="AN28" s="6"/>
      <c r="AO28" s="6"/>
      <c r="AP28" s="47"/>
      <c r="AQ28" s="495"/>
      <c r="AR28" s="502"/>
      <c r="AS28" s="6"/>
      <c r="AT28" s="573"/>
      <c r="AU28" s="527"/>
      <c r="AV28" s="526"/>
    </row>
    <row r="29" spans="1:48" ht="66" customHeight="1" x14ac:dyDescent="0.35">
      <c r="A29" s="1478">
        <v>45274</v>
      </c>
      <c r="B29" s="472">
        <v>1</v>
      </c>
      <c r="C29" s="493"/>
      <c r="D29" s="494"/>
      <c r="E29" s="494"/>
      <c r="F29" s="495"/>
      <c r="G29" s="515"/>
      <c r="H29" s="514"/>
      <c r="I29" s="641"/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>
        <v>6</v>
      </c>
      <c r="X29" s="495"/>
      <c r="Y29" s="515"/>
      <c r="Z29" s="514"/>
      <c r="AA29" s="579" t="s">
        <v>152</v>
      </c>
      <c r="AB29" s="527"/>
      <c r="AC29" s="66"/>
      <c r="AD29" s="470"/>
      <c r="AE29" s="6"/>
      <c r="AF29" s="6"/>
      <c r="AG29" s="495"/>
      <c r="AH29" s="566"/>
      <c r="AI29" s="514"/>
      <c r="AJ29" s="515"/>
      <c r="AK29" s="527"/>
      <c r="AM29" s="470"/>
      <c r="AN29" s="6"/>
      <c r="AO29" s="6"/>
      <c r="AP29" s="47"/>
      <c r="AQ29" s="495"/>
      <c r="AR29" s="566"/>
      <c r="AS29" s="514"/>
      <c r="AT29" s="515"/>
      <c r="AU29" s="527"/>
      <c r="AV29" s="508"/>
    </row>
    <row r="30" spans="1:48" ht="39.65" customHeight="1" x14ac:dyDescent="0.35">
      <c r="A30" s="1477"/>
      <c r="B30" s="534">
        <v>2</v>
      </c>
      <c r="C30" s="493"/>
      <c r="D30" s="494"/>
      <c r="E30" s="494">
        <v>22</v>
      </c>
      <c r="F30" s="495"/>
      <c r="G30" s="566"/>
      <c r="H30" s="514"/>
      <c r="I30" s="579" t="s">
        <v>802</v>
      </c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>
        <v>32</v>
      </c>
      <c r="X30" s="495"/>
      <c r="Y30" s="566"/>
      <c r="Z30" s="514"/>
      <c r="AA30" s="579" t="s">
        <v>803</v>
      </c>
      <c r="AB30" s="527"/>
      <c r="AC30" s="66"/>
      <c r="AD30" s="470"/>
      <c r="AE30" s="6"/>
      <c r="AF30" s="6"/>
      <c r="AG30" s="495"/>
      <c r="AH30" s="566"/>
      <c r="AI30" s="515"/>
      <c r="AJ30" s="515"/>
      <c r="AK30" s="527"/>
      <c r="AM30" s="470"/>
      <c r="AN30" s="6"/>
      <c r="AO30" s="6"/>
      <c r="AP30" s="47"/>
      <c r="AQ30" s="495"/>
      <c r="AR30" s="509"/>
      <c r="AS30" s="502"/>
      <c r="AT30" s="636"/>
      <c r="AU30" s="527"/>
      <c r="AV30" s="508"/>
    </row>
    <row r="31" spans="1:48" ht="39.65" customHeight="1" x14ac:dyDescent="0.35">
      <c r="A31" s="1478">
        <v>45275</v>
      </c>
      <c r="B31" s="472">
        <v>1</v>
      </c>
      <c r="C31" s="493"/>
      <c r="D31" s="494"/>
      <c r="E31" s="494">
        <v>44</v>
      </c>
      <c r="F31" s="495"/>
      <c r="G31" s="566"/>
      <c r="H31" s="514"/>
      <c r="I31" s="641" t="s">
        <v>152</v>
      </c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469"/>
      <c r="Z31" s="6"/>
      <c r="AA31" s="579"/>
      <c r="AB31" s="527"/>
      <c r="AC31" s="66"/>
      <c r="AD31" s="470"/>
      <c r="AE31" s="6"/>
      <c r="AF31" s="6"/>
      <c r="AG31" s="495"/>
      <c r="AH31" s="566"/>
      <c r="AI31" s="6"/>
      <c r="AJ31" s="6"/>
      <c r="AK31" s="527"/>
      <c r="AM31" s="470"/>
      <c r="AN31" s="6"/>
      <c r="AO31" s="6"/>
      <c r="AP31" s="47"/>
      <c r="AQ31" s="495"/>
      <c r="AR31" s="509"/>
      <c r="AS31" s="6"/>
      <c r="AT31" s="6"/>
      <c r="AU31" s="527"/>
      <c r="AV31" s="527"/>
    </row>
    <row r="32" spans="1:48" ht="63" customHeight="1" x14ac:dyDescent="0.35">
      <c r="A32" s="1477"/>
      <c r="B32" s="472">
        <v>2</v>
      </c>
      <c r="C32" s="493"/>
      <c r="D32" s="494"/>
      <c r="E32" s="494">
        <v>55</v>
      </c>
      <c r="F32" s="495">
        <v>14</v>
      </c>
      <c r="G32" s="566"/>
      <c r="H32" s="566"/>
      <c r="I32" s="579" t="s">
        <v>802</v>
      </c>
      <c r="J32" s="527" t="s">
        <v>804</v>
      </c>
      <c r="K32" s="66"/>
      <c r="L32" s="470"/>
      <c r="M32" s="6"/>
      <c r="N32" s="6"/>
      <c r="O32" s="495"/>
      <c r="P32" s="509"/>
      <c r="Q32" s="6"/>
      <c r="R32" s="6"/>
      <c r="S32" s="527"/>
      <c r="T32" s="66"/>
      <c r="U32" s="470"/>
      <c r="V32" s="6">
        <v>17</v>
      </c>
      <c r="W32" s="494">
        <v>22</v>
      </c>
      <c r="X32" s="495">
        <v>12</v>
      </c>
      <c r="Y32" s="566"/>
      <c r="Z32" s="566" t="s">
        <v>806</v>
      </c>
      <c r="AA32" s="579" t="s">
        <v>807</v>
      </c>
      <c r="AB32" s="527" t="s">
        <v>805</v>
      </c>
      <c r="AC32" s="66"/>
      <c r="AD32" s="470"/>
      <c r="AE32" s="6"/>
      <c r="AF32" s="494">
        <v>10</v>
      </c>
      <c r="AG32" s="495"/>
      <c r="AH32" s="566"/>
      <c r="AI32" s="566"/>
      <c r="AJ32" s="565" t="s">
        <v>401</v>
      </c>
      <c r="AK32" s="527"/>
      <c r="AM32" s="470"/>
      <c r="AN32" s="6"/>
      <c r="AO32" s="6">
        <v>15</v>
      </c>
      <c r="AP32" s="47"/>
      <c r="AQ32" s="495"/>
      <c r="AR32" s="509"/>
      <c r="AS32" s="502"/>
      <c r="AT32" s="565" t="s">
        <v>401</v>
      </c>
      <c r="AU32" s="527"/>
      <c r="AV32" s="508"/>
    </row>
    <row r="33" spans="1:48" ht="43.2" customHeight="1" x14ac:dyDescent="0.35">
      <c r="A33" s="1478">
        <v>45276</v>
      </c>
      <c r="B33" s="472">
        <v>1</v>
      </c>
      <c r="C33" s="493"/>
      <c r="D33" s="494"/>
      <c r="E33" s="494">
        <v>19</v>
      </c>
      <c r="F33" s="495"/>
      <c r="G33" s="566"/>
      <c r="H33" s="514"/>
      <c r="I33" s="641" t="s">
        <v>152</v>
      </c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>
        <v>8</v>
      </c>
      <c r="X33" s="495"/>
      <c r="Y33" s="509"/>
      <c r="Z33" s="6"/>
      <c r="AA33" s="579" t="s">
        <v>152</v>
      </c>
      <c r="AB33" s="527"/>
      <c r="AC33" s="66"/>
      <c r="AD33" s="470"/>
      <c r="AE33" s="6"/>
      <c r="AF33" s="6"/>
      <c r="AG33" s="495"/>
      <c r="AH33" s="509"/>
      <c r="AI33" s="502"/>
      <c r="AJ33" s="579"/>
      <c r="AK33" s="527"/>
      <c r="AM33" s="470"/>
      <c r="AN33" s="6"/>
      <c r="AO33" s="6"/>
      <c r="AP33" s="47"/>
      <c r="AQ33" s="495"/>
      <c r="AR33" s="509"/>
      <c r="AS33" s="502"/>
      <c r="AT33" s="6"/>
      <c r="AU33" s="527"/>
      <c r="AV33" s="508"/>
    </row>
    <row r="34" spans="1:48" ht="67.95" customHeight="1" x14ac:dyDescent="0.35">
      <c r="A34" s="1477"/>
      <c r="B34" s="534">
        <v>2</v>
      </c>
      <c r="C34" s="494"/>
      <c r="D34" s="494"/>
      <c r="E34" s="494">
        <v>35</v>
      </c>
      <c r="F34" s="637"/>
      <c r="G34" s="565"/>
      <c r="H34" s="515"/>
      <c r="I34" s="579" t="s">
        <v>800</v>
      </c>
      <c r="J34" s="527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/>
      <c r="X34" s="508"/>
      <c r="Y34" s="502"/>
      <c r="Z34" s="502"/>
      <c r="AA34" s="579"/>
      <c r="AB34" s="527"/>
      <c r="AC34" s="66"/>
      <c r="AD34" s="470">
        <v>20</v>
      </c>
      <c r="AE34" s="6"/>
      <c r="AF34" s="6"/>
      <c r="AG34" s="508"/>
      <c r="AH34" s="509"/>
      <c r="AI34" s="6"/>
      <c r="AJ34" s="502" t="s">
        <v>263</v>
      </c>
      <c r="AK34" s="527"/>
      <c r="AM34" s="470"/>
      <c r="AN34" s="6"/>
      <c r="AO34" s="6"/>
      <c r="AP34" s="47"/>
      <c r="AQ34" s="508"/>
      <c r="AR34" s="509"/>
      <c r="AS34" s="6"/>
      <c r="AT34" s="636"/>
      <c r="AU34" s="527"/>
      <c r="AV34" s="508"/>
    </row>
    <row r="35" spans="1:48" ht="51" customHeight="1" x14ac:dyDescent="0.35">
      <c r="A35" s="1478">
        <v>45277</v>
      </c>
      <c r="B35" s="472">
        <v>1</v>
      </c>
      <c r="C35" s="494">
        <v>13</v>
      </c>
      <c r="D35" s="494"/>
      <c r="E35" s="47">
        <v>25</v>
      </c>
      <c r="F35" s="636"/>
      <c r="G35" s="465" t="s">
        <v>743</v>
      </c>
      <c r="H35" s="509"/>
      <c r="I35" s="641" t="s">
        <v>152</v>
      </c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>
        <v>25</v>
      </c>
      <c r="X35" s="526"/>
      <c r="Y35" s="465"/>
      <c r="Z35" s="6"/>
      <c r="AA35" s="579" t="s">
        <v>807</v>
      </c>
      <c r="AB35" s="508"/>
      <c r="AC35" s="66"/>
      <c r="AD35" s="470"/>
      <c r="AE35" s="6"/>
      <c r="AF35" s="6">
        <v>12</v>
      </c>
      <c r="AG35" s="469"/>
      <c r="AH35" s="465"/>
      <c r="AI35" s="6"/>
      <c r="AJ35" s="565" t="s">
        <v>401</v>
      </c>
      <c r="AK35" s="508"/>
      <c r="AM35" s="470"/>
      <c r="AN35" s="6"/>
      <c r="AO35" s="47"/>
      <c r="AP35" s="47"/>
      <c r="AQ35" s="526"/>
      <c r="AR35" s="465"/>
      <c r="AS35" s="573"/>
      <c r="AT35" s="502"/>
      <c r="AU35" s="636"/>
      <c r="AV35" s="508"/>
    </row>
    <row r="36" spans="1:48" ht="46.95" customHeight="1" x14ac:dyDescent="0.35">
      <c r="A36" s="1477"/>
      <c r="B36" s="472">
        <v>2</v>
      </c>
      <c r="C36" s="47"/>
      <c r="D36" s="6"/>
      <c r="E36" s="47">
        <v>22</v>
      </c>
      <c r="F36" s="636"/>
      <c r="G36" s="573"/>
      <c r="H36" s="469"/>
      <c r="I36" s="641" t="s">
        <v>152</v>
      </c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>
        <v>43</v>
      </c>
      <c r="W36" s="6">
        <v>8</v>
      </c>
      <c r="X36" s="469"/>
      <c r="Y36" s="465"/>
      <c r="Z36" s="502" t="s">
        <v>61</v>
      </c>
      <c r="AA36" s="579" t="s">
        <v>808</v>
      </c>
      <c r="AB36" s="508"/>
      <c r="AC36" s="66"/>
      <c r="AD36" s="470"/>
      <c r="AE36" s="6"/>
      <c r="AF36" s="47"/>
      <c r="AG36" s="526"/>
      <c r="AH36" s="465"/>
      <c r="AI36" s="502"/>
      <c r="AJ36" s="579"/>
      <c r="AK36" s="508"/>
      <c r="AM36" s="470"/>
      <c r="AN36" s="6"/>
      <c r="AO36" s="6"/>
      <c r="AP36" s="509"/>
      <c r="AQ36" s="469"/>
      <c r="AR36" s="465"/>
      <c r="AS36" s="502"/>
      <c r="AT36" s="502"/>
      <c r="AU36" s="636"/>
      <c r="AV36" s="508"/>
    </row>
    <row r="37" spans="1:48" ht="59.5" customHeight="1" x14ac:dyDescent="0.35">
      <c r="A37" s="1478">
        <v>45278</v>
      </c>
      <c r="B37" s="534">
        <v>1</v>
      </c>
      <c r="C37" s="47"/>
      <c r="D37" s="494"/>
      <c r="E37" s="47">
        <v>30</v>
      </c>
      <c r="F37" s="47"/>
      <c r="G37" s="573"/>
      <c r="H37" s="469"/>
      <c r="I37" s="641" t="s">
        <v>152</v>
      </c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>
        <v>10</v>
      </c>
      <c r="X37" s="508"/>
      <c r="Y37" s="509"/>
      <c r="Z37" s="502"/>
      <c r="AA37" s="579" t="s">
        <v>152</v>
      </c>
      <c r="AB37" s="527"/>
      <c r="AC37" s="66"/>
      <c r="AD37" s="470"/>
      <c r="AE37" s="6"/>
      <c r="AF37" s="6"/>
      <c r="AG37" s="508"/>
      <c r="AH37" s="469"/>
      <c r="AI37" s="6"/>
      <c r="AJ37" s="579"/>
      <c r="AK37" s="508"/>
      <c r="AM37" s="470"/>
      <c r="AN37" s="6"/>
      <c r="AO37" s="6"/>
      <c r="AP37" s="47"/>
      <c r="AQ37" s="508"/>
      <c r="AR37" s="509"/>
      <c r="AS37" s="6"/>
      <c r="AT37" s="6"/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/>
      <c r="E38" s="47"/>
      <c r="F38" s="637"/>
      <c r="G38" s="573"/>
      <c r="H38" s="469"/>
      <c r="I38" s="641"/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>
        <v>38</v>
      </c>
      <c r="V38" s="6"/>
      <c r="W38" s="6"/>
      <c r="X38" s="508"/>
      <c r="Y38" s="509" t="s">
        <v>809</v>
      </c>
      <c r="Z38" s="502"/>
      <c r="AA38" s="579"/>
      <c r="AB38" s="527"/>
      <c r="AC38" s="66"/>
      <c r="AD38" s="470"/>
      <c r="AE38" s="6"/>
      <c r="AF38" s="6"/>
      <c r="AG38" s="508"/>
      <c r="AH38" s="469"/>
      <c r="AI38" s="6"/>
      <c r="AJ38" s="579"/>
      <c r="AK38" s="527"/>
      <c r="AM38" s="470"/>
      <c r="AN38" s="6"/>
      <c r="AO38" s="6"/>
      <c r="AP38" s="47"/>
      <c r="AQ38" s="508"/>
      <c r="AR38" s="509"/>
      <c r="AS38" s="6"/>
      <c r="AT38" s="502"/>
      <c r="AU38" s="636"/>
      <c r="AV38" s="527"/>
    </row>
    <row r="39" spans="1:48" ht="70.95" customHeight="1" x14ac:dyDescent="0.35">
      <c r="A39" s="1478">
        <v>45279</v>
      </c>
      <c r="B39" s="472">
        <v>1</v>
      </c>
      <c r="C39" s="47"/>
      <c r="D39" s="494"/>
      <c r="E39" s="47">
        <v>28</v>
      </c>
      <c r="F39" s="637"/>
      <c r="G39" s="573"/>
      <c r="H39" s="469"/>
      <c r="I39" s="641" t="s">
        <v>152</v>
      </c>
      <c r="J39" s="527"/>
      <c r="K39" s="66"/>
      <c r="L39" s="470"/>
      <c r="M39" s="6"/>
      <c r="N39" s="6"/>
      <c r="O39" s="495"/>
      <c r="P39" s="573"/>
      <c r="Q39" s="514"/>
      <c r="R39" s="573"/>
      <c r="S39" s="527"/>
      <c r="T39" s="66"/>
      <c r="U39" s="470"/>
      <c r="V39" s="6"/>
      <c r="W39" s="6">
        <v>18</v>
      </c>
      <c r="X39" s="495"/>
      <c r="Y39" s="573"/>
      <c r="Z39" s="514"/>
      <c r="AA39" s="579" t="s">
        <v>152</v>
      </c>
      <c r="AB39" s="527"/>
      <c r="AC39" s="66"/>
      <c r="AD39" s="470"/>
      <c r="AE39" s="6"/>
      <c r="AF39" s="6"/>
      <c r="AG39" s="495"/>
      <c r="AH39" s="573"/>
      <c r="AI39" s="514"/>
      <c r="AJ39" s="573"/>
      <c r="AK39" s="527"/>
      <c r="AM39" s="470"/>
      <c r="AN39" s="6"/>
      <c r="AO39" s="6"/>
      <c r="AP39" s="495"/>
      <c r="AQ39" s="573"/>
      <c r="AR39" s="514"/>
      <c r="AS39" s="573"/>
      <c r="AT39" s="527"/>
      <c r="AU39" s="527"/>
      <c r="AV39" s="568"/>
    </row>
    <row r="40" spans="1:48" ht="72.650000000000006" customHeight="1" x14ac:dyDescent="0.35">
      <c r="A40" s="1477"/>
      <c r="B40" s="472">
        <v>2</v>
      </c>
      <c r="C40" s="494"/>
      <c r="D40" s="494"/>
      <c r="E40" s="494"/>
      <c r="F40" s="508"/>
      <c r="G40" s="573"/>
      <c r="H40" s="515"/>
      <c r="I40" s="573"/>
      <c r="J40" s="527"/>
      <c r="K40" s="66"/>
      <c r="L40" s="470"/>
      <c r="M40" s="6"/>
      <c r="N40" s="6"/>
      <c r="O40" s="508"/>
      <c r="P40" s="566"/>
      <c r="Q40" s="514"/>
      <c r="R40" s="573"/>
      <c r="S40" s="527"/>
      <c r="T40" s="66"/>
      <c r="U40" s="470"/>
      <c r="V40" s="6"/>
      <c r="W40" s="6"/>
      <c r="X40" s="508"/>
      <c r="Y40" s="566"/>
      <c r="Z40" s="514"/>
      <c r="AA40" s="565"/>
      <c r="AB40" s="527"/>
      <c r="AC40" s="66"/>
      <c r="AD40" s="470"/>
      <c r="AE40" s="6">
        <v>50</v>
      </c>
      <c r="AF40" s="6"/>
      <c r="AG40" s="508"/>
      <c r="AH40" s="465"/>
      <c r="AI40" s="515" t="s">
        <v>691</v>
      </c>
      <c r="AJ40" s="573"/>
      <c r="AK40" s="527"/>
      <c r="AM40" s="465"/>
      <c r="AN40" s="6"/>
      <c r="AO40" s="6"/>
      <c r="AP40" s="47"/>
      <c r="AQ40" s="508"/>
      <c r="AR40" s="566"/>
      <c r="AS40" s="514"/>
      <c r="AT40" s="573"/>
      <c r="AU40" s="527"/>
      <c r="AV40" s="527"/>
    </row>
    <row r="41" spans="1:48" ht="39.65" customHeight="1" x14ac:dyDescent="0.35">
      <c r="A41" s="1478">
        <v>45280</v>
      </c>
      <c r="B41" s="472">
        <v>1</v>
      </c>
      <c r="C41" s="493"/>
      <c r="D41" s="494"/>
      <c r="E41" s="494"/>
      <c r="F41" s="508"/>
      <c r="G41" s="566"/>
      <c r="H41" s="515"/>
      <c r="I41" s="573"/>
      <c r="J41" s="527"/>
      <c r="K41" s="66"/>
      <c r="L41" s="470"/>
      <c r="M41" s="6"/>
      <c r="N41" s="6"/>
      <c r="O41" s="508"/>
      <c r="P41" s="509"/>
      <c r="Q41" s="6"/>
      <c r="R41" s="573"/>
      <c r="S41" s="527"/>
      <c r="T41" s="66"/>
      <c r="U41" s="470"/>
      <c r="V41" s="6"/>
      <c r="W41" s="6">
        <v>26</v>
      </c>
      <c r="X41" s="508"/>
      <c r="Y41" s="509"/>
      <c r="Z41" s="502"/>
      <c r="AA41" s="579" t="s">
        <v>152</v>
      </c>
      <c r="AB41" s="508"/>
      <c r="AC41" s="66"/>
      <c r="AD41" s="470"/>
      <c r="AE41" s="6"/>
      <c r="AF41" s="6"/>
      <c r="AG41" s="508"/>
      <c r="AH41" s="465"/>
      <c r="AI41" s="502"/>
      <c r="AJ41" s="6"/>
      <c r="AK41" s="508"/>
      <c r="AM41" s="470"/>
      <c r="AN41" s="6"/>
      <c r="AO41" s="6"/>
      <c r="AP41" s="47"/>
      <c r="AQ41" s="508"/>
      <c r="AR41" s="509"/>
      <c r="AS41" s="502"/>
      <c r="AT41" s="573"/>
      <c r="AU41" s="47"/>
      <c r="AV41" s="508"/>
    </row>
    <row r="42" spans="1:48" ht="33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5"/>
      <c r="I42" s="573"/>
      <c r="J42" s="527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/>
      <c r="X42" s="508"/>
      <c r="Y42" s="469"/>
      <c r="Z42" s="6"/>
      <c r="AA42" s="579"/>
      <c r="AB42" s="527"/>
      <c r="AC42" s="66"/>
      <c r="AD42" s="470">
        <v>275</v>
      </c>
      <c r="AE42" s="6"/>
      <c r="AF42" s="6"/>
      <c r="AG42" s="508"/>
      <c r="AH42" s="509" t="s">
        <v>583</v>
      </c>
      <c r="AI42" s="6"/>
      <c r="AJ42" s="6"/>
      <c r="AK42" s="527"/>
      <c r="AM42" s="470"/>
      <c r="AN42" s="6"/>
      <c r="AO42" s="6"/>
      <c r="AP42" s="47"/>
      <c r="AQ42" s="508"/>
      <c r="AR42" s="509"/>
      <c r="AS42" s="6"/>
      <c r="AT42" s="6"/>
      <c r="AU42" s="527"/>
      <c r="AV42" s="508"/>
    </row>
    <row r="43" spans="1:48" ht="65.5" customHeight="1" x14ac:dyDescent="0.35">
      <c r="A43" s="1478">
        <v>45281</v>
      </c>
      <c r="B43" s="472">
        <v>1</v>
      </c>
      <c r="C43" s="494"/>
      <c r="D43" s="494"/>
      <c r="E43" s="494">
        <v>36</v>
      </c>
      <c r="F43" s="495"/>
      <c r="G43" s="514"/>
      <c r="H43" s="514"/>
      <c r="I43" s="641" t="s">
        <v>152</v>
      </c>
      <c r="J43" s="527"/>
      <c r="K43" s="66"/>
      <c r="L43" s="470"/>
      <c r="M43" s="6"/>
      <c r="N43" s="6"/>
      <c r="O43" s="508"/>
      <c r="P43" s="509"/>
      <c r="Q43" s="6"/>
      <c r="R43" s="6"/>
      <c r="S43" s="527"/>
      <c r="T43" s="66"/>
      <c r="U43" s="470"/>
      <c r="V43" s="6"/>
      <c r="W43" s="6">
        <v>20</v>
      </c>
      <c r="X43" s="508"/>
      <c r="Y43" s="509"/>
      <c r="Z43" s="6"/>
      <c r="AA43" s="579" t="s">
        <v>152</v>
      </c>
      <c r="AB43" s="527"/>
      <c r="AC43" s="66"/>
      <c r="AD43" s="470"/>
      <c r="AE43" s="6"/>
      <c r="AF43" s="6"/>
      <c r="AG43" s="508"/>
      <c r="AH43" s="502"/>
      <c r="AI43" s="515"/>
      <c r="AJ43" s="6"/>
      <c r="AK43" s="527"/>
      <c r="AM43" s="470"/>
      <c r="AN43" s="6"/>
      <c r="AO43" s="6"/>
      <c r="AP43" s="47"/>
      <c r="AQ43" s="508"/>
      <c r="AR43" s="502"/>
      <c r="AS43" s="515"/>
      <c r="AT43" s="6"/>
      <c r="AU43" s="527"/>
      <c r="AV43" s="508"/>
    </row>
    <row r="44" spans="1:48" ht="69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515"/>
      <c r="I44" s="573"/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>
        <v>23</v>
      </c>
      <c r="W44" s="494"/>
      <c r="X44" s="495"/>
      <c r="Y44" s="514"/>
      <c r="Z44" s="515" t="s">
        <v>276</v>
      </c>
      <c r="AA44" s="579"/>
      <c r="AB44" s="527"/>
      <c r="AC44" s="66"/>
      <c r="AD44" s="470"/>
      <c r="AE44" s="6"/>
      <c r="AF44" s="6"/>
      <c r="AG44" s="508"/>
      <c r="AH44" s="509"/>
      <c r="AI44" s="502"/>
      <c r="AJ44" s="502"/>
      <c r="AK44" s="527"/>
      <c r="AM44" s="470"/>
      <c r="AN44" s="6"/>
      <c r="AO44" s="6"/>
      <c r="AP44" s="47"/>
      <c r="AQ44" s="508"/>
      <c r="AR44" s="509"/>
      <c r="AS44" s="502"/>
      <c r="AT44" s="502"/>
      <c r="AU44" s="527"/>
      <c r="AV44" s="508"/>
    </row>
    <row r="45" spans="1:48" ht="48" customHeight="1" x14ac:dyDescent="0.35">
      <c r="A45" s="1478">
        <v>45282</v>
      </c>
      <c r="B45" s="472">
        <v>1</v>
      </c>
      <c r="C45" s="494"/>
      <c r="D45" s="494"/>
      <c r="E45" s="494"/>
      <c r="F45" s="495"/>
      <c r="G45" s="514"/>
      <c r="H45" s="514"/>
      <c r="I45" s="573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14"/>
      <c r="Z45" s="515"/>
      <c r="AA45" s="502"/>
      <c r="AB45" s="508"/>
      <c r="AC45" s="66"/>
      <c r="AD45" s="470"/>
      <c r="AE45" s="6"/>
      <c r="AF45" s="6"/>
      <c r="AG45" s="508"/>
      <c r="AH45" s="509"/>
      <c r="AI45" s="502"/>
      <c r="AJ45" s="502"/>
      <c r="AK45" s="508"/>
      <c r="AM45" s="470"/>
      <c r="AN45" s="6"/>
      <c r="AO45" s="6"/>
      <c r="AP45" s="47"/>
      <c r="AQ45" s="508"/>
      <c r="AR45" s="509"/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573"/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/>
      <c r="W46" s="6"/>
      <c r="X46" s="508"/>
      <c r="Y46" s="469"/>
      <c r="Z46" s="6"/>
      <c r="AA46" s="502"/>
      <c r="AB46" s="527"/>
      <c r="AC46" s="66"/>
      <c r="AD46" s="470"/>
      <c r="AE46" s="6"/>
      <c r="AF46" s="6"/>
      <c r="AG46" s="508"/>
      <c r="AH46" s="469"/>
      <c r="AI46" s="6"/>
      <c r="AJ46" s="6"/>
      <c r="AK46" s="527"/>
      <c r="AM46" s="470"/>
      <c r="AN46" s="6"/>
      <c r="AO46" s="6"/>
      <c r="AP46" s="47"/>
      <c r="AQ46" s="508"/>
      <c r="AR46" s="509"/>
      <c r="AS46" s="515"/>
      <c r="AT46" s="6"/>
      <c r="AU46" s="47"/>
      <c r="AV46" s="527"/>
    </row>
    <row r="47" spans="1:48" ht="58.95" customHeight="1" x14ac:dyDescent="0.35">
      <c r="A47" s="1478">
        <v>45283</v>
      </c>
      <c r="B47" s="472">
        <v>1</v>
      </c>
      <c r="C47" s="494"/>
      <c r="D47" s="494"/>
      <c r="E47" s="494"/>
      <c r="F47" s="495"/>
      <c r="G47" s="514"/>
      <c r="H47" s="514"/>
      <c r="I47" s="573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09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502"/>
      <c r="AK47" s="508"/>
      <c r="AM47" s="470"/>
      <c r="AN47" s="6"/>
      <c r="AO47" s="6"/>
      <c r="AP47" s="47"/>
      <c r="AQ47" s="508"/>
      <c r="AR47" s="509"/>
      <c r="AS47" s="515"/>
      <c r="AT47" s="6"/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27"/>
      <c r="K48" s="66"/>
      <c r="L48" s="470"/>
      <c r="M48" s="6"/>
      <c r="N48" s="6"/>
      <c r="O48" s="495"/>
      <c r="P48" s="515"/>
      <c r="Q48" s="515"/>
      <c r="R48" s="573"/>
      <c r="S48" s="527"/>
      <c r="T48" s="66"/>
      <c r="U48" s="470"/>
      <c r="V48" s="6"/>
      <c r="W48" s="6"/>
      <c r="X48" s="495"/>
      <c r="Y48" s="515"/>
      <c r="Z48" s="515"/>
      <c r="AA48" s="573"/>
      <c r="AB48" s="527"/>
      <c r="AC48" s="66"/>
      <c r="AD48" s="470"/>
      <c r="AE48" s="6"/>
      <c r="AF48" s="6"/>
      <c r="AG48" s="495"/>
      <c r="AH48" s="515"/>
      <c r="AI48" s="515"/>
      <c r="AJ48" s="573"/>
      <c r="AK48" s="527"/>
      <c r="AM48" s="470"/>
      <c r="AN48" s="6"/>
      <c r="AO48" s="470"/>
      <c r="AP48" s="6"/>
      <c r="AQ48" s="6"/>
      <c r="AR48" s="495"/>
      <c r="AS48" s="515"/>
      <c r="AT48" s="515"/>
      <c r="AU48" s="527"/>
      <c r="AV48" s="508"/>
    </row>
    <row r="49" spans="1:48" ht="36" customHeight="1" x14ac:dyDescent="0.35">
      <c r="A49" s="1478">
        <v>45284</v>
      </c>
      <c r="B49" s="472">
        <v>1</v>
      </c>
      <c r="C49" s="494"/>
      <c r="D49" s="494"/>
      <c r="E49" s="494">
        <v>40</v>
      </c>
      <c r="F49" s="495"/>
      <c r="G49" s="515"/>
      <c r="H49" s="514"/>
      <c r="I49" s="641" t="s">
        <v>152</v>
      </c>
      <c r="J49" s="527"/>
      <c r="K49" s="66"/>
      <c r="L49" s="470"/>
      <c r="M49" s="6"/>
      <c r="N49" s="6"/>
      <c r="O49" s="495"/>
      <c r="P49" s="515"/>
      <c r="Q49" s="514"/>
      <c r="R49" s="573"/>
      <c r="S49" s="527"/>
      <c r="T49" s="66"/>
      <c r="U49" s="470"/>
      <c r="V49" s="6"/>
      <c r="W49" s="6">
        <v>39</v>
      </c>
      <c r="X49" s="495"/>
      <c r="Y49" s="515"/>
      <c r="Z49" s="514"/>
      <c r="AA49" s="579" t="s">
        <v>152</v>
      </c>
      <c r="AB49" s="527"/>
      <c r="AC49" s="66"/>
      <c r="AD49" s="470"/>
      <c r="AE49" s="6"/>
      <c r="AF49" s="6"/>
      <c r="AG49" s="495"/>
      <c r="AH49" s="515"/>
      <c r="AI49" s="514"/>
      <c r="AJ49" s="573"/>
      <c r="AK49" s="527"/>
      <c r="AM49" s="470"/>
      <c r="AN49" s="6"/>
      <c r="AO49" s="6"/>
      <c r="AP49" s="495"/>
      <c r="AQ49" s="515"/>
      <c r="AR49" s="514"/>
      <c r="AS49" s="573"/>
      <c r="AT49" s="527"/>
      <c r="AU49" s="527"/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/>
      <c r="X50" s="495"/>
      <c r="Y50" s="514"/>
      <c r="Z50" s="514"/>
      <c r="AA50" s="579"/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495"/>
      <c r="AQ50" s="514"/>
      <c r="AR50" s="514"/>
      <c r="AS50" s="573"/>
      <c r="AT50" s="527"/>
      <c r="AU50" s="527"/>
      <c r="AV50" s="527"/>
    </row>
    <row r="51" spans="1:48" ht="34.950000000000003" customHeight="1" x14ac:dyDescent="0.35">
      <c r="A51" s="1478">
        <v>45285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495"/>
      <c r="P51" s="514"/>
      <c r="Q51" s="514"/>
      <c r="R51" s="573"/>
      <c r="S51" s="527"/>
      <c r="T51" s="66"/>
      <c r="U51" s="470"/>
      <c r="V51" s="6"/>
      <c r="W51" s="6"/>
      <c r="X51" s="495"/>
      <c r="Y51" s="514"/>
      <c r="Z51" s="514"/>
      <c r="AA51" s="573"/>
      <c r="AB51" s="527"/>
      <c r="AC51" s="66"/>
      <c r="AD51" s="470"/>
      <c r="AE51" s="6"/>
      <c r="AF51" s="6"/>
      <c r="AG51" s="495"/>
      <c r="AH51" s="514"/>
      <c r="AI51" s="514"/>
      <c r="AJ51" s="573"/>
      <c r="AK51" s="527"/>
      <c r="AM51" s="470"/>
      <c r="AN51" s="6"/>
      <c r="AO51" s="6"/>
      <c r="AP51" s="495"/>
      <c r="AQ51" s="514"/>
      <c r="AR51" s="514"/>
      <c r="AS51" s="573"/>
      <c r="AT51" s="527"/>
      <c r="AU51" s="527"/>
      <c r="AV51" s="508"/>
    </row>
    <row r="52" spans="1:48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573"/>
      <c r="J52" s="527"/>
      <c r="K52" s="66"/>
      <c r="L52" s="470"/>
      <c r="M52" s="6">
        <v>35</v>
      </c>
      <c r="N52" s="6"/>
      <c r="O52" s="495"/>
      <c r="P52" s="515"/>
      <c r="Q52" s="515" t="s">
        <v>163</v>
      </c>
      <c r="R52" s="573"/>
      <c r="S52" s="527"/>
      <c r="T52" s="66"/>
      <c r="U52" s="470"/>
      <c r="V52" s="6"/>
      <c r="W52" s="6"/>
      <c r="X52" s="495"/>
      <c r="Y52" s="515"/>
      <c r="Z52" s="515"/>
      <c r="AA52" s="573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8"/>
      <c r="AR52" s="509"/>
      <c r="AS52" s="6"/>
      <c r="AT52" s="527"/>
      <c r="AU52" s="527"/>
      <c r="AV52" s="508"/>
    </row>
    <row r="53" spans="1:48" ht="40.200000000000003" customHeight="1" x14ac:dyDescent="0.35">
      <c r="A53" s="1478">
        <v>45286</v>
      </c>
      <c r="B53" s="472">
        <v>1</v>
      </c>
      <c r="C53" s="494"/>
      <c r="D53" s="494"/>
      <c r="E53" s="494"/>
      <c r="F53" s="495"/>
      <c r="G53" s="514"/>
      <c r="H53" s="514"/>
      <c r="I53" s="573"/>
      <c r="J53" s="527"/>
      <c r="K53" s="66"/>
      <c r="L53" s="470"/>
      <c r="M53" s="6"/>
      <c r="N53" s="6"/>
      <c r="O53" s="508"/>
      <c r="P53" s="469"/>
      <c r="Q53" s="6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502"/>
      <c r="AJ53" s="502"/>
      <c r="AK53" s="508"/>
      <c r="AM53" s="470"/>
      <c r="AN53" s="502"/>
      <c r="AO53" s="6"/>
      <c r="AP53" s="47"/>
      <c r="AQ53" s="508"/>
      <c r="AR53" s="509"/>
      <c r="AS53" s="502"/>
      <c r="AT53" s="6"/>
      <c r="AU53" s="47"/>
      <c r="AV53" s="508"/>
    </row>
    <row r="54" spans="1:48" ht="39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5"/>
      <c r="I54" s="573"/>
      <c r="J54" s="527"/>
      <c r="K54" s="66"/>
      <c r="L54" s="470"/>
      <c r="M54" s="6"/>
      <c r="N54" s="6"/>
      <c r="O54" s="495"/>
      <c r="P54" s="514"/>
      <c r="Q54" s="514"/>
      <c r="R54" s="514"/>
      <c r="S54" s="527"/>
      <c r="T54" s="66"/>
      <c r="U54" s="470"/>
      <c r="V54" s="6"/>
      <c r="W54" s="6"/>
      <c r="X54" s="495"/>
      <c r="Y54" s="515"/>
      <c r="Z54" s="514"/>
      <c r="AA54" s="515"/>
      <c r="AB54" s="527"/>
      <c r="AC54" s="66"/>
      <c r="AD54" s="470"/>
      <c r="AE54" s="6"/>
      <c r="AF54" s="6"/>
      <c r="AG54" s="508"/>
      <c r="AH54" s="509"/>
      <c r="AI54" s="514"/>
      <c r="AJ54" s="6"/>
      <c r="AK54" s="527"/>
      <c r="AM54" s="470"/>
      <c r="AN54" s="6"/>
      <c r="AO54" s="6"/>
      <c r="AP54" s="47"/>
      <c r="AQ54" s="495"/>
      <c r="AR54" s="514"/>
      <c r="AS54" s="514"/>
      <c r="AT54" s="514"/>
      <c r="AU54" s="638"/>
      <c r="AV54" s="527"/>
    </row>
    <row r="55" spans="1:48" ht="39.65" customHeight="1" x14ac:dyDescent="0.35">
      <c r="A55" s="1478">
        <v>45287</v>
      </c>
      <c r="B55" s="472">
        <v>1</v>
      </c>
      <c r="C55" s="493"/>
      <c r="D55" s="494"/>
      <c r="E55" s="494">
        <v>17</v>
      </c>
      <c r="F55" s="495"/>
      <c r="G55" s="514"/>
      <c r="H55" s="514"/>
      <c r="I55" s="641" t="s">
        <v>152</v>
      </c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>
        <v>17</v>
      </c>
      <c r="X55" s="508"/>
      <c r="Y55" s="509"/>
      <c r="Z55" s="515"/>
      <c r="AA55" s="579" t="s">
        <v>152</v>
      </c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47"/>
      <c r="AQ55" s="508"/>
      <c r="AR55" s="509"/>
      <c r="AS55" s="515"/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>
        <v>38</v>
      </c>
      <c r="F56" s="495"/>
      <c r="G56" s="515"/>
      <c r="H56" s="515"/>
      <c r="I56" s="641" t="s">
        <v>152</v>
      </c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02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7"/>
      <c r="AQ56" s="495"/>
      <c r="AR56" s="515"/>
      <c r="AS56" s="514"/>
      <c r="AT56" s="515"/>
      <c r="AU56" s="573"/>
      <c r="AV56" s="527"/>
    </row>
    <row r="57" spans="1:48" ht="52.2" customHeight="1" x14ac:dyDescent="0.35">
      <c r="A57" s="1478">
        <v>45288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02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573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/>
      <c r="X58" s="495"/>
      <c r="Y58" s="515"/>
      <c r="Z58" s="514"/>
      <c r="AA58" s="502"/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/>
      <c r="AP58" s="47"/>
      <c r="AQ58" s="495"/>
      <c r="AR58" s="515"/>
      <c r="AS58" s="514"/>
      <c r="AT58" s="515"/>
      <c r="AU58" s="573"/>
      <c r="AV58" s="527"/>
    </row>
    <row r="59" spans="1:48" ht="73.2" customHeight="1" x14ac:dyDescent="0.35">
      <c r="A59" s="1478">
        <v>45289</v>
      </c>
      <c r="B59" s="472">
        <v>1</v>
      </c>
      <c r="C59" s="493"/>
      <c r="D59" s="494"/>
      <c r="E59" s="494"/>
      <c r="F59" s="495"/>
      <c r="G59" s="514"/>
      <c r="H59" s="514"/>
      <c r="I59" s="573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02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573"/>
      <c r="J60" s="527"/>
      <c r="K60" s="66"/>
      <c r="L60" s="470"/>
      <c r="M60" s="6"/>
      <c r="N60" s="6"/>
      <c r="O60" s="508"/>
      <c r="P60" s="509"/>
      <c r="Q60" s="6"/>
      <c r="R60" s="6"/>
      <c r="S60" s="527"/>
      <c r="T60" s="66"/>
      <c r="U60" s="470"/>
      <c r="V60" s="6"/>
      <c r="W60" s="6"/>
      <c r="X60" s="508"/>
      <c r="Y60" s="469"/>
      <c r="Z60" s="502"/>
      <c r="AA60" s="502"/>
      <c r="AB60" s="527"/>
      <c r="AC60" s="66"/>
      <c r="AD60" s="470"/>
      <c r="AE60" s="6"/>
      <c r="AF60" s="6"/>
      <c r="AG60" s="508"/>
      <c r="AH60" s="509"/>
      <c r="AI60" s="6"/>
      <c r="AJ60" s="502"/>
      <c r="AK60" s="527"/>
      <c r="AM60" s="470"/>
      <c r="AN60" s="6"/>
      <c r="AO60" s="6"/>
      <c r="AP60" s="47"/>
      <c r="AQ60" s="508"/>
      <c r="AR60" s="509"/>
      <c r="AS60" s="6"/>
      <c r="AT60" s="502"/>
      <c r="AU60" s="636"/>
      <c r="AV60" s="527"/>
    </row>
    <row r="61" spans="1:48" ht="32.5" customHeight="1" x14ac:dyDescent="0.35">
      <c r="A61" s="1478">
        <v>45290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47"/>
      <c r="AQ61" s="508"/>
      <c r="AR61" s="469"/>
      <c r="AS61" s="6"/>
      <c r="AT61" s="502"/>
      <c r="AU61" s="648"/>
      <c r="AV61" s="624"/>
    </row>
    <row r="62" spans="1:48" ht="62.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47"/>
      <c r="AQ62" s="508"/>
      <c r="AR62" s="509"/>
      <c r="AS62" s="6"/>
      <c r="AT62" s="502"/>
      <c r="AU62" s="648"/>
      <c r="AV62" s="624"/>
    </row>
    <row r="63" spans="1:48" ht="64.2" customHeight="1" x14ac:dyDescent="0.35">
      <c r="A63" s="1478">
        <v>45291</v>
      </c>
      <c r="B63" s="472">
        <v>1</v>
      </c>
      <c r="C63" s="587"/>
      <c r="D63" s="588"/>
      <c r="E63" s="588"/>
      <c r="F63" s="589"/>
      <c r="G63" s="598"/>
      <c r="H63" s="590"/>
      <c r="I63" s="573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502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7"/>
      <c r="AQ63" s="495"/>
      <c r="AR63" s="566"/>
      <c r="AS63" s="514"/>
      <c r="AT63" s="514"/>
      <c r="AU63" s="649"/>
      <c r="AV63" s="586"/>
    </row>
    <row r="64" spans="1:48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647"/>
      <c r="AQ64" s="528"/>
      <c r="AR64" s="529"/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775</v>
      </c>
      <c r="D65" s="65">
        <f>SUM(D3:D64)</f>
        <v>45</v>
      </c>
      <c r="E65" s="631">
        <f>SUM(E3:E64)</f>
        <v>1025</v>
      </c>
      <c r="F65" s="65">
        <f>SUM(F3:F64)</f>
        <v>172</v>
      </c>
      <c r="L65" s="65">
        <f>SUM(L3:L64)</f>
        <v>459</v>
      </c>
      <c r="M65" s="65">
        <f>SUM(M3:M64)</f>
        <v>35</v>
      </c>
      <c r="N65" s="65">
        <f>SUM(N3:N64)</f>
        <v>0</v>
      </c>
      <c r="O65" s="65">
        <f>SUM(O3:O64)</f>
        <v>0</v>
      </c>
      <c r="U65" s="65">
        <f>SUM(U3:U64)</f>
        <v>661</v>
      </c>
      <c r="V65" s="65">
        <f>SUM(V3:V64)</f>
        <v>124</v>
      </c>
      <c r="W65" s="65">
        <f>SUM(W3:W64)</f>
        <v>535</v>
      </c>
      <c r="X65" s="65">
        <f>SUM(X3:X64)</f>
        <v>552</v>
      </c>
      <c r="AD65" s="65">
        <f>SUM(AD3:AD64)</f>
        <v>572</v>
      </c>
      <c r="AE65" s="65">
        <f>SUM(AE3:AE64)</f>
        <v>50</v>
      </c>
      <c r="AF65" s="65">
        <f>SUM(AF3:AF64)</f>
        <v>138</v>
      </c>
      <c r="AG65" s="65">
        <f>SUM(AG3:AG64)</f>
        <v>0</v>
      </c>
      <c r="AM65" s="65">
        <f>SUM(AM3:AM64)</f>
        <v>275</v>
      </c>
      <c r="AN65" s="65">
        <f>SUM(AN3:AN64)</f>
        <v>0</v>
      </c>
      <c r="AO65" s="65">
        <f>SUM(AO3:AO64)</f>
        <v>59</v>
      </c>
      <c r="AP65" s="65"/>
      <c r="AQ65" s="65">
        <f>SUM(AQ3:AQ64)</f>
        <v>36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775</v>
      </c>
      <c r="D76" s="543">
        <f>C76/60</f>
        <v>12.916666666666666</v>
      </c>
      <c r="E76" s="542">
        <f>D65</f>
        <v>45</v>
      </c>
      <c r="F76" s="544">
        <f>E76/60</f>
        <v>0.75</v>
      </c>
      <c r="G76" s="542">
        <f>E65</f>
        <v>1025</v>
      </c>
      <c r="H76" s="543">
        <f>G76/60</f>
        <v>17.083333333333332</v>
      </c>
      <c r="I76" s="542">
        <f>F65</f>
        <v>172</v>
      </c>
      <c r="J76" s="543">
        <f>I76/60</f>
        <v>2.8666666666666667</v>
      </c>
    </row>
    <row r="77" spans="1:43" ht="19.5" customHeight="1" x14ac:dyDescent="0.4">
      <c r="B77" s="541" t="s">
        <v>219</v>
      </c>
      <c r="C77" s="545">
        <f>L65</f>
        <v>459</v>
      </c>
      <c r="D77" s="546">
        <f>C77/60</f>
        <v>7.65</v>
      </c>
      <c r="E77" s="545">
        <f>M65</f>
        <v>35</v>
      </c>
      <c r="F77" s="547">
        <f>E77/60</f>
        <v>0.58333333333333337</v>
      </c>
      <c r="G77" s="545">
        <f>N65</f>
        <v>0</v>
      </c>
      <c r="H77" s="546">
        <f>G77/60</f>
        <v>0</v>
      </c>
      <c r="I77" s="545">
        <f>O65</f>
        <v>0</v>
      </c>
      <c r="J77" s="546">
        <f>I77/60</f>
        <v>0</v>
      </c>
    </row>
    <row r="78" spans="1:43" ht="20.25" customHeight="1" x14ac:dyDescent="0.4">
      <c r="B78" s="541" t="s">
        <v>220</v>
      </c>
      <c r="C78" s="545">
        <f>U65</f>
        <v>661</v>
      </c>
      <c r="D78" s="546">
        <f>C78/60</f>
        <v>11.016666666666667</v>
      </c>
      <c r="E78" s="545">
        <f>V65</f>
        <v>124</v>
      </c>
      <c r="F78" s="547">
        <f>E78/60</f>
        <v>2.0666666666666669</v>
      </c>
      <c r="G78" s="545">
        <f>W65</f>
        <v>535</v>
      </c>
      <c r="H78" s="546">
        <f>G78/60</f>
        <v>8.9166666666666661</v>
      </c>
      <c r="I78" s="545">
        <f>X65</f>
        <v>552</v>
      </c>
      <c r="J78" s="546">
        <f>I78/60</f>
        <v>9.1999999999999993</v>
      </c>
    </row>
    <row r="79" spans="1:43" ht="22.5" customHeight="1" thickBot="1" x14ac:dyDescent="0.45">
      <c r="B79" s="541" t="s">
        <v>221</v>
      </c>
      <c r="C79" s="548">
        <f>AD65</f>
        <v>572</v>
      </c>
      <c r="D79" s="549">
        <f>C79/60</f>
        <v>9.5333333333333332</v>
      </c>
      <c r="E79" s="548">
        <f>AE65</f>
        <v>50</v>
      </c>
      <c r="F79" s="550">
        <f>E79/60</f>
        <v>0.83333333333333337</v>
      </c>
      <c r="G79" s="548">
        <f>AF65</f>
        <v>138</v>
      </c>
      <c r="H79" s="549">
        <f>G79/60</f>
        <v>2.2999999999999998</v>
      </c>
      <c r="I79" s="548">
        <f>AG65</f>
        <v>0</v>
      </c>
      <c r="J79" s="549">
        <f>I79/60</f>
        <v>0</v>
      </c>
    </row>
    <row r="80" spans="1:43" ht="22.5" customHeight="1" thickBot="1" x14ac:dyDescent="0.45">
      <c r="B80" s="541" t="s">
        <v>488</v>
      </c>
      <c r="C80" s="643">
        <f>AM65</f>
        <v>275</v>
      </c>
      <c r="D80" s="642">
        <f>C80/60</f>
        <v>4.583333333333333</v>
      </c>
      <c r="E80" s="643">
        <f>AN65</f>
        <v>0</v>
      </c>
      <c r="F80" s="644">
        <f>E80/60</f>
        <v>0</v>
      </c>
      <c r="G80" s="643">
        <f>AO65</f>
        <v>59</v>
      </c>
      <c r="H80" s="642">
        <f>G80/60</f>
        <v>0.98333333333333328</v>
      </c>
      <c r="I80" s="643">
        <f>AQ65</f>
        <v>36</v>
      </c>
      <c r="J80" s="642">
        <f>I80/60</f>
        <v>0.6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45.7</v>
      </c>
      <c r="E82" s="556"/>
      <c r="F82" s="557">
        <f>SUM(F76:F80)</f>
        <v>4.2333333333333334</v>
      </c>
      <c r="G82" s="556"/>
      <c r="H82" s="557">
        <f>SUM(H76:H80)</f>
        <v>29.283333333333335</v>
      </c>
      <c r="I82" s="556"/>
      <c r="J82" s="558">
        <f>AVERAGE(J76:J80)</f>
        <v>2.5333333333333332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Q1"/>
    <mergeCell ref="AR1:AV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V82"/>
  <sheetViews>
    <sheetView zoomScale="60" zoomScaleNormal="60" workbookViewId="0">
      <pane xSplit="2" ySplit="2" topLeftCell="C55" activePane="bottomRight" state="frozen"/>
      <selection pane="topRight" activeCell="C1" sqref="C1"/>
      <selection pane="bottomLeft" activeCell="A3" sqref="A3"/>
      <selection pane="bottomRight" activeCell="D53" sqref="D53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3" width="10.69140625" style="423" customWidth="1"/>
    <col min="44" max="44" width="21.15234375" style="423" customWidth="1"/>
    <col min="45" max="45" width="26.3046875" style="423" customWidth="1"/>
    <col min="46" max="46" width="27.15234375" style="423" customWidth="1"/>
    <col min="47" max="47" width="24.3828125" style="423" customWidth="1"/>
    <col min="48" max="48" width="26.53515625" style="423" customWidth="1"/>
    <col min="49" max="16384" width="8.84375" style="423"/>
  </cols>
  <sheetData>
    <row r="1" spans="1:48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3"/>
      <c r="AR1" s="1354" t="s">
        <v>206</v>
      </c>
      <c r="AS1" s="1354"/>
      <c r="AT1" s="1354"/>
      <c r="AU1" s="1354"/>
      <c r="AV1" s="1355"/>
    </row>
    <row r="2" spans="1:48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5" t="s">
        <v>204</v>
      </c>
      <c r="AR2" s="657" t="s">
        <v>199</v>
      </c>
      <c r="AS2" s="655" t="s">
        <v>200</v>
      </c>
      <c r="AT2" s="655" t="s">
        <v>201</v>
      </c>
      <c r="AU2" s="655" t="s">
        <v>204</v>
      </c>
      <c r="AV2" s="655" t="s">
        <v>204</v>
      </c>
    </row>
    <row r="3" spans="1:48" ht="78" customHeight="1" x14ac:dyDescent="0.35">
      <c r="A3" s="1478">
        <v>45292</v>
      </c>
      <c r="B3" s="501">
        <v>1</v>
      </c>
      <c r="C3" s="490"/>
      <c r="D3" s="491"/>
      <c r="E3" s="6"/>
      <c r="F3" s="492"/>
      <c r="G3" s="566"/>
      <c r="H3" s="514"/>
      <c r="I3" s="515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>
        <v>10</v>
      </c>
      <c r="W3" s="6"/>
      <c r="X3" s="508"/>
      <c r="Y3" s="469"/>
      <c r="Z3" s="521" t="s">
        <v>276</v>
      </c>
      <c r="AA3" s="515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>
        <v>30</v>
      </c>
      <c r="AP3" s="80"/>
      <c r="AQ3" s="520"/>
      <c r="AR3" s="521"/>
      <c r="AS3" s="538"/>
      <c r="AT3" s="6" t="s">
        <v>97</v>
      </c>
      <c r="AU3" s="80"/>
      <c r="AV3" s="520"/>
    </row>
    <row r="4" spans="1:48" ht="70.2" customHeight="1" x14ac:dyDescent="0.35">
      <c r="A4" s="1477"/>
      <c r="B4" s="472">
        <v>2</v>
      </c>
      <c r="C4" s="493"/>
      <c r="D4" s="494"/>
      <c r="E4" s="494">
        <v>68</v>
      </c>
      <c r="F4" s="495"/>
      <c r="G4" s="566"/>
      <c r="H4" s="514"/>
      <c r="I4" s="641" t="s">
        <v>232</v>
      </c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>
        <v>5</v>
      </c>
      <c r="W4" s="6"/>
      <c r="X4" s="508"/>
      <c r="Y4" s="469"/>
      <c r="Z4" s="514" t="s">
        <v>810</v>
      </c>
      <c r="AA4" s="579"/>
      <c r="AB4" s="603"/>
      <c r="AC4" s="66"/>
      <c r="AD4" s="470"/>
      <c r="AE4" s="6"/>
      <c r="AF4" s="6"/>
      <c r="AG4" s="508"/>
      <c r="AH4" s="509"/>
      <c r="AI4" s="514"/>
      <c r="AJ4" s="6"/>
      <c r="AK4" s="508"/>
      <c r="AM4" s="470"/>
      <c r="AN4" s="6"/>
      <c r="AO4" s="6"/>
      <c r="AP4" s="47"/>
      <c r="AQ4" s="508"/>
      <c r="AR4" s="509"/>
      <c r="AS4" s="515"/>
      <c r="AT4" s="6"/>
      <c r="AU4" s="47"/>
      <c r="AV4" s="508"/>
    </row>
    <row r="5" spans="1:48" ht="60" customHeight="1" x14ac:dyDescent="0.35">
      <c r="A5" s="1478">
        <v>45293</v>
      </c>
      <c r="B5" s="472">
        <v>1</v>
      </c>
      <c r="C5" s="493"/>
      <c r="D5" s="494"/>
      <c r="E5" s="494">
        <v>29</v>
      </c>
      <c r="F5" s="495"/>
      <c r="G5" s="565"/>
      <c r="H5" s="565"/>
      <c r="I5" s="641" t="s">
        <v>152</v>
      </c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6"/>
      <c r="AA5" s="579"/>
      <c r="AB5" s="604"/>
      <c r="AC5" s="66"/>
      <c r="AD5" s="470"/>
      <c r="AE5" s="6"/>
      <c r="AF5" s="6"/>
      <c r="AG5" s="508"/>
      <c r="AH5" s="509"/>
      <c r="AI5" s="6"/>
      <c r="AJ5" s="661"/>
      <c r="AK5" s="508"/>
      <c r="AM5" s="470"/>
      <c r="AN5" s="6"/>
      <c r="AO5" s="6"/>
      <c r="AP5" s="47"/>
      <c r="AQ5" s="508"/>
      <c r="AR5" s="509"/>
      <c r="AS5" s="6"/>
      <c r="AT5" s="502"/>
      <c r="AU5" s="636"/>
      <c r="AV5" s="526"/>
    </row>
    <row r="6" spans="1:48" ht="80.5" customHeight="1" x14ac:dyDescent="0.35">
      <c r="A6" s="1477"/>
      <c r="B6" s="472">
        <v>2</v>
      </c>
      <c r="C6" s="493"/>
      <c r="D6" s="494"/>
      <c r="E6" s="494">
        <v>26</v>
      </c>
      <c r="F6" s="495"/>
      <c r="G6" s="566"/>
      <c r="H6" s="514"/>
      <c r="I6" s="641" t="s">
        <v>328</v>
      </c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/>
      <c r="W6" s="6"/>
      <c r="X6" s="508"/>
      <c r="Y6" s="509"/>
      <c r="Z6" s="6"/>
      <c r="AA6" s="579"/>
      <c r="AB6" s="508"/>
      <c r="AC6" s="66"/>
      <c r="AD6" s="470"/>
      <c r="AE6" s="6"/>
      <c r="AF6" s="6"/>
      <c r="AG6" s="508"/>
      <c r="AH6" s="509"/>
      <c r="AI6" s="6"/>
      <c r="AJ6" s="6"/>
      <c r="AK6" s="508"/>
      <c r="AM6" s="470"/>
      <c r="AN6" s="6"/>
      <c r="AO6" s="6"/>
      <c r="AP6" s="47"/>
      <c r="AQ6" s="508"/>
      <c r="AR6" s="509"/>
      <c r="AS6" s="6"/>
      <c r="AT6" s="502"/>
      <c r="AU6" s="636"/>
      <c r="AV6" s="526"/>
    </row>
    <row r="7" spans="1:48" ht="71.5" customHeight="1" x14ac:dyDescent="0.35">
      <c r="A7" s="1478">
        <v>45294</v>
      </c>
      <c r="B7" s="472">
        <v>1</v>
      </c>
      <c r="C7" s="493"/>
      <c r="D7" s="494"/>
      <c r="E7" s="494"/>
      <c r="F7" s="495"/>
      <c r="G7" s="566"/>
      <c r="H7" s="660"/>
      <c r="I7" s="641"/>
      <c r="J7" s="568"/>
      <c r="K7" s="66"/>
      <c r="L7" s="470"/>
      <c r="M7" s="509"/>
      <c r="N7" s="6"/>
      <c r="O7" s="508"/>
      <c r="P7" s="509"/>
      <c r="Q7" s="660"/>
      <c r="R7" s="6"/>
      <c r="S7" s="508"/>
      <c r="T7" s="66"/>
      <c r="U7" s="470"/>
      <c r="V7" s="6"/>
      <c r="W7" s="6">
        <v>7</v>
      </c>
      <c r="X7" s="508"/>
      <c r="Y7" s="509"/>
      <c r="Z7" s="660"/>
      <c r="AA7" s="579" t="s">
        <v>152</v>
      </c>
      <c r="AB7" s="508"/>
      <c r="AC7" s="66"/>
      <c r="AD7" s="470"/>
      <c r="AE7" s="6"/>
      <c r="AF7" s="6"/>
      <c r="AG7" s="508"/>
      <c r="AH7" s="509"/>
      <c r="AI7" s="660"/>
      <c r="AJ7" s="6"/>
      <c r="AK7" s="508"/>
      <c r="AM7" s="470"/>
      <c r="AN7" s="6"/>
      <c r="AO7" s="6"/>
      <c r="AP7" s="47"/>
      <c r="AQ7" s="508"/>
      <c r="AR7" s="509"/>
      <c r="AS7" s="660"/>
      <c r="AT7" s="515"/>
      <c r="AU7" s="573"/>
      <c r="AV7" s="526"/>
    </row>
    <row r="8" spans="1:48" ht="69.650000000000006" customHeight="1" x14ac:dyDescent="0.35">
      <c r="A8" s="1477"/>
      <c r="B8" s="472">
        <v>2</v>
      </c>
      <c r="C8" s="493"/>
      <c r="D8" s="494"/>
      <c r="E8" s="494">
        <v>33</v>
      </c>
      <c r="F8" s="495"/>
      <c r="G8" s="565"/>
      <c r="H8" s="515"/>
      <c r="I8" s="641" t="s">
        <v>152</v>
      </c>
      <c r="J8" s="527"/>
      <c r="K8" s="66"/>
      <c r="L8" s="470"/>
      <c r="M8" s="6">
        <v>113</v>
      </c>
      <c r="N8" s="6"/>
      <c r="O8" s="508"/>
      <c r="P8" s="469"/>
      <c r="Q8" s="6" t="s">
        <v>811</v>
      </c>
      <c r="R8" s="502"/>
      <c r="S8" s="527"/>
      <c r="T8" s="66"/>
      <c r="U8" s="470"/>
      <c r="V8" s="639"/>
      <c r="W8" s="509">
        <v>13</v>
      </c>
      <c r="X8" s="508"/>
      <c r="Y8" s="469"/>
      <c r="Z8" s="6"/>
      <c r="AA8" s="579" t="s">
        <v>328</v>
      </c>
      <c r="AB8" s="527"/>
      <c r="AC8" s="66"/>
      <c r="AD8" s="470"/>
      <c r="AE8" s="6"/>
      <c r="AF8" s="6">
        <v>5</v>
      </c>
      <c r="AG8" s="508"/>
      <c r="AH8" s="509"/>
      <c r="AI8" s="502"/>
      <c r="AJ8" s="515" t="s">
        <v>152</v>
      </c>
      <c r="AK8" s="527"/>
      <c r="AM8" s="470"/>
      <c r="AN8" s="6"/>
      <c r="AO8" s="6"/>
      <c r="AP8" s="47"/>
      <c r="AQ8" s="508"/>
      <c r="AR8" s="509"/>
      <c r="AS8" s="6"/>
      <c r="AT8" s="6"/>
      <c r="AU8" s="47"/>
      <c r="AV8" s="526"/>
    </row>
    <row r="9" spans="1:48" ht="76.95" customHeight="1" x14ac:dyDescent="0.35">
      <c r="A9" s="1478">
        <v>45295</v>
      </c>
      <c r="B9" s="472">
        <v>1</v>
      </c>
      <c r="C9" s="493"/>
      <c r="D9" s="494"/>
      <c r="E9" s="494"/>
      <c r="F9" s="495"/>
      <c r="G9" s="565"/>
      <c r="H9" s="514"/>
      <c r="I9" s="641"/>
      <c r="J9" s="527"/>
      <c r="K9" s="66"/>
      <c r="L9" s="470"/>
      <c r="M9" s="6"/>
      <c r="N9" s="6"/>
      <c r="O9" s="508"/>
      <c r="P9" s="469"/>
      <c r="Q9" s="6"/>
      <c r="R9" s="502"/>
      <c r="S9" s="527"/>
      <c r="T9" s="66"/>
      <c r="U9" s="470"/>
      <c r="V9" s="6"/>
      <c r="W9" s="6">
        <v>10</v>
      </c>
      <c r="X9" s="508"/>
      <c r="Y9" s="509"/>
      <c r="Z9" s="6"/>
      <c r="AA9" s="579" t="s">
        <v>152</v>
      </c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508"/>
      <c r="AR9" s="509"/>
      <c r="AS9" s="6"/>
      <c r="AT9" s="6"/>
      <c r="AU9" s="636"/>
      <c r="AV9" s="526"/>
    </row>
    <row r="10" spans="1:48" ht="67.2" customHeight="1" x14ac:dyDescent="0.35">
      <c r="A10" s="1477"/>
      <c r="B10" s="472">
        <v>2</v>
      </c>
      <c r="C10" s="493"/>
      <c r="D10" s="494"/>
      <c r="E10" s="494">
        <v>40</v>
      </c>
      <c r="F10" s="495"/>
      <c r="G10" s="566"/>
      <c r="H10" s="514"/>
      <c r="I10" s="641" t="s">
        <v>152</v>
      </c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>
        <v>462</v>
      </c>
      <c r="V10" s="6"/>
      <c r="W10" s="6">
        <v>15</v>
      </c>
      <c r="X10" s="508"/>
      <c r="Y10" s="465" t="s">
        <v>812</v>
      </c>
      <c r="Z10" s="469"/>
      <c r="AA10" s="579" t="s">
        <v>152</v>
      </c>
      <c r="AB10" s="527"/>
      <c r="AC10" s="66"/>
      <c r="AD10" s="470"/>
      <c r="AE10" s="6"/>
      <c r="AF10" s="6">
        <v>15</v>
      </c>
      <c r="AG10" s="508"/>
      <c r="AH10" s="469"/>
      <c r="AI10" s="502"/>
      <c r="AJ10" s="515" t="s">
        <v>152</v>
      </c>
      <c r="AK10" s="527"/>
      <c r="AM10" s="470"/>
      <c r="AN10" s="6"/>
      <c r="AO10" s="6"/>
      <c r="AP10" s="47"/>
      <c r="AQ10" s="508"/>
      <c r="AR10" s="509"/>
      <c r="AS10" s="6"/>
      <c r="AT10" s="502"/>
      <c r="AU10" s="47"/>
      <c r="AV10" s="526"/>
    </row>
    <row r="11" spans="1:48" ht="60" customHeight="1" x14ac:dyDescent="0.35">
      <c r="A11" s="1478">
        <v>45296</v>
      </c>
      <c r="B11" s="472">
        <v>1</v>
      </c>
      <c r="C11" s="493"/>
      <c r="D11" s="494"/>
      <c r="E11" s="494">
        <v>11</v>
      </c>
      <c r="F11" s="495"/>
      <c r="G11" s="565"/>
      <c r="H11" s="514"/>
      <c r="I11" s="641" t="s">
        <v>152</v>
      </c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>
        <v>25</v>
      </c>
      <c r="X11" s="508"/>
      <c r="Y11" s="509"/>
      <c r="Z11" s="6"/>
      <c r="AA11" s="579" t="s">
        <v>152</v>
      </c>
      <c r="AB11" s="508"/>
      <c r="AC11" s="66"/>
      <c r="AD11" s="470"/>
      <c r="AE11" s="6"/>
      <c r="AF11" s="6"/>
      <c r="AG11" s="508"/>
      <c r="AH11" s="509"/>
      <c r="AI11" s="6"/>
      <c r="AJ11" s="502"/>
      <c r="AK11" s="508"/>
      <c r="AM11" s="470"/>
      <c r="AN11" s="6"/>
      <c r="AO11" s="6"/>
      <c r="AP11" s="47"/>
      <c r="AQ11" s="508"/>
      <c r="AR11" s="509"/>
      <c r="AS11" s="6"/>
      <c r="AT11" s="6"/>
      <c r="AU11" s="47"/>
      <c r="AV11" s="526"/>
    </row>
    <row r="12" spans="1:48" ht="55.2" customHeight="1" x14ac:dyDescent="0.35">
      <c r="A12" s="1477"/>
      <c r="B12" s="472">
        <v>2</v>
      </c>
      <c r="C12" s="493"/>
      <c r="D12" s="494"/>
      <c r="E12" s="494">
        <v>20</v>
      </c>
      <c r="F12" s="495"/>
      <c r="G12" s="566"/>
      <c r="H12" s="514"/>
      <c r="I12" s="641" t="s">
        <v>152</v>
      </c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>
        <v>22</v>
      </c>
      <c r="X12" s="508"/>
      <c r="Y12" s="509"/>
      <c r="Z12" s="6"/>
      <c r="AA12" s="641" t="s">
        <v>152</v>
      </c>
      <c r="AB12" s="527"/>
      <c r="AC12" s="66"/>
      <c r="AD12" s="470">
        <v>239</v>
      </c>
      <c r="AE12" s="6"/>
      <c r="AF12" s="6"/>
      <c r="AG12" s="508"/>
      <c r="AH12" s="509" t="s">
        <v>813</v>
      </c>
      <c r="AI12" s="502"/>
      <c r="AJ12" s="502"/>
      <c r="AK12" s="527"/>
      <c r="AM12" s="470"/>
      <c r="AN12" s="6"/>
      <c r="AO12" s="6"/>
      <c r="AP12" s="47"/>
      <c r="AQ12" s="508"/>
      <c r="AR12" s="509"/>
      <c r="AS12" s="6"/>
      <c r="AT12" s="6"/>
      <c r="AU12" s="47"/>
      <c r="AV12" s="527"/>
    </row>
    <row r="13" spans="1:48" ht="34.950000000000003" customHeight="1" x14ac:dyDescent="0.35">
      <c r="A13" s="1478">
        <v>45297</v>
      </c>
      <c r="B13" s="472">
        <v>1</v>
      </c>
      <c r="C13" s="493"/>
      <c r="D13" s="494"/>
      <c r="E13" s="494">
        <v>59</v>
      </c>
      <c r="F13" s="495"/>
      <c r="G13" s="566"/>
      <c r="H13" s="514"/>
      <c r="I13" s="641" t="s">
        <v>152</v>
      </c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>
        <v>21</v>
      </c>
      <c r="W13" s="6">
        <v>47</v>
      </c>
      <c r="X13" s="495"/>
      <c r="Y13" s="469"/>
      <c r="Z13" s="502" t="s">
        <v>811</v>
      </c>
      <c r="AA13" s="641" t="s">
        <v>152</v>
      </c>
      <c r="AB13" s="527"/>
      <c r="AC13" s="66"/>
      <c r="AD13" s="470"/>
      <c r="AE13" s="6"/>
      <c r="AF13" s="6">
        <v>5</v>
      </c>
      <c r="AG13" s="495"/>
      <c r="AH13" s="509"/>
      <c r="AI13" s="6"/>
      <c r="AJ13" s="502" t="s">
        <v>152</v>
      </c>
      <c r="AK13" s="527"/>
      <c r="AM13" s="470"/>
      <c r="AN13" s="6"/>
      <c r="AO13" s="6"/>
      <c r="AP13" s="47"/>
      <c r="AQ13" s="495"/>
      <c r="AR13" s="509"/>
      <c r="AS13" s="6"/>
      <c r="AT13" s="6"/>
      <c r="AU13" s="47"/>
      <c r="AV13" s="527"/>
    </row>
    <row r="14" spans="1:48" ht="49.2" customHeight="1" x14ac:dyDescent="0.35">
      <c r="A14" s="1477"/>
      <c r="B14" s="472">
        <v>2</v>
      </c>
      <c r="C14" s="493"/>
      <c r="D14" s="494"/>
      <c r="E14" s="494">
        <v>25</v>
      </c>
      <c r="F14" s="495"/>
      <c r="G14" s="566"/>
      <c r="H14" s="515"/>
      <c r="I14" s="641" t="s">
        <v>152</v>
      </c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>
        <v>85</v>
      </c>
      <c r="W14" s="6">
        <v>25</v>
      </c>
      <c r="X14" s="495"/>
      <c r="Y14" s="469"/>
      <c r="Z14" s="502" t="s">
        <v>814</v>
      </c>
      <c r="AA14" s="641" t="s">
        <v>152</v>
      </c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/>
      <c r="AN14" s="6"/>
      <c r="AO14" s="6"/>
      <c r="AP14" s="47"/>
      <c r="AQ14" s="495"/>
      <c r="AR14" s="469"/>
      <c r="AS14" s="6"/>
      <c r="AT14" s="6"/>
      <c r="AU14" s="47"/>
      <c r="AV14" s="527"/>
    </row>
    <row r="15" spans="1:48" ht="48" customHeight="1" x14ac:dyDescent="0.35">
      <c r="A15" s="1478">
        <v>45298</v>
      </c>
      <c r="B15" s="472">
        <v>1</v>
      </c>
      <c r="C15" s="493"/>
      <c r="D15" s="494"/>
      <c r="E15" s="6">
        <v>7</v>
      </c>
      <c r="F15" s="495"/>
      <c r="G15" s="566"/>
      <c r="H15" s="515"/>
      <c r="I15" s="641" t="s">
        <v>152</v>
      </c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/>
      <c r="V15" s="6"/>
      <c r="W15" s="6"/>
      <c r="X15" s="495"/>
      <c r="Y15" s="566"/>
      <c r="Z15" s="515"/>
      <c r="AA15" s="579"/>
      <c r="AB15" s="527"/>
      <c r="AC15" s="66"/>
      <c r="AD15" s="470"/>
      <c r="AE15" s="6"/>
      <c r="AF15" s="66"/>
      <c r="AG15" s="495"/>
      <c r="AH15" s="566"/>
      <c r="AI15" s="515"/>
      <c r="AJ15" s="515"/>
      <c r="AK15" s="527"/>
      <c r="AM15" s="470"/>
      <c r="AN15" s="6"/>
      <c r="AO15" s="66"/>
      <c r="AP15" s="495"/>
      <c r="AQ15" s="566"/>
      <c r="AR15" s="515"/>
      <c r="AS15" s="515"/>
      <c r="AT15" s="515"/>
      <c r="AU15" s="527"/>
      <c r="AV15" s="527"/>
    </row>
    <row r="16" spans="1:48" ht="54.65" customHeight="1" x14ac:dyDescent="0.35">
      <c r="A16" s="1477"/>
      <c r="B16" s="472">
        <v>2</v>
      </c>
      <c r="C16" s="493">
        <v>238</v>
      </c>
      <c r="D16" s="494"/>
      <c r="E16" s="494"/>
      <c r="F16" s="495"/>
      <c r="G16" s="566" t="s">
        <v>513</v>
      </c>
      <c r="H16" s="638"/>
      <c r="I16" s="641"/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/>
      <c r="W16" s="6">
        <v>25</v>
      </c>
      <c r="X16" s="495"/>
      <c r="Y16" s="565"/>
      <c r="Z16" s="638"/>
      <c r="AA16" s="641" t="s">
        <v>152</v>
      </c>
      <c r="AB16" s="527"/>
      <c r="AC16" s="66"/>
      <c r="AD16" s="470"/>
      <c r="AE16" s="6"/>
      <c r="AF16" s="6"/>
      <c r="AG16" s="495"/>
      <c r="AH16" s="566"/>
      <c r="AI16" s="638"/>
      <c r="AJ16" s="6"/>
      <c r="AK16" s="527"/>
      <c r="AM16" s="470"/>
      <c r="AN16" s="6"/>
      <c r="AO16" s="6"/>
      <c r="AP16" s="495"/>
      <c r="AQ16" s="565"/>
      <c r="AR16" s="638"/>
      <c r="AS16" s="515"/>
      <c r="AT16" s="515"/>
      <c r="AU16" s="573"/>
      <c r="AV16" s="527"/>
    </row>
    <row r="17" spans="1:48" ht="66" customHeight="1" x14ac:dyDescent="0.35">
      <c r="A17" s="1478">
        <v>45299</v>
      </c>
      <c r="B17" s="534">
        <v>1</v>
      </c>
      <c r="C17" s="493"/>
      <c r="D17" s="494"/>
      <c r="E17" s="494">
        <v>10</v>
      </c>
      <c r="F17" s="495"/>
      <c r="G17" s="566"/>
      <c r="H17" s="514"/>
      <c r="I17" s="641" t="s">
        <v>152</v>
      </c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>
        <v>17</v>
      </c>
      <c r="X17" s="495"/>
      <c r="Y17" s="566"/>
      <c r="Z17" s="514"/>
      <c r="AA17" s="641" t="s">
        <v>152</v>
      </c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495"/>
      <c r="AQ17" s="566"/>
      <c r="AR17" s="514"/>
      <c r="AS17" s="515"/>
      <c r="AT17" s="579"/>
      <c r="AU17" s="527"/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>
        <v>19</v>
      </c>
      <c r="F18" s="495"/>
      <c r="G18" s="565"/>
      <c r="H18" s="638"/>
      <c r="I18" s="641" t="s">
        <v>152</v>
      </c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>
        <v>15</v>
      </c>
      <c r="V18" s="6">
        <v>10</v>
      </c>
      <c r="W18" s="6">
        <v>10</v>
      </c>
      <c r="X18" s="495"/>
      <c r="Y18" s="565" t="s">
        <v>815</v>
      </c>
      <c r="Z18" s="515" t="s">
        <v>61</v>
      </c>
      <c r="AA18" s="579" t="s">
        <v>522</v>
      </c>
      <c r="AB18" s="527"/>
      <c r="AC18" s="66"/>
      <c r="AD18" s="470"/>
      <c r="AE18" s="6">
        <v>10</v>
      </c>
      <c r="AF18" s="6"/>
      <c r="AG18" s="495"/>
      <c r="AH18" s="565"/>
      <c r="AI18" s="515" t="s">
        <v>61</v>
      </c>
      <c r="AJ18" s="514"/>
      <c r="AK18" s="527"/>
      <c r="AM18" s="470"/>
      <c r="AN18" s="6"/>
      <c r="AO18" s="6"/>
      <c r="AP18" s="47"/>
      <c r="AQ18" s="495"/>
      <c r="AR18" s="565"/>
      <c r="AS18" s="515"/>
      <c r="AT18" s="579"/>
      <c r="AU18" s="638"/>
      <c r="AV18" s="527"/>
    </row>
    <row r="19" spans="1:48" ht="33.65" customHeight="1" x14ac:dyDescent="0.35">
      <c r="A19" s="1478">
        <v>45300</v>
      </c>
      <c r="B19" s="472">
        <v>1</v>
      </c>
      <c r="C19" s="66"/>
      <c r="D19" s="494"/>
      <c r="E19" s="494">
        <v>4</v>
      </c>
      <c r="F19" s="495"/>
      <c r="G19" s="465"/>
      <c r="H19" s="6"/>
      <c r="I19" s="641" t="s">
        <v>152</v>
      </c>
      <c r="J19" s="527"/>
      <c r="K19" s="66"/>
      <c r="L19" s="470"/>
      <c r="M19" s="6">
        <v>135</v>
      </c>
      <c r="N19" s="6"/>
      <c r="O19" s="495"/>
      <c r="P19" s="470"/>
      <c r="Q19" s="6" t="s">
        <v>28</v>
      </c>
      <c r="R19" s="6"/>
      <c r="S19" s="527"/>
      <c r="T19" s="66"/>
      <c r="U19" s="470"/>
      <c r="V19" s="6"/>
      <c r="W19" s="6">
        <v>18</v>
      </c>
      <c r="X19" s="495"/>
      <c r="Y19" s="470"/>
      <c r="Z19" s="502"/>
      <c r="AA19" s="641" t="s">
        <v>152</v>
      </c>
      <c r="AB19" s="527"/>
      <c r="AC19" s="66"/>
      <c r="AD19" s="470"/>
      <c r="AE19" s="6"/>
      <c r="AF19" s="6">
        <v>4</v>
      </c>
      <c r="AG19" s="495"/>
      <c r="AH19" s="470"/>
      <c r="AI19" s="6"/>
      <c r="AJ19" s="579" t="s">
        <v>816</v>
      </c>
      <c r="AK19" s="527"/>
      <c r="AM19" s="470"/>
      <c r="AN19" s="6"/>
      <c r="AO19" s="6"/>
      <c r="AP19" s="47"/>
      <c r="AQ19" s="495"/>
      <c r="AR19" s="470"/>
      <c r="AS19" s="6"/>
      <c r="AT19" s="515"/>
      <c r="AU19" s="636"/>
      <c r="AV19" s="527"/>
    </row>
    <row r="20" spans="1:48" ht="31.2" customHeight="1" x14ac:dyDescent="0.35">
      <c r="A20" s="1477"/>
      <c r="B20" s="472">
        <v>2</v>
      </c>
      <c r="C20" s="493"/>
      <c r="D20" s="494"/>
      <c r="E20" s="494">
        <v>32</v>
      </c>
      <c r="F20" s="495"/>
      <c r="G20" s="465"/>
      <c r="H20" s="502"/>
      <c r="I20" s="641" t="s">
        <v>152</v>
      </c>
      <c r="J20" s="527"/>
      <c r="K20" s="66"/>
      <c r="L20" s="470"/>
      <c r="M20" s="6">
        <v>40</v>
      </c>
      <c r="N20" s="6"/>
      <c r="O20" s="495"/>
      <c r="P20" s="470"/>
      <c r="Q20" s="6" t="s">
        <v>28</v>
      </c>
      <c r="R20" s="605"/>
      <c r="S20" s="527"/>
      <c r="T20" s="66"/>
      <c r="U20" s="470"/>
      <c r="V20" s="6">
        <v>10</v>
      </c>
      <c r="W20" s="6">
        <v>35</v>
      </c>
      <c r="X20" s="495"/>
      <c r="Y20" s="470"/>
      <c r="Z20" s="6" t="s">
        <v>811</v>
      </c>
      <c r="AA20" s="641" t="s">
        <v>817</v>
      </c>
      <c r="AB20" s="527"/>
      <c r="AC20" s="66"/>
      <c r="AD20" s="470"/>
      <c r="AE20" s="6"/>
      <c r="AF20" s="6"/>
      <c r="AG20" s="495"/>
      <c r="AH20" s="470"/>
      <c r="AI20" s="502"/>
      <c r="AJ20" s="579"/>
      <c r="AK20" s="527"/>
      <c r="AM20" s="470">
        <v>597</v>
      </c>
      <c r="AN20" s="6"/>
      <c r="AO20" s="6"/>
      <c r="AP20" s="47"/>
      <c r="AQ20" s="495"/>
      <c r="AR20" s="470" t="s">
        <v>813</v>
      </c>
      <c r="AS20" s="502"/>
      <c r="AT20" s="502"/>
      <c r="AU20" s="645"/>
      <c r="AV20" s="527"/>
    </row>
    <row r="21" spans="1:48" ht="39.65" customHeight="1" x14ac:dyDescent="0.35">
      <c r="A21" s="1478">
        <v>45301</v>
      </c>
      <c r="B21" s="472">
        <v>1</v>
      </c>
      <c r="C21" s="493"/>
      <c r="D21" s="494"/>
      <c r="E21" s="494">
        <v>8</v>
      </c>
      <c r="F21" s="495"/>
      <c r="G21" s="569"/>
      <c r="H21" s="514"/>
      <c r="I21" s="641" t="s">
        <v>152</v>
      </c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>
        <v>12</v>
      </c>
      <c r="X21" s="495"/>
      <c r="Y21" s="465"/>
      <c r="Z21" s="6"/>
      <c r="AA21" s="641" t="s">
        <v>152</v>
      </c>
      <c r="AB21" s="527"/>
      <c r="AC21" s="66"/>
      <c r="AD21" s="470"/>
      <c r="AE21" s="6"/>
      <c r="AF21" s="6"/>
      <c r="AG21" s="495"/>
      <c r="AH21" s="470"/>
      <c r="AI21" s="6"/>
      <c r="AJ21" s="641"/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49.95" customHeight="1" x14ac:dyDescent="0.35">
      <c r="A22" s="1477"/>
      <c r="B22" s="472">
        <v>2</v>
      </c>
      <c r="C22" s="493"/>
      <c r="D22" s="494">
        <v>8</v>
      </c>
      <c r="E22" s="494"/>
      <c r="F22" s="495">
        <v>240</v>
      </c>
      <c r="G22" s="562"/>
      <c r="H22" s="515" t="s">
        <v>818</v>
      </c>
      <c r="I22" s="641"/>
      <c r="J22" s="527" t="s">
        <v>819</v>
      </c>
      <c r="K22" s="66"/>
      <c r="L22" s="470"/>
      <c r="M22" s="6"/>
      <c r="N22" s="6"/>
      <c r="O22" s="495">
        <v>240</v>
      </c>
      <c r="P22" s="469"/>
      <c r="Q22" s="6"/>
      <c r="R22" s="6"/>
      <c r="S22" s="527" t="s">
        <v>819</v>
      </c>
      <c r="T22" s="66"/>
      <c r="U22" s="470"/>
      <c r="V22" s="6"/>
      <c r="W22" s="6">
        <v>15</v>
      </c>
      <c r="X22" s="495">
        <v>240</v>
      </c>
      <c r="Y22" s="465"/>
      <c r="Z22" s="6"/>
      <c r="AA22" s="579" t="s">
        <v>191</v>
      </c>
      <c r="AB22" s="527" t="s">
        <v>819</v>
      </c>
      <c r="AC22" s="66"/>
      <c r="AD22" s="470"/>
      <c r="AE22" s="6"/>
      <c r="AF22" s="6">
        <v>24</v>
      </c>
      <c r="AG22" s="495">
        <v>240</v>
      </c>
      <c r="AH22" s="465"/>
      <c r="AI22" s="6"/>
      <c r="AJ22" s="579" t="s">
        <v>191</v>
      </c>
      <c r="AK22" s="527" t="s">
        <v>819</v>
      </c>
      <c r="AM22" s="470"/>
      <c r="AN22" s="6"/>
      <c r="AO22" s="6"/>
      <c r="AP22" s="47">
        <v>240</v>
      </c>
      <c r="AQ22" s="495"/>
      <c r="AR22" s="470"/>
      <c r="AS22" s="502"/>
      <c r="AT22" s="47"/>
      <c r="AU22" s="527" t="s">
        <v>819</v>
      </c>
      <c r="AV22" s="527"/>
    </row>
    <row r="23" spans="1:48" ht="47.5" customHeight="1" x14ac:dyDescent="0.35">
      <c r="A23" s="1478">
        <v>45302</v>
      </c>
      <c r="B23" s="534">
        <v>1</v>
      </c>
      <c r="C23" s="493"/>
      <c r="D23" s="494"/>
      <c r="E23" s="494"/>
      <c r="F23" s="495">
        <v>720</v>
      </c>
      <c r="G23" s="566"/>
      <c r="H23" s="514"/>
      <c r="I23" s="641"/>
      <c r="J23" s="527" t="s">
        <v>819</v>
      </c>
      <c r="K23" s="66"/>
      <c r="L23" s="470"/>
      <c r="M23" s="6"/>
      <c r="N23" s="6"/>
      <c r="O23" s="495">
        <v>720</v>
      </c>
      <c r="P23" s="566"/>
      <c r="Q23" s="514"/>
      <c r="R23" s="515"/>
      <c r="S23" s="527" t="s">
        <v>819</v>
      </c>
      <c r="T23" s="66"/>
      <c r="U23" s="470"/>
      <c r="V23" s="6"/>
      <c r="W23" s="6"/>
      <c r="X23" s="495">
        <v>720</v>
      </c>
      <c r="Y23" s="465"/>
      <c r="Z23" s="514"/>
      <c r="AA23" s="579"/>
      <c r="AB23" s="527" t="s">
        <v>819</v>
      </c>
      <c r="AC23" s="66"/>
      <c r="AD23" s="470"/>
      <c r="AE23" s="6"/>
      <c r="AF23" s="6"/>
      <c r="AG23" s="495">
        <v>720</v>
      </c>
      <c r="AH23" s="6"/>
      <c r="AI23" s="514"/>
      <c r="AJ23" s="515"/>
      <c r="AK23" s="527" t="s">
        <v>819</v>
      </c>
      <c r="AM23" s="470"/>
      <c r="AN23" s="6"/>
      <c r="AO23" s="6"/>
      <c r="AP23" s="47">
        <v>720</v>
      </c>
      <c r="AQ23" s="495"/>
      <c r="AR23" s="6"/>
      <c r="AS23" s="514"/>
      <c r="AT23" s="573"/>
      <c r="AU23" s="527" t="s">
        <v>819</v>
      </c>
      <c r="AV23" s="527"/>
    </row>
    <row r="24" spans="1:48" ht="49.95" customHeight="1" x14ac:dyDescent="0.35">
      <c r="A24" s="1477"/>
      <c r="B24" s="472">
        <v>2</v>
      </c>
      <c r="C24" s="493"/>
      <c r="D24" s="494">
        <v>120</v>
      </c>
      <c r="E24" s="494"/>
      <c r="F24" s="495">
        <v>194</v>
      </c>
      <c r="G24" s="566"/>
      <c r="H24" s="514" t="s">
        <v>820</v>
      </c>
      <c r="I24" s="641"/>
      <c r="J24" s="527" t="s">
        <v>819</v>
      </c>
      <c r="K24" s="66"/>
      <c r="L24" s="470"/>
      <c r="M24" s="6"/>
      <c r="N24" s="6"/>
      <c r="O24" s="495">
        <v>212</v>
      </c>
      <c r="P24" s="566"/>
      <c r="Q24" s="514"/>
      <c r="R24" s="515"/>
      <c r="S24" s="527" t="s">
        <v>819</v>
      </c>
      <c r="T24" s="66"/>
      <c r="U24" s="470"/>
      <c r="V24" s="6"/>
      <c r="W24" s="6"/>
      <c r="X24" s="495">
        <v>199</v>
      </c>
      <c r="Y24" s="566"/>
      <c r="Z24" s="514"/>
      <c r="AA24" s="641"/>
      <c r="AB24" s="527" t="s">
        <v>819</v>
      </c>
      <c r="AC24" s="66"/>
      <c r="AD24" s="470"/>
      <c r="AE24" s="6"/>
      <c r="AF24" s="6"/>
      <c r="AG24" s="495">
        <v>207</v>
      </c>
      <c r="AH24" s="566"/>
      <c r="AI24" s="514"/>
      <c r="AJ24" s="515"/>
      <c r="AK24" s="527" t="s">
        <v>819</v>
      </c>
      <c r="AM24" s="470"/>
      <c r="AN24" s="6"/>
      <c r="AO24" s="6"/>
      <c r="AP24" s="495">
        <v>215</v>
      </c>
      <c r="AQ24" s="566"/>
      <c r="AR24" s="514"/>
      <c r="AS24" s="514"/>
      <c r="AT24" s="527"/>
      <c r="AU24" s="527" t="s">
        <v>819</v>
      </c>
      <c r="AV24" s="527"/>
    </row>
    <row r="25" spans="1:48" ht="46.2" customHeight="1" x14ac:dyDescent="0.35">
      <c r="A25" s="1478">
        <v>45303</v>
      </c>
      <c r="B25" s="472">
        <v>1</v>
      </c>
      <c r="C25" s="493"/>
      <c r="D25" s="494"/>
      <c r="E25" s="494">
        <v>28</v>
      </c>
      <c r="F25" s="495"/>
      <c r="G25" s="566"/>
      <c r="H25" s="514"/>
      <c r="I25" s="641" t="s">
        <v>336</v>
      </c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>
        <v>57</v>
      </c>
      <c r="X25" s="495"/>
      <c r="Y25" s="465"/>
      <c r="Z25" s="502"/>
      <c r="AA25" s="579" t="s">
        <v>191</v>
      </c>
      <c r="AB25" s="527"/>
      <c r="AC25" s="66"/>
      <c r="AD25" s="470"/>
      <c r="AE25" s="6"/>
      <c r="AF25" s="6">
        <v>60</v>
      </c>
      <c r="AG25" s="495"/>
      <c r="AH25" s="6"/>
      <c r="AI25" s="502"/>
      <c r="AJ25" s="515" t="s">
        <v>821</v>
      </c>
      <c r="AK25" s="607"/>
      <c r="AM25" s="470"/>
      <c r="AN25" s="6"/>
      <c r="AO25" s="6"/>
      <c r="AP25" s="47"/>
      <c r="AQ25" s="495"/>
      <c r="AR25" s="6"/>
      <c r="AS25" s="6"/>
      <c r="AT25" s="47"/>
      <c r="AU25" s="47"/>
      <c r="AV25" s="527"/>
    </row>
    <row r="26" spans="1:48" ht="42" customHeight="1" x14ac:dyDescent="0.35">
      <c r="A26" s="1477"/>
      <c r="B26" s="472">
        <v>2</v>
      </c>
      <c r="C26" s="493"/>
      <c r="D26" s="494"/>
      <c r="E26" s="494">
        <v>37</v>
      </c>
      <c r="F26" s="495"/>
      <c r="G26" s="566"/>
      <c r="H26" s="515"/>
      <c r="I26" s="641" t="s">
        <v>336</v>
      </c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/>
      <c r="V26" s="494"/>
      <c r="W26" s="6">
        <v>19</v>
      </c>
      <c r="X26" s="495"/>
      <c r="Y26" s="566"/>
      <c r="Z26" s="515"/>
      <c r="AA26" s="579" t="s">
        <v>336</v>
      </c>
      <c r="AB26" s="527"/>
      <c r="AC26" s="66"/>
      <c r="AD26" s="470"/>
      <c r="AE26" s="494"/>
      <c r="AF26" s="6">
        <v>20</v>
      </c>
      <c r="AG26" s="495"/>
      <c r="AH26" s="566"/>
      <c r="AI26" s="515"/>
      <c r="AJ26" s="573" t="s">
        <v>657</v>
      </c>
      <c r="AK26" s="527"/>
      <c r="AM26" s="470"/>
      <c r="AN26" s="494"/>
      <c r="AO26" s="6"/>
      <c r="AP26" s="651"/>
      <c r="AQ26" s="495"/>
      <c r="AR26" s="566"/>
      <c r="AS26" s="515"/>
      <c r="AT26" s="573"/>
      <c r="AU26" s="527"/>
      <c r="AV26" s="527"/>
    </row>
    <row r="27" spans="1:48" ht="49.95" customHeight="1" x14ac:dyDescent="0.35">
      <c r="A27" s="1478">
        <v>45304</v>
      </c>
      <c r="B27" s="534">
        <v>1</v>
      </c>
      <c r="C27" s="493"/>
      <c r="D27" s="494"/>
      <c r="E27" s="494">
        <v>10</v>
      </c>
      <c r="F27" s="495"/>
      <c r="G27" s="566"/>
      <c r="H27" s="514"/>
      <c r="I27" s="573" t="s">
        <v>152</v>
      </c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>
        <v>35</v>
      </c>
      <c r="X27" s="495"/>
      <c r="Y27" s="566"/>
      <c r="Z27" s="514"/>
      <c r="AA27" s="579" t="s">
        <v>152</v>
      </c>
      <c r="AB27" s="527"/>
      <c r="AC27" s="66"/>
      <c r="AD27" s="470"/>
      <c r="AE27" s="6"/>
      <c r="AF27" s="6">
        <v>37</v>
      </c>
      <c r="AG27" s="495"/>
      <c r="AH27" s="566"/>
      <c r="AI27" s="6"/>
      <c r="AJ27" s="515" t="s">
        <v>152</v>
      </c>
      <c r="AK27" s="527"/>
      <c r="AM27" s="470">
        <v>80</v>
      </c>
      <c r="AN27" s="6"/>
      <c r="AO27" s="6"/>
      <c r="AP27" s="47"/>
      <c r="AQ27" s="495"/>
      <c r="AR27" s="502" t="s">
        <v>789</v>
      </c>
      <c r="AS27" s="6"/>
      <c r="AT27" s="573"/>
      <c r="AU27" s="527"/>
      <c r="AV27" s="527"/>
    </row>
    <row r="28" spans="1:48" ht="72" customHeight="1" x14ac:dyDescent="0.35">
      <c r="A28" s="1477"/>
      <c r="B28" s="472">
        <v>2</v>
      </c>
      <c r="C28" s="493"/>
      <c r="D28" s="494"/>
      <c r="E28" s="494">
        <v>40</v>
      </c>
      <c r="F28" s="495"/>
      <c r="G28" s="515"/>
      <c r="H28" s="515"/>
      <c r="I28" s="579"/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>
        <v>15</v>
      </c>
      <c r="V28" s="6"/>
      <c r="W28" s="66">
        <v>10</v>
      </c>
      <c r="X28" s="495"/>
      <c r="Y28" s="515" t="s">
        <v>743</v>
      </c>
      <c r="Z28" s="6"/>
      <c r="AA28" s="579" t="s">
        <v>152</v>
      </c>
      <c r="AB28" s="527"/>
      <c r="AC28" s="66"/>
      <c r="AD28" s="470">
        <v>10</v>
      </c>
      <c r="AE28" s="6"/>
      <c r="AF28" s="6"/>
      <c r="AG28" s="495"/>
      <c r="AH28" s="566" t="s">
        <v>743</v>
      </c>
      <c r="AI28" s="6"/>
      <c r="AJ28" s="573"/>
      <c r="AK28" s="527"/>
      <c r="AM28" s="470">
        <v>422</v>
      </c>
      <c r="AN28" s="6"/>
      <c r="AO28" s="6"/>
      <c r="AP28" s="47"/>
      <c r="AQ28" s="495"/>
      <c r="AR28" s="502" t="s">
        <v>822</v>
      </c>
      <c r="AS28" s="6"/>
      <c r="AT28" s="573"/>
      <c r="AU28" s="527"/>
      <c r="AV28" s="526"/>
    </row>
    <row r="29" spans="1:48" ht="66" customHeight="1" x14ac:dyDescent="0.35">
      <c r="A29" s="1478">
        <v>45305</v>
      </c>
      <c r="B29" s="472">
        <v>1</v>
      </c>
      <c r="C29" s="493"/>
      <c r="D29" s="494"/>
      <c r="E29" s="494">
        <v>10</v>
      </c>
      <c r="F29" s="495"/>
      <c r="G29" s="515"/>
      <c r="H29" s="514"/>
      <c r="I29" s="662" t="s">
        <v>152</v>
      </c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>
        <v>20</v>
      </c>
      <c r="X29" s="495"/>
      <c r="Y29" s="515"/>
      <c r="Z29" s="514"/>
      <c r="AA29" s="579" t="s">
        <v>152</v>
      </c>
      <c r="AB29" s="527"/>
      <c r="AC29" s="66"/>
      <c r="AD29" s="470"/>
      <c r="AE29" s="6"/>
      <c r="AF29" s="6"/>
      <c r="AG29" s="495"/>
      <c r="AH29" s="566"/>
      <c r="AI29" s="514"/>
      <c r="AJ29" s="515"/>
      <c r="AK29" s="527"/>
      <c r="AM29" s="470">
        <v>30</v>
      </c>
      <c r="AN29" s="6"/>
      <c r="AO29" s="6"/>
      <c r="AP29" s="47"/>
      <c r="AQ29" s="495"/>
      <c r="AR29" s="502" t="s">
        <v>822</v>
      </c>
      <c r="AS29" s="514"/>
      <c r="AT29" s="515"/>
      <c r="AU29" s="527"/>
      <c r="AV29" s="508"/>
    </row>
    <row r="30" spans="1:48" ht="39.65" customHeight="1" x14ac:dyDescent="0.35">
      <c r="A30" s="1477"/>
      <c r="B30" s="534">
        <v>2</v>
      </c>
      <c r="C30" s="493"/>
      <c r="D30" s="494">
        <v>12</v>
      </c>
      <c r="E30" s="494">
        <v>87</v>
      </c>
      <c r="F30" s="495"/>
      <c r="G30" s="566"/>
      <c r="H30" s="515" t="s">
        <v>818</v>
      </c>
      <c r="I30" s="579" t="s">
        <v>152</v>
      </c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>
        <v>100</v>
      </c>
      <c r="X30" s="495"/>
      <c r="Y30" s="566"/>
      <c r="Z30" s="514"/>
      <c r="AA30" s="579" t="s">
        <v>823</v>
      </c>
      <c r="AB30" s="527"/>
      <c r="AC30" s="66"/>
      <c r="AD30" s="470"/>
      <c r="AE30" s="6"/>
      <c r="AF30" s="6">
        <v>5</v>
      </c>
      <c r="AG30" s="495"/>
      <c r="AH30" s="566"/>
      <c r="AI30" s="515"/>
      <c r="AJ30" s="515" t="s">
        <v>522</v>
      </c>
      <c r="AK30" s="527"/>
      <c r="AM30" s="470">
        <v>10</v>
      </c>
      <c r="AN30" s="6"/>
      <c r="AO30" s="6"/>
      <c r="AP30" s="47"/>
      <c r="AQ30" s="495"/>
      <c r="AR30" s="469" t="s">
        <v>824</v>
      </c>
      <c r="AS30" s="502"/>
      <c r="AT30" s="636"/>
      <c r="AU30" s="527"/>
      <c r="AV30" s="508"/>
    </row>
    <row r="31" spans="1:48" ht="39.65" customHeight="1" x14ac:dyDescent="0.35">
      <c r="A31" s="1478">
        <v>45306</v>
      </c>
      <c r="B31" s="472">
        <v>1</v>
      </c>
      <c r="C31" s="493"/>
      <c r="D31" s="494"/>
      <c r="E31" s="494">
        <v>41</v>
      </c>
      <c r="F31" s="495"/>
      <c r="G31" s="566"/>
      <c r="H31" s="515"/>
      <c r="I31" s="641" t="s">
        <v>152</v>
      </c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>
        <v>47</v>
      </c>
      <c r="X31" s="495"/>
      <c r="Y31" s="469"/>
      <c r="Z31" s="6"/>
      <c r="AA31" s="579" t="s">
        <v>152</v>
      </c>
      <c r="AB31" s="527"/>
      <c r="AC31" s="66"/>
      <c r="AD31" s="470"/>
      <c r="AE31" s="6"/>
      <c r="AF31" s="6">
        <v>20</v>
      </c>
      <c r="AG31" s="495"/>
      <c r="AH31" s="566"/>
      <c r="AI31" s="6"/>
      <c r="AJ31" s="6" t="s">
        <v>825</v>
      </c>
      <c r="AK31" s="527"/>
      <c r="AM31" s="470"/>
      <c r="AN31" s="6"/>
      <c r="AO31" s="6"/>
      <c r="AP31" s="47"/>
      <c r="AQ31" s="495"/>
      <c r="AR31" s="509"/>
      <c r="AS31" s="6"/>
      <c r="AT31" s="6"/>
      <c r="AU31" s="527"/>
      <c r="AV31" s="527"/>
    </row>
    <row r="32" spans="1:48" ht="63" customHeight="1" x14ac:dyDescent="0.35">
      <c r="A32" s="1477"/>
      <c r="B32" s="472">
        <v>2</v>
      </c>
      <c r="C32" s="493">
        <v>8</v>
      </c>
      <c r="D32" s="494">
        <v>32</v>
      </c>
      <c r="E32" s="494">
        <v>38</v>
      </c>
      <c r="F32" s="495"/>
      <c r="G32" s="566" t="s">
        <v>743</v>
      </c>
      <c r="H32" s="565" t="s">
        <v>826</v>
      </c>
      <c r="I32" s="579" t="s">
        <v>152</v>
      </c>
      <c r="J32" s="527"/>
      <c r="K32" s="66"/>
      <c r="L32" s="470"/>
      <c r="M32" s="6"/>
      <c r="N32" s="6"/>
      <c r="O32" s="495"/>
      <c r="P32" s="509"/>
      <c r="Q32" s="6"/>
      <c r="R32" s="6"/>
      <c r="S32" s="527"/>
      <c r="T32" s="66"/>
      <c r="U32" s="470"/>
      <c r="V32" s="6">
        <v>6</v>
      </c>
      <c r="W32" s="494">
        <v>18</v>
      </c>
      <c r="X32" s="495"/>
      <c r="Y32" s="566"/>
      <c r="Z32" s="566" t="s">
        <v>520</v>
      </c>
      <c r="AA32" s="579" t="s">
        <v>152</v>
      </c>
      <c r="AB32" s="527"/>
      <c r="AC32" s="66"/>
      <c r="AD32" s="470">
        <v>10</v>
      </c>
      <c r="AE32" s="6">
        <v>5</v>
      </c>
      <c r="AF32" s="494">
        <v>24</v>
      </c>
      <c r="AG32" s="495"/>
      <c r="AH32" s="566" t="s">
        <v>743</v>
      </c>
      <c r="AI32" s="566" t="s">
        <v>520</v>
      </c>
      <c r="AJ32" s="565" t="s">
        <v>827</v>
      </c>
      <c r="AK32" s="527"/>
      <c r="AM32" s="470"/>
      <c r="AN32" s="6"/>
      <c r="AO32" s="6"/>
      <c r="AP32" s="47"/>
      <c r="AQ32" s="495"/>
      <c r="AR32" s="509"/>
      <c r="AS32" s="502"/>
      <c r="AT32" s="565"/>
      <c r="AU32" s="527"/>
      <c r="AV32" s="508"/>
    </row>
    <row r="33" spans="1:48" ht="43.2" customHeight="1" x14ac:dyDescent="0.35">
      <c r="A33" s="1478">
        <v>45307</v>
      </c>
      <c r="B33" s="472">
        <v>1</v>
      </c>
      <c r="C33" s="493"/>
      <c r="D33" s="494"/>
      <c r="E33" s="494">
        <v>33</v>
      </c>
      <c r="F33" s="495"/>
      <c r="G33" s="566"/>
      <c r="H33" s="515"/>
      <c r="I33" s="579" t="s">
        <v>152</v>
      </c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>
        <v>28</v>
      </c>
      <c r="X33" s="495"/>
      <c r="Y33" s="509"/>
      <c r="Z33" s="6"/>
      <c r="AA33" s="579" t="s">
        <v>152</v>
      </c>
      <c r="AB33" s="527"/>
      <c r="AC33" s="66"/>
      <c r="AD33" s="470"/>
      <c r="AE33" s="6"/>
      <c r="AF33" s="6"/>
      <c r="AG33" s="495"/>
      <c r="AH33" s="509"/>
      <c r="AI33" s="502"/>
      <c r="AJ33" s="579"/>
      <c r="AK33" s="527"/>
      <c r="AM33" s="470"/>
      <c r="AN33" s="6"/>
      <c r="AO33" s="6"/>
      <c r="AP33" s="47"/>
      <c r="AQ33" s="495"/>
      <c r="AR33" s="509"/>
      <c r="AS33" s="502"/>
      <c r="AT33" s="6"/>
      <c r="AU33" s="527"/>
      <c r="AV33" s="508"/>
    </row>
    <row r="34" spans="1:48" ht="67.95" customHeight="1" x14ac:dyDescent="0.35">
      <c r="A34" s="1477"/>
      <c r="B34" s="534">
        <v>2</v>
      </c>
      <c r="C34" s="494"/>
      <c r="D34" s="494"/>
      <c r="E34" s="494">
        <v>62</v>
      </c>
      <c r="F34" s="637"/>
      <c r="G34" s="565"/>
      <c r="H34" s="515"/>
      <c r="I34" s="579" t="s">
        <v>823</v>
      </c>
      <c r="J34" s="527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>
        <v>41</v>
      </c>
      <c r="X34" s="508"/>
      <c r="Y34" s="502"/>
      <c r="Z34" s="502"/>
      <c r="AA34" s="579" t="s">
        <v>823</v>
      </c>
      <c r="AB34" s="527"/>
      <c r="AC34" s="66"/>
      <c r="AD34" s="470"/>
      <c r="AE34" s="6"/>
      <c r="AF34" s="6"/>
      <c r="AG34" s="508"/>
      <c r="AH34" s="509"/>
      <c r="AI34" s="6"/>
      <c r="AJ34" s="502"/>
      <c r="AK34" s="527"/>
      <c r="AM34" s="470"/>
      <c r="AN34" s="6"/>
      <c r="AO34" s="6"/>
      <c r="AP34" s="47"/>
      <c r="AQ34" s="508"/>
      <c r="AR34" s="509"/>
      <c r="AS34" s="6"/>
      <c r="AT34" s="636"/>
      <c r="AU34" s="527"/>
      <c r="AV34" s="508"/>
    </row>
    <row r="35" spans="1:48" ht="51" customHeight="1" x14ac:dyDescent="0.35">
      <c r="A35" s="1478">
        <v>45308</v>
      </c>
      <c r="B35" s="472">
        <v>1</v>
      </c>
      <c r="C35" s="494"/>
      <c r="D35" s="494"/>
      <c r="E35" s="47">
        <v>40</v>
      </c>
      <c r="F35" s="636"/>
      <c r="G35" s="465"/>
      <c r="H35" s="509"/>
      <c r="I35" s="579" t="s">
        <v>823</v>
      </c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>
        <v>12</v>
      </c>
      <c r="W35" s="47">
        <v>27</v>
      </c>
      <c r="X35" s="526"/>
      <c r="Y35" s="465"/>
      <c r="Z35" s="6" t="s">
        <v>61</v>
      </c>
      <c r="AA35" s="579" t="s">
        <v>823</v>
      </c>
      <c r="AB35" s="508"/>
      <c r="AC35" s="66"/>
      <c r="AD35" s="470"/>
      <c r="AE35" s="6"/>
      <c r="AF35" s="6"/>
      <c r="AG35" s="469"/>
      <c r="AH35" s="465"/>
      <c r="AI35" s="6"/>
      <c r="AJ35" s="565"/>
      <c r="AK35" s="508"/>
      <c r="AM35" s="470"/>
      <c r="AN35" s="6"/>
      <c r="AO35" s="47"/>
      <c r="AP35" s="47"/>
      <c r="AQ35" s="526"/>
      <c r="AR35" s="465"/>
      <c r="AS35" s="573"/>
      <c r="AT35" s="502"/>
      <c r="AU35" s="636"/>
      <c r="AV35" s="508"/>
    </row>
    <row r="36" spans="1:48" ht="46.95" customHeight="1" x14ac:dyDescent="0.35">
      <c r="A36" s="1477"/>
      <c r="B36" s="472">
        <v>2</v>
      </c>
      <c r="C36" s="47">
        <v>10</v>
      </c>
      <c r="D36" s="6">
        <v>5</v>
      </c>
      <c r="E36" s="47">
        <v>37</v>
      </c>
      <c r="F36" s="636"/>
      <c r="G36" s="573" t="s">
        <v>743</v>
      </c>
      <c r="H36" s="515" t="s">
        <v>818</v>
      </c>
      <c r="I36" s="641" t="s">
        <v>152</v>
      </c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/>
      <c r="W36" s="6">
        <v>30</v>
      </c>
      <c r="X36" s="469"/>
      <c r="Y36" s="465"/>
      <c r="Z36" s="502"/>
      <c r="AA36" s="579" t="s">
        <v>328</v>
      </c>
      <c r="AB36" s="508"/>
      <c r="AC36" s="66"/>
      <c r="AD36" s="470"/>
      <c r="AE36" s="6"/>
      <c r="AF36" s="47">
        <v>9</v>
      </c>
      <c r="AG36" s="526"/>
      <c r="AH36" s="465"/>
      <c r="AI36" s="502"/>
      <c r="AJ36" s="579" t="s">
        <v>325</v>
      </c>
      <c r="AK36" s="508"/>
      <c r="AM36" s="470"/>
      <c r="AN36" s="6"/>
      <c r="AO36" s="6"/>
      <c r="AP36" s="509"/>
      <c r="AQ36" s="469"/>
      <c r="AR36" s="465"/>
      <c r="AS36" s="502"/>
      <c r="AT36" s="502"/>
      <c r="AU36" s="636"/>
      <c r="AV36" s="508"/>
    </row>
    <row r="37" spans="1:48" ht="59.5" customHeight="1" x14ac:dyDescent="0.35">
      <c r="A37" s="1478">
        <v>45309</v>
      </c>
      <c r="B37" s="534">
        <v>1</v>
      </c>
      <c r="C37" s="47"/>
      <c r="D37" s="494"/>
      <c r="E37" s="47">
        <v>10</v>
      </c>
      <c r="F37" s="47"/>
      <c r="G37" s="573"/>
      <c r="H37" s="469"/>
      <c r="I37" s="641" t="s">
        <v>152</v>
      </c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>
        <v>20</v>
      </c>
      <c r="X37" s="508"/>
      <c r="Y37" s="509"/>
      <c r="Z37" s="502"/>
      <c r="AA37" s="579" t="s">
        <v>152</v>
      </c>
      <c r="AB37" s="527"/>
      <c r="AC37" s="66"/>
      <c r="AD37" s="470"/>
      <c r="AE37" s="6"/>
      <c r="AF37" s="6">
        <v>6</v>
      </c>
      <c r="AG37" s="508"/>
      <c r="AH37" s="469"/>
      <c r="AI37" s="6"/>
      <c r="AJ37" s="579" t="s">
        <v>336</v>
      </c>
      <c r="AK37" s="508"/>
      <c r="AM37" s="470"/>
      <c r="AN37" s="6"/>
      <c r="AO37" s="6"/>
      <c r="AP37" s="47"/>
      <c r="AQ37" s="508"/>
      <c r="AR37" s="509"/>
      <c r="AS37" s="6"/>
      <c r="AT37" s="6"/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>
        <v>25</v>
      </c>
      <c r="E38" s="47"/>
      <c r="F38" s="637"/>
      <c r="G38" s="573"/>
      <c r="H38" s="469" t="s">
        <v>829</v>
      </c>
      <c r="I38" s="641"/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>
        <v>246</v>
      </c>
      <c r="V38" s="6"/>
      <c r="W38" s="6"/>
      <c r="X38" s="508"/>
      <c r="Y38" s="509" t="s">
        <v>828</v>
      </c>
      <c r="Z38" s="502"/>
      <c r="AA38" s="579"/>
      <c r="AB38" s="527"/>
      <c r="AC38" s="66"/>
      <c r="AD38" s="470"/>
      <c r="AE38" s="6"/>
      <c r="AF38" s="6">
        <v>10</v>
      </c>
      <c r="AG38" s="508"/>
      <c r="AH38" s="469"/>
      <c r="AI38" s="6"/>
      <c r="AJ38" s="579" t="s">
        <v>325</v>
      </c>
      <c r="AK38" s="527"/>
      <c r="AM38" s="470"/>
      <c r="AN38" s="6"/>
      <c r="AO38" s="6"/>
      <c r="AP38" s="47"/>
      <c r="AQ38" s="508"/>
      <c r="AR38" s="509"/>
      <c r="AS38" s="6"/>
      <c r="AT38" s="502"/>
      <c r="AU38" s="636"/>
      <c r="AV38" s="527"/>
    </row>
    <row r="39" spans="1:48" ht="70.95" customHeight="1" x14ac:dyDescent="0.35">
      <c r="A39" s="1478">
        <v>45310</v>
      </c>
      <c r="B39" s="472">
        <v>1</v>
      </c>
      <c r="C39" s="47"/>
      <c r="D39" s="494"/>
      <c r="E39" s="47"/>
      <c r="F39" s="637"/>
      <c r="G39" s="573"/>
      <c r="H39" s="469"/>
      <c r="I39" s="641"/>
      <c r="J39" s="527"/>
      <c r="K39" s="66"/>
      <c r="L39" s="470"/>
      <c r="M39" s="6"/>
      <c r="N39" s="6"/>
      <c r="O39" s="495"/>
      <c r="P39" s="573"/>
      <c r="Q39" s="514"/>
      <c r="R39" s="573"/>
      <c r="S39" s="527"/>
      <c r="T39" s="66"/>
      <c r="U39" s="470">
        <v>40</v>
      </c>
      <c r="V39" s="6"/>
      <c r="W39" s="6">
        <v>30</v>
      </c>
      <c r="X39" s="495"/>
      <c r="Y39" s="509" t="s">
        <v>828</v>
      </c>
      <c r="Z39" s="514"/>
      <c r="AA39" s="579" t="s">
        <v>830</v>
      </c>
      <c r="AB39" s="527"/>
      <c r="AC39" s="66"/>
      <c r="AD39" s="470"/>
      <c r="AE39" s="6"/>
      <c r="AF39" s="6"/>
      <c r="AG39" s="495"/>
      <c r="AH39" s="573"/>
      <c r="AI39" s="514"/>
      <c r="AJ39" s="573"/>
      <c r="AK39" s="527"/>
      <c r="AM39" s="470"/>
      <c r="AN39" s="6"/>
      <c r="AO39" s="6"/>
      <c r="AP39" s="495"/>
      <c r="AQ39" s="573"/>
      <c r="AR39" s="514"/>
      <c r="AS39" s="573"/>
      <c r="AT39" s="527"/>
      <c r="AU39" s="527"/>
      <c r="AV39" s="568"/>
    </row>
    <row r="40" spans="1:48" ht="72.650000000000006" customHeight="1" x14ac:dyDescent="0.35">
      <c r="A40" s="1477"/>
      <c r="B40" s="472">
        <v>2</v>
      </c>
      <c r="C40" s="494"/>
      <c r="D40" s="494">
        <v>15</v>
      </c>
      <c r="E40" s="494">
        <v>50</v>
      </c>
      <c r="F40" s="508"/>
      <c r="G40" s="573"/>
      <c r="H40" s="515" t="s">
        <v>61</v>
      </c>
      <c r="I40" s="515" t="s">
        <v>328</v>
      </c>
      <c r="J40" s="527"/>
      <c r="K40" s="66"/>
      <c r="L40" s="470"/>
      <c r="M40" s="6"/>
      <c r="N40" s="6"/>
      <c r="O40" s="508"/>
      <c r="P40" s="566"/>
      <c r="Q40" s="514"/>
      <c r="R40" s="573"/>
      <c r="S40" s="527"/>
      <c r="T40" s="66"/>
      <c r="U40" s="470">
        <v>89</v>
      </c>
      <c r="V40" s="6"/>
      <c r="W40" s="6">
        <v>26</v>
      </c>
      <c r="X40" s="508"/>
      <c r="Y40" s="566" t="s">
        <v>621</v>
      </c>
      <c r="Z40" s="514"/>
      <c r="AA40" s="565" t="s">
        <v>330</v>
      </c>
      <c r="AB40" s="527"/>
      <c r="AC40" s="66"/>
      <c r="AD40" s="470"/>
      <c r="AE40" s="6"/>
      <c r="AF40" s="6"/>
      <c r="AG40" s="508"/>
      <c r="AH40" s="465"/>
      <c r="AI40" s="515"/>
      <c r="AJ40" s="573"/>
      <c r="AK40" s="527"/>
      <c r="AM40" s="465"/>
      <c r="AN40" s="6"/>
      <c r="AO40" s="6"/>
      <c r="AP40" s="47"/>
      <c r="AQ40" s="508"/>
      <c r="AR40" s="566"/>
      <c r="AS40" s="514"/>
      <c r="AT40" s="573"/>
      <c r="AU40" s="527"/>
      <c r="AV40" s="527"/>
    </row>
    <row r="41" spans="1:48" ht="39.65" customHeight="1" x14ac:dyDescent="0.35">
      <c r="A41" s="1478">
        <v>45311</v>
      </c>
      <c r="B41" s="472">
        <v>1</v>
      </c>
      <c r="C41" s="493"/>
      <c r="D41" s="494"/>
      <c r="E41" s="494">
        <v>62</v>
      </c>
      <c r="F41" s="508"/>
      <c r="G41" s="566"/>
      <c r="H41" s="515"/>
      <c r="I41" s="515" t="s">
        <v>328</v>
      </c>
      <c r="J41" s="527"/>
      <c r="K41" s="66"/>
      <c r="L41" s="470"/>
      <c r="M41" s="6"/>
      <c r="N41" s="6"/>
      <c r="O41" s="508"/>
      <c r="P41" s="509"/>
      <c r="Q41" s="6"/>
      <c r="R41" s="573"/>
      <c r="S41" s="527"/>
      <c r="T41" s="66"/>
      <c r="U41" s="470"/>
      <c r="V41" s="6"/>
      <c r="W41" s="6">
        <v>47</v>
      </c>
      <c r="X41" s="508"/>
      <c r="Y41" s="509"/>
      <c r="Z41" s="502"/>
      <c r="AA41" s="579" t="s">
        <v>830</v>
      </c>
      <c r="AB41" s="508"/>
      <c r="AC41" s="66"/>
      <c r="AD41" s="470"/>
      <c r="AE41" s="6"/>
      <c r="AF41" s="6"/>
      <c r="AG41" s="508"/>
      <c r="AH41" s="465"/>
      <c r="AI41" s="502"/>
      <c r="AJ41" s="6"/>
      <c r="AK41" s="508"/>
      <c r="AM41" s="470"/>
      <c r="AN41" s="6"/>
      <c r="AO41" s="6"/>
      <c r="AP41" s="47"/>
      <c r="AQ41" s="508"/>
      <c r="AR41" s="509"/>
      <c r="AS41" s="502"/>
      <c r="AT41" s="573"/>
      <c r="AU41" s="47"/>
      <c r="AV41" s="508"/>
    </row>
    <row r="42" spans="1:48" ht="33" customHeight="1" x14ac:dyDescent="0.35">
      <c r="A42" s="1477"/>
      <c r="B42" s="472">
        <v>2</v>
      </c>
      <c r="C42" s="494"/>
      <c r="D42" s="494"/>
      <c r="E42" s="494">
        <v>103</v>
      </c>
      <c r="F42" s="508"/>
      <c r="G42" s="566"/>
      <c r="H42" s="515"/>
      <c r="I42" s="573" t="s">
        <v>831</v>
      </c>
      <c r="J42" s="527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>
        <v>47</v>
      </c>
      <c r="X42" s="508"/>
      <c r="Y42" s="469"/>
      <c r="Z42" s="6"/>
      <c r="AA42" s="579" t="s">
        <v>401</v>
      </c>
      <c r="AB42" s="527"/>
      <c r="AC42" s="66"/>
      <c r="AD42" s="470"/>
      <c r="AE42" s="6"/>
      <c r="AF42" s="6">
        <v>32</v>
      </c>
      <c r="AG42" s="508"/>
      <c r="AH42" s="509"/>
      <c r="AI42" s="6"/>
      <c r="AJ42" s="6" t="s">
        <v>401</v>
      </c>
      <c r="AK42" s="527"/>
      <c r="AM42" s="470"/>
      <c r="AN42" s="6"/>
      <c r="AO42" s="6"/>
      <c r="AP42" s="47"/>
      <c r="AQ42" s="508"/>
      <c r="AR42" s="509"/>
      <c r="AS42" s="6"/>
      <c r="AT42" s="6"/>
      <c r="AU42" s="527"/>
      <c r="AV42" s="508"/>
    </row>
    <row r="43" spans="1:48" ht="65.5" customHeight="1" x14ac:dyDescent="0.35">
      <c r="A43" s="1478">
        <v>45312</v>
      </c>
      <c r="B43" s="472">
        <v>1</v>
      </c>
      <c r="C43" s="494"/>
      <c r="D43" s="494"/>
      <c r="E43" s="494">
        <v>14</v>
      </c>
      <c r="F43" s="495"/>
      <c r="G43" s="514"/>
      <c r="H43" s="514"/>
      <c r="I43" s="641" t="s">
        <v>152</v>
      </c>
      <c r="J43" s="527"/>
      <c r="K43" s="66"/>
      <c r="L43" s="470"/>
      <c r="M43" s="6"/>
      <c r="N43" s="6"/>
      <c r="O43" s="508"/>
      <c r="P43" s="509"/>
      <c r="Q43" s="6"/>
      <c r="R43" s="6"/>
      <c r="S43" s="527"/>
      <c r="T43" s="66"/>
      <c r="U43" s="470"/>
      <c r="V43" s="6"/>
      <c r="W43" s="6">
        <v>32</v>
      </c>
      <c r="X43" s="508"/>
      <c r="Y43" s="509"/>
      <c r="Z43" s="6"/>
      <c r="AA43" s="579" t="s">
        <v>830</v>
      </c>
      <c r="AB43" s="527"/>
      <c r="AC43" s="66"/>
      <c r="AD43" s="470"/>
      <c r="AE43" s="6"/>
      <c r="AF43" s="6"/>
      <c r="AG43" s="508"/>
      <c r="AH43" s="502"/>
      <c r="AI43" s="515"/>
      <c r="AJ43" s="6"/>
      <c r="AK43" s="527"/>
      <c r="AM43" s="470"/>
      <c r="AN43" s="6"/>
      <c r="AO43" s="6"/>
      <c r="AP43" s="47"/>
      <c r="AQ43" s="508"/>
      <c r="AR43" s="502"/>
      <c r="AS43" s="515"/>
      <c r="AT43" s="6"/>
      <c r="AU43" s="527"/>
      <c r="AV43" s="508"/>
    </row>
    <row r="44" spans="1:48" ht="69" customHeight="1" x14ac:dyDescent="0.35">
      <c r="A44" s="1477"/>
      <c r="B44" s="472">
        <v>2</v>
      </c>
      <c r="C44" s="494"/>
      <c r="D44" s="494"/>
      <c r="E44" s="494">
        <v>50</v>
      </c>
      <c r="F44" s="495"/>
      <c r="G44" s="514"/>
      <c r="H44" s="515"/>
      <c r="I44" s="641" t="s">
        <v>152</v>
      </c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/>
      <c r="W44" s="494">
        <v>60</v>
      </c>
      <c r="X44" s="495"/>
      <c r="Y44" s="514"/>
      <c r="Z44" s="515"/>
      <c r="AA44" s="579" t="s">
        <v>830</v>
      </c>
      <c r="AB44" s="527"/>
      <c r="AC44" s="66"/>
      <c r="AD44" s="470"/>
      <c r="AE44" s="6"/>
      <c r="AF44" s="6">
        <v>20</v>
      </c>
      <c r="AG44" s="508"/>
      <c r="AH44" s="509"/>
      <c r="AI44" s="502"/>
      <c r="AJ44" s="579" t="s">
        <v>325</v>
      </c>
      <c r="AK44" s="527"/>
      <c r="AM44" s="470"/>
      <c r="AN44" s="6"/>
      <c r="AO44" s="6"/>
      <c r="AP44" s="47"/>
      <c r="AQ44" s="508"/>
      <c r="AR44" s="509"/>
      <c r="AS44" s="502"/>
      <c r="AT44" s="502"/>
      <c r="AU44" s="527"/>
      <c r="AV44" s="508"/>
    </row>
    <row r="45" spans="1:48" ht="48" customHeight="1" x14ac:dyDescent="0.35">
      <c r="A45" s="1478">
        <v>45313</v>
      </c>
      <c r="B45" s="472">
        <v>1</v>
      </c>
      <c r="C45" s="494"/>
      <c r="D45" s="494">
        <v>30</v>
      </c>
      <c r="E45" s="494"/>
      <c r="F45" s="495"/>
      <c r="G45" s="514"/>
      <c r="H45" s="514" t="s">
        <v>832</v>
      </c>
      <c r="I45" s="573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6"/>
      <c r="W45" s="6"/>
      <c r="X45" s="508"/>
      <c r="Y45" s="514"/>
      <c r="Z45" s="515"/>
      <c r="AA45" s="502"/>
      <c r="AB45" s="508"/>
      <c r="AC45" s="66"/>
      <c r="AD45" s="470"/>
      <c r="AE45" s="6"/>
      <c r="AF45" s="6"/>
      <c r="AG45" s="508"/>
      <c r="AH45" s="509"/>
      <c r="AI45" s="502"/>
      <c r="AJ45" s="502"/>
      <c r="AK45" s="508"/>
      <c r="AM45" s="470"/>
      <c r="AN45" s="6"/>
      <c r="AO45" s="6"/>
      <c r="AP45" s="47"/>
      <c r="AQ45" s="508"/>
      <c r="AR45" s="509"/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>
        <v>15</v>
      </c>
      <c r="F46" s="495"/>
      <c r="G46" s="514"/>
      <c r="H46" s="514"/>
      <c r="I46" s="641" t="s">
        <v>152</v>
      </c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>
        <v>5</v>
      </c>
      <c r="W46" s="6">
        <v>10</v>
      </c>
      <c r="X46" s="508"/>
      <c r="Y46" s="469"/>
      <c r="Z46" s="6" t="s">
        <v>811</v>
      </c>
      <c r="AA46" s="502" t="s">
        <v>152</v>
      </c>
      <c r="AB46" s="527"/>
      <c r="AC46" s="66"/>
      <c r="AD46" s="470"/>
      <c r="AE46" s="6"/>
      <c r="AF46" s="6">
        <v>6</v>
      </c>
      <c r="AG46" s="508"/>
      <c r="AH46" s="469"/>
      <c r="AI46" s="6"/>
      <c r="AJ46" s="579" t="s">
        <v>325</v>
      </c>
      <c r="AK46" s="527"/>
      <c r="AM46" s="470"/>
      <c r="AN46" s="6"/>
      <c r="AO46" s="6"/>
      <c r="AP46" s="47"/>
      <c r="AQ46" s="508"/>
      <c r="AR46" s="509"/>
      <c r="AS46" s="515"/>
      <c r="AT46" s="6"/>
      <c r="AU46" s="47"/>
      <c r="AV46" s="527"/>
    </row>
    <row r="47" spans="1:48" ht="58.95" customHeight="1" x14ac:dyDescent="0.35">
      <c r="A47" s="1478">
        <v>45314</v>
      </c>
      <c r="B47" s="472">
        <v>1</v>
      </c>
      <c r="C47" s="494"/>
      <c r="D47" s="494"/>
      <c r="E47" s="494">
        <v>27</v>
      </c>
      <c r="F47" s="495"/>
      <c r="G47" s="514"/>
      <c r="H47" s="514"/>
      <c r="I47" s="641" t="s">
        <v>152</v>
      </c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>
        <v>7</v>
      </c>
      <c r="W47" s="6">
        <v>27</v>
      </c>
      <c r="X47" s="508"/>
      <c r="Y47" s="509"/>
      <c r="Z47" s="502" t="s">
        <v>833</v>
      </c>
      <c r="AA47" s="502" t="s">
        <v>152</v>
      </c>
      <c r="AB47" s="527"/>
      <c r="AC47" s="66"/>
      <c r="AD47" s="470"/>
      <c r="AE47" s="6"/>
      <c r="AF47" s="6"/>
      <c r="AG47" s="508"/>
      <c r="AH47" s="469"/>
      <c r="AI47" s="515"/>
      <c r="AJ47" s="579"/>
      <c r="AK47" s="508"/>
      <c r="AM47" s="470"/>
      <c r="AN47" s="6"/>
      <c r="AO47" s="6"/>
      <c r="AP47" s="47"/>
      <c r="AQ47" s="508"/>
      <c r="AR47" s="509"/>
      <c r="AS47" s="515"/>
      <c r="AT47" s="6"/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27"/>
      <c r="K48" s="66"/>
      <c r="L48" s="470"/>
      <c r="M48" s="6"/>
      <c r="N48" s="6"/>
      <c r="O48" s="495"/>
      <c r="P48" s="515"/>
      <c r="Q48" s="515"/>
      <c r="R48" s="573"/>
      <c r="S48" s="527"/>
      <c r="T48" s="66"/>
      <c r="U48" s="470"/>
      <c r="V48" s="6"/>
      <c r="W48" s="6">
        <v>15</v>
      </c>
      <c r="X48" s="495"/>
      <c r="Y48" s="515"/>
      <c r="Z48" s="515"/>
      <c r="AA48" s="573" t="s">
        <v>834</v>
      </c>
      <c r="AB48" s="527"/>
      <c r="AC48" s="66"/>
      <c r="AD48" s="470"/>
      <c r="AE48" s="6"/>
      <c r="AF48" s="6"/>
      <c r="AG48" s="495"/>
      <c r="AH48" s="515"/>
      <c r="AI48" s="515"/>
      <c r="AJ48" s="573"/>
      <c r="AK48" s="527"/>
      <c r="AM48" s="470"/>
      <c r="AN48" s="6"/>
      <c r="AO48" s="470"/>
      <c r="AP48" s="6"/>
      <c r="AQ48" s="6"/>
      <c r="AR48" s="495"/>
      <c r="AS48" s="515"/>
      <c r="AT48" s="515"/>
      <c r="AU48" s="527"/>
      <c r="AV48" s="508"/>
    </row>
    <row r="49" spans="1:48" ht="36" customHeight="1" x14ac:dyDescent="0.35">
      <c r="A49" s="1478">
        <v>45315</v>
      </c>
      <c r="B49" s="472">
        <v>1</v>
      </c>
      <c r="C49" s="494"/>
      <c r="D49" s="494"/>
      <c r="E49" s="494">
        <v>27</v>
      </c>
      <c r="F49" s="495"/>
      <c r="G49" s="515"/>
      <c r="H49" s="514"/>
      <c r="I49" s="641" t="s">
        <v>152</v>
      </c>
      <c r="J49" s="527"/>
      <c r="K49" s="66"/>
      <c r="L49" s="470"/>
      <c r="M49" s="6"/>
      <c r="N49" s="6"/>
      <c r="O49" s="495"/>
      <c r="P49" s="515"/>
      <c r="Q49" s="514"/>
      <c r="R49" s="573"/>
      <c r="S49" s="527"/>
      <c r="T49" s="66"/>
      <c r="U49" s="470"/>
      <c r="V49" s="6"/>
      <c r="W49" s="6">
        <v>24</v>
      </c>
      <c r="X49" s="495"/>
      <c r="Y49" s="515"/>
      <c r="Z49" s="502"/>
      <c r="AA49" s="502" t="s">
        <v>152</v>
      </c>
      <c r="AB49" s="527"/>
      <c r="AC49" s="66"/>
      <c r="AD49" s="470"/>
      <c r="AE49" s="6"/>
      <c r="AF49" s="6"/>
      <c r="AG49" s="495"/>
      <c r="AH49" s="515"/>
      <c r="AI49" s="514"/>
      <c r="AJ49" s="573"/>
      <c r="AK49" s="527"/>
      <c r="AM49" s="470"/>
      <c r="AN49" s="6"/>
      <c r="AO49" s="6"/>
      <c r="AP49" s="495"/>
      <c r="AQ49" s="515"/>
      <c r="AR49" s="514"/>
      <c r="AS49" s="573"/>
      <c r="AT49" s="527"/>
      <c r="AU49" s="527"/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>
        <v>22</v>
      </c>
      <c r="F50" s="495"/>
      <c r="G50" s="514"/>
      <c r="H50" s="514"/>
      <c r="I50" s="573" t="s">
        <v>333</v>
      </c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>
        <v>9</v>
      </c>
      <c r="W50" s="6">
        <v>24</v>
      </c>
      <c r="X50" s="495"/>
      <c r="Y50" s="514"/>
      <c r="Z50" s="514" t="s">
        <v>835</v>
      </c>
      <c r="AA50" s="579" t="s">
        <v>333</v>
      </c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495"/>
      <c r="AQ50" s="514"/>
      <c r="AR50" s="514"/>
      <c r="AS50" s="573"/>
      <c r="AT50" s="527"/>
      <c r="AU50" s="527"/>
      <c r="AV50" s="527"/>
    </row>
    <row r="51" spans="1:48" ht="34.950000000000003" customHeight="1" x14ac:dyDescent="0.35">
      <c r="A51" s="1478">
        <v>45316</v>
      </c>
      <c r="B51" s="472">
        <v>1</v>
      </c>
      <c r="C51" s="494"/>
      <c r="D51" s="494"/>
      <c r="E51" s="494">
        <v>7</v>
      </c>
      <c r="F51" s="495"/>
      <c r="G51" s="514"/>
      <c r="H51" s="514"/>
      <c r="I51" s="641" t="s">
        <v>152</v>
      </c>
      <c r="J51" s="527"/>
      <c r="K51" s="66"/>
      <c r="L51" s="470"/>
      <c r="M51" s="6"/>
      <c r="N51" s="6"/>
      <c r="O51" s="495"/>
      <c r="P51" s="514"/>
      <c r="Q51" s="514"/>
      <c r="R51" s="573"/>
      <c r="S51" s="527"/>
      <c r="T51" s="66"/>
      <c r="U51" s="470"/>
      <c r="V51" s="6"/>
      <c r="W51" s="6">
        <v>17</v>
      </c>
      <c r="X51" s="495"/>
      <c r="Y51" s="514"/>
      <c r="Z51" s="514"/>
      <c r="AA51" s="579" t="s">
        <v>333</v>
      </c>
      <c r="AB51" s="527"/>
      <c r="AC51" s="66"/>
      <c r="AD51" s="470"/>
      <c r="AE51" s="6"/>
      <c r="AF51" s="6"/>
      <c r="AG51" s="495"/>
      <c r="AH51" s="514"/>
      <c r="AI51" s="514"/>
      <c r="AJ51" s="573"/>
      <c r="AK51" s="527"/>
      <c r="AM51" s="470"/>
      <c r="AN51" s="6"/>
      <c r="AO51" s="6"/>
      <c r="AP51" s="495"/>
      <c r="AQ51" s="514"/>
      <c r="AR51" s="514"/>
      <c r="AS51" s="573"/>
      <c r="AT51" s="527"/>
      <c r="AU51" s="527"/>
      <c r="AV51" s="508"/>
    </row>
    <row r="52" spans="1:48" ht="49.2" customHeight="1" x14ac:dyDescent="0.35">
      <c r="A52" s="1477"/>
      <c r="B52" s="472">
        <v>2</v>
      </c>
      <c r="C52" s="494"/>
      <c r="D52" s="494"/>
      <c r="E52" s="494">
        <v>16</v>
      </c>
      <c r="F52" s="495"/>
      <c r="G52" s="515"/>
      <c r="H52" s="515"/>
      <c r="I52" s="641" t="s">
        <v>152</v>
      </c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>
        <v>6</v>
      </c>
      <c r="W52" s="6">
        <v>31</v>
      </c>
      <c r="X52" s="495"/>
      <c r="Y52" s="515"/>
      <c r="Z52" s="502" t="s">
        <v>833</v>
      </c>
      <c r="AA52" s="579" t="s">
        <v>333</v>
      </c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8"/>
      <c r="AR52" s="509"/>
      <c r="AS52" s="6"/>
      <c r="AT52" s="527"/>
      <c r="AU52" s="527"/>
      <c r="AV52" s="508"/>
    </row>
    <row r="53" spans="1:48" ht="40.200000000000003" customHeight="1" x14ac:dyDescent="0.35">
      <c r="A53" s="1478">
        <v>45317</v>
      </c>
      <c r="B53" s="472">
        <v>1</v>
      </c>
      <c r="C53" s="494"/>
      <c r="D53" s="494">
        <v>247</v>
      </c>
      <c r="E53" s="494">
        <v>10</v>
      </c>
      <c r="F53" s="495"/>
      <c r="G53" s="514"/>
      <c r="H53" s="514" t="s">
        <v>836</v>
      </c>
      <c r="I53" s="641" t="s">
        <v>152</v>
      </c>
      <c r="J53" s="527"/>
      <c r="K53" s="66"/>
      <c r="L53" s="470"/>
      <c r="M53" s="6">
        <v>249</v>
      </c>
      <c r="N53" s="6"/>
      <c r="O53" s="508"/>
      <c r="P53" s="469"/>
      <c r="Q53" s="515" t="s">
        <v>836</v>
      </c>
      <c r="R53" s="6"/>
      <c r="S53" s="527"/>
      <c r="T53" s="66"/>
      <c r="U53" s="470"/>
      <c r="V53" s="6">
        <v>230</v>
      </c>
      <c r="W53" s="6"/>
      <c r="X53" s="508"/>
      <c r="Y53" s="469"/>
      <c r="Z53" s="6" t="s">
        <v>837</v>
      </c>
      <c r="AA53" s="502"/>
      <c r="AB53" s="508"/>
      <c r="AC53" s="66"/>
      <c r="AD53" s="470"/>
      <c r="AE53" s="502">
        <v>290</v>
      </c>
      <c r="AF53" s="6"/>
      <c r="AG53" s="508"/>
      <c r="AH53" s="509"/>
      <c r="AI53" s="6" t="s">
        <v>837</v>
      </c>
      <c r="AJ53" s="502"/>
      <c r="AK53" s="508"/>
      <c r="AM53" s="470"/>
      <c r="AN53" s="502">
        <v>350</v>
      </c>
      <c r="AO53" s="6"/>
      <c r="AP53" s="47"/>
      <c r="AQ53" s="508"/>
      <c r="AR53" s="509"/>
      <c r="AS53" s="6" t="s">
        <v>837</v>
      </c>
      <c r="AT53" s="6"/>
      <c r="AU53" s="47"/>
      <c r="AV53" s="508"/>
    </row>
    <row r="54" spans="1:48" ht="39.65" customHeight="1" x14ac:dyDescent="0.35">
      <c r="A54" s="1477"/>
      <c r="B54" s="500">
        <v>2</v>
      </c>
      <c r="C54" s="494"/>
      <c r="D54" s="494">
        <v>356</v>
      </c>
      <c r="E54" s="494"/>
      <c r="F54" s="495"/>
      <c r="G54" s="514"/>
      <c r="H54" s="515" t="s">
        <v>838</v>
      </c>
      <c r="I54" s="573"/>
      <c r="J54" s="527"/>
      <c r="K54" s="66"/>
      <c r="L54" s="470"/>
      <c r="M54" s="6">
        <v>295</v>
      </c>
      <c r="N54" s="6"/>
      <c r="O54" s="495"/>
      <c r="P54" s="514"/>
      <c r="Q54" s="515" t="s">
        <v>838</v>
      </c>
      <c r="R54" s="514"/>
      <c r="S54" s="527"/>
      <c r="T54" s="66"/>
      <c r="U54" s="470"/>
      <c r="V54" s="6">
        <v>345</v>
      </c>
      <c r="W54" s="6"/>
      <c r="X54" s="495"/>
      <c r="Y54" s="515"/>
      <c r="Z54" s="515" t="s">
        <v>838</v>
      </c>
      <c r="AA54" s="515"/>
      <c r="AB54" s="527"/>
      <c r="AC54" s="66"/>
      <c r="AD54" s="470"/>
      <c r="AE54" s="6">
        <v>317</v>
      </c>
      <c r="AF54" s="6"/>
      <c r="AG54" s="508"/>
      <c r="AH54" s="509"/>
      <c r="AI54" s="515" t="s">
        <v>838</v>
      </c>
      <c r="AJ54" s="6"/>
      <c r="AK54" s="527"/>
      <c r="AM54" s="470"/>
      <c r="AN54" s="6">
        <v>347</v>
      </c>
      <c r="AO54" s="6"/>
      <c r="AP54" s="47"/>
      <c r="AQ54" s="495"/>
      <c r="AR54" s="514"/>
      <c r="AS54" s="515" t="s">
        <v>838</v>
      </c>
      <c r="AT54" s="514"/>
      <c r="AU54" s="638"/>
      <c r="AV54" s="527"/>
    </row>
    <row r="55" spans="1:48" ht="39.65" customHeight="1" x14ac:dyDescent="0.35">
      <c r="A55" s="1478">
        <v>45318</v>
      </c>
      <c r="B55" s="472">
        <v>1</v>
      </c>
      <c r="C55" s="493"/>
      <c r="D55" s="494"/>
      <c r="E55" s="494"/>
      <c r="F55" s="495"/>
      <c r="G55" s="514"/>
      <c r="H55" s="514"/>
      <c r="I55" s="641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5"/>
      <c r="AA55" s="579"/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47"/>
      <c r="AQ55" s="508"/>
      <c r="AR55" s="509"/>
      <c r="AS55" s="515"/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641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02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7"/>
      <c r="AQ56" s="495"/>
      <c r="AR56" s="515"/>
      <c r="AS56" s="514"/>
      <c r="AT56" s="515"/>
      <c r="AU56" s="573"/>
      <c r="AV56" s="527"/>
    </row>
    <row r="57" spans="1:48" ht="52.2" customHeight="1" x14ac:dyDescent="0.35">
      <c r="A57" s="1478">
        <v>45319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02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/>
      <c r="E58" s="494">
        <v>32</v>
      </c>
      <c r="F58" s="495"/>
      <c r="G58" s="515"/>
      <c r="H58" s="514"/>
      <c r="I58" s="641" t="s">
        <v>152</v>
      </c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>
        <v>30</v>
      </c>
      <c r="X58" s="495"/>
      <c r="Y58" s="515"/>
      <c r="Z58" s="514"/>
      <c r="AA58" s="579" t="s">
        <v>333</v>
      </c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/>
      <c r="AP58" s="47"/>
      <c r="AQ58" s="495"/>
      <c r="AR58" s="515"/>
      <c r="AS58" s="514"/>
      <c r="AT58" s="515"/>
      <c r="AU58" s="573"/>
      <c r="AV58" s="527"/>
    </row>
    <row r="59" spans="1:48" ht="73.2" customHeight="1" x14ac:dyDescent="0.35">
      <c r="A59" s="1478">
        <v>45320</v>
      </c>
      <c r="B59" s="472">
        <v>1</v>
      </c>
      <c r="C59" s="493"/>
      <c r="D59" s="494"/>
      <c r="E59" s="494">
        <v>19</v>
      </c>
      <c r="F59" s="495"/>
      <c r="G59" s="514"/>
      <c r="H59" s="514"/>
      <c r="I59" s="641" t="s">
        <v>152</v>
      </c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>
        <v>17</v>
      </c>
      <c r="X59" s="508"/>
      <c r="Y59" s="509"/>
      <c r="Z59" s="6"/>
      <c r="AA59" s="579" t="s">
        <v>333</v>
      </c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58.95" customHeight="1" x14ac:dyDescent="0.35">
      <c r="A60" s="1477"/>
      <c r="B60" s="500">
        <v>2</v>
      </c>
      <c r="C60" s="493"/>
      <c r="D60" s="494">
        <v>186</v>
      </c>
      <c r="E60" s="494">
        <v>11</v>
      </c>
      <c r="F60" s="495"/>
      <c r="G60" s="514"/>
      <c r="H60" s="515" t="s">
        <v>839</v>
      </c>
      <c r="I60" s="641" t="s">
        <v>152</v>
      </c>
      <c r="J60" s="527"/>
      <c r="K60" s="66"/>
      <c r="L60" s="470"/>
      <c r="M60" s="6">
        <v>168</v>
      </c>
      <c r="N60" s="6"/>
      <c r="O60" s="508"/>
      <c r="P60" s="509"/>
      <c r="Q60" s="515" t="s">
        <v>839</v>
      </c>
      <c r="R60" s="6"/>
      <c r="S60" s="527"/>
      <c r="T60" s="66"/>
      <c r="U60" s="470"/>
      <c r="V60" s="6">
        <v>190</v>
      </c>
      <c r="W60" s="6">
        <v>6</v>
      </c>
      <c r="X60" s="508"/>
      <c r="Y60" s="469"/>
      <c r="Z60" s="515" t="s">
        <v>839</v>
      </c>
      <c r="AA60" s="502" t="s">
        <v>152</v>
      </c>
      <c r="AB60" s="527"/>
      <c r="AC60" s="66"/>
      <c r="AD60" s="470"/>
      <c r="AE60" s="6">
        <v>196</v>
      </c>
      <c r="AF60" s="6"/>
      <c r="AG60" s="508"/>
      <c r="AH60" s="509"/>
      <c r="AI60" s="515" t="s">
        <v>839</v>
      </c>
      <c r="AJ60" s="502"/>
      <c r="AK60" s="527"/>
      <c r="AM60" s="470"/>
      <c r="AN60" s="6">
        <v>195</v>
      </c>
      <c r="AO60" s="6"/>
      <c r="AP60" s="47"/>
      <c r="AQ60" s="508"/>
      <c r="AR60" s="509"/>
      <c r="AS60" s="515" t="s">
        <v>839</v>
      </c>
      <c r="AT60" s="502"/>
      <c r="AU60" s="636"/>
      <c r="AV60" s="527"/>
    </row>
    <row r="61" spans="1:48" ht="32.5" customHeight="1" x14ac:dyDescent="0.35">
      <c r="A61" s="1478">
        <v>45321</v>
      </c>
      <c r="B61" s="472">
        <v>1</v>
      </c>
      <c r="C61" s="618"/>
      <c r="D61" s="619">
        <v>12</v>
      </c>
      <c r="E61" s="494"/>
      <c r="F61" s="620"/>
      <c r="G61" s="514"/>
      <c r="H61" s="576" t="s">
        <v>601</v>
      </c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>
        <v>48</v>
      </c>
      <c r="W61" s="6"/>
      <c r="X61" s="508"/>
      <c r="Y61" s="469"/>
      <c r="Z61" s="502" t="s">
        <v>840</v>
      </c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47"/>
      <c r="AQ61" s="508"/>
      <c r="AR61" s="469"/>
      <c r="AS61" s="6"/>
      <c r="AT61" s="502"/>
      <c r="AU61" s="648"/>
      <c r="AV61" s="624"/>
    </row>
    <row r="62" spans="1:48" ht="62.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47"/>
      <c r="AQ62" s="508"/>
      <c r="AR62" s="509"/>
      <c r="AS62" s="6"/>
      <c r="AT62" s="502"/>
      <c r="AU62" s="648"/>
      <c r="AV62" s="624"/>
    </row>
    <row r="63" spans="1:48" ht="64.2" customHeight="1" x14ac:dyDescent="0.35">
      <c r="A63" s="1478">
        <v>45322</v>
      </c>
      <c r="B63" s="472">
        <v>1</v>
      </c>
      <c r="C63" s="587"/>
      <c r="D63" s="588"/>
      <c r="E63" s="588"/>
      <c r="F63" s="589"/>
      <c r="G63" s="598"/>
      <c r="H63" s="590"/>
      <c r="I63" s="573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502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7"/>
      <c r="AQ63" s="495"/>
      <c r="AR63" s="566"/>
      <c r="AS63" s="514"/>
      <c r="AT63" s="514"/>
      <c r="AU63" s="649"/>
      <c r="AV63" s="586"/>
    </row>
    <row r="64" spans="1:48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647"/>
      <c r="AQ64" s="528"/>
      <c r="AR64" s="529"/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256</v>
      </c>
      <c r="D65" s="65">
        <f>SUM(D3:D64)</f>
        <v>1048</v>
      </c>
      <c r="E65" s="631">
        <f>SUM(E3:E64)</f>
        <v>1329</v>
      </c>
      <c r="F65" s="65">
        <f>SUM(F3:F64)</f>
        <v>1154</v>
      </c>
      <c r="L65" s="65">
        <f>SUM(L3:L64)</f>
        <v>0</v>
      </c>
      <c r="M65" s="65">
        <f>SUM(M3:M64)</f>
        <v>1000</v>
      </c>
      <c r="N65" s="65">
        <f>SUM(N3:N64)</f>
        <v>0</v>
      </c>
      <c r="O65" s="65">
        <f>SUM(O3:O64)</f>
        <v>1172</v>
      </c>
      <c r="U65" s="65">
        <f>SUM(U3:U64)</f>
        <v>867</v>
      </c>
      <c r="V65" s="65">
        <f>SUM(V3:V64)</f>
        <v>999</v>
      </c>
      <c r="W65" s="65">
        <f>SUM(W3:W64)</f>
        <v>1191</v>
      </c>
      <c r="X65" s="65">
        <f>SUM(X3:X64)</f>
        <v>1159</v>
      </c>
      <c r="AD65" s="65">
        <f>SUM(AD3:AD64)</f>
        <v>259</v>
      </c>
      <c r="AE65" s="65">
        <f>SUM(AE3:AE64)</f>
        <v>818</v>
      </c>
      <c r="AF65" s="65">
        <f>SUM(AF3:AF64)</f>
        <v>302</v>
      </c>
      <c r="AG65" s="65">
        <f>SUM(AG3:AG64)</f>
        <v>1167</v>
      </c>
      <c r="AM65" s="65">
        <f>SUM(AM3:AM64)</f>
        <v>1139</v>
      </c>
      <c r="AN65" s="65">
        <f>SUM(AN3:AN64)</f>
        <v>892</v>
      </c>
      <c r="AO65" s="65">
        <f>SUM(AO3:AO64)</f>
        <v>30</v>
      </c>
      <c r="AP65" s="65"/>
      <c r="AQ65" s="65">
        <f>SUM(AQ3:AQ64)</f>
        <v>0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256</v>
      </c>
      <c r="D76" s="543">
        <f>C76/60</f>
        <v>4.2666666666666666</v>
      </c>
      <c r="E76" s="542">
        <f>D65</f>
        <v>1048</v>
      </c>
      <c r="F76" s="544">
        <f>E76/60</f>
        <v>17.466666666666665</v>
      </c>
      <c r="G76" s="542">
        <f>E65</f>
        <v>1329</v>
      </c>
      <c r="H76" s="543">
        <f>G76/60</f>
        <v>22.15</v>
      </c>
      <c r="I76" s="542">
        <f>F65</f>
        <v>1154</v>
      </c>
      <c r="J76" s="543">
        <f>I76/60</f>
        <v>19.233333333333334</v>
      </c>
    </row>
    <row r="77" spans="1:43" ht="19.5" customHeight="1" x14ac:dyDescent="0.4">
      <c r="B77" s="541" t="s">
        <v>219</v>
      </c>
      <c r="C77" s="545">
        <f>L65</f>
        <v>0</v>
      </c>
      <c r="D77" s="546">
        <f>C77/60</f>
        <v>0</v>
      </c>
      <c r="E77" s="545">
        <f>M65</f>
        <v>1000</v>
      </c>
      <c r="F77" s="547">
        <f>E77/60</f>
        <v>16.666666666666668</v>
      </c>
      <c r="G77" s="545">
        <f>N65</f>
        <v>0</v>
      </c>
      <c r="H77" s="546">
        <f>G77/60</f>
        <v>0</v>
      </c>
      <c r="I77" s="545">
        <f>O65</f>
        <v>1172</v>
      </c>
      <c r="J77" s="546">
        <f>I77/60</f>
        <v>19.533333333333335</v>
      </c>
    </row>
    <row r="78" spans="1:43" ht="20.25" customHeight="1" x14ac:dyDescent="0.4">
      <c r="B78" s="541" t="s">
        <v>220</v>
      </c>
      <c r="C78" s="545">
        <f>U65</f>
        <v>867</v>
      </c>
      <c r="D78" s="546">
        <f>C78/60</f>
        <v>14.45</v>
      </c>
      <c r="E78" s="545">
        <f>V65</f>
        <v>999</v>
      </c>
      <c r="F78" s="547">
        <f>E78/60</f>
        <v>16.649999999999999</v>
      </c>
      <c r="G78" s="545">
        <f>W65</f>
        <v>1191</v>
      </c>
      <c r="H78" s="546">
        <f>G78/60</f>
        <v>19.850000000000001</v>
      </c>
      <c r="I78" s="545">
        <f>X65</f>
        <v>1159</v>
      </c>
      <c r="J78" s="546">
        <f>I78/60</f>
        <v>19.316666666666666</v>
      </c>
    </row>
    <row r="79" spans="1:43" ht="22.5" customHeight="1" thickBot="1" x14ac:dyDescent="0.45">
      <c r="B79" s="541" t="s">
        <v>221</v>
      </c>
      <c r="C79" s="548">
        <f>AD65</f>
        <v>259</v>
      </c>
      <c r="D79" s="549">
        <f>C79/60</f>
        <v>4.3166666666666664</v>
      </c>
      <c r="E79" s="548">
        <f>AE65</f>
        <v>818</v>
      </c>
      <c r="F79" s="550">
        <f>E79/60</f>
        <v>13.633333333333333</v>
      </c>
      <c r="G79" s="548">
        <f>AF65</f>
        <v>302</v>
      </c>
      <c r="H79" s="549">
        <f>G79/60</f>
        <v>5.0333333333333332</v>
      </c>
      <c r="I79" s="548">
        <f>AG65</f>
        <v>1167</v>
      </c>
      <c r="J79" s="549">
        <f>I79/60</f>
        <v>19.45</v>
      </c>
    </row>
    <row r="80" spans="1:43" ht="22.5" customHeight="1" thickBot="1" x14ac:dyDescent="0.45">
      <c r="B80" s="541" t="s">
        <v>488</v>
      </c>
      <c r="C80" s="643">
        <f>AM65</f>
        <v>1139</v>
      </c>
      <c r="D80" s="642">
        <f>C80/60</f>
        <v>18.983333333333334</v>
      </c>
      <c r="E80" s="643">
        <f>AN65</f>
        <v>892</v>
      </c>
      <c r="F80" s="644">
        <f>E80/60</f>
        <v>14.866666666666667</v>
      </c>
      <c r="G80" s="643">
        <f>AO65</f>
        <v>30</v>
      </c>
      <c r="H80" s="642">
        <f>G80/60</f>
        <v>0.5</v>
      </c>
      <c r="I80" s="643">
        <f>AQ65</f>
        <v>0</v>
      </c>
      <c r="J80" s="642">
        <f>I80/60</f>
        <v>0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42.016666666666666</v>
      </c>
      <c r="E82" s="556"/>
      <c r="F82" s="557">
        <f>SUM(F76:F80)</f>
        <v>79.283333333333331</v>
      </c>
      <c r="G82" s="556"/>
      <c r="H82" s="557">
        <f>SUM(H76:H80)</f>
        <v>47.533333333333331</v>
      </c>
      <c r="I82" s="556"/>
      <c r="J82" s="558">
        <f>AVERAGE(J76:J80)</f>
        <v>15.506666666666666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Q1"/>
    <mergeCell ref="AR1:AV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V82"/>
  <sheetViews>
    <sheetView zoomScale="60" zoomScaleNormal="60" workbookViewId="0">
      <pane xSplit="2" ySplit="2" topLeftCell="C63" activePane="bottomRight" state="frozen"/>
      <selection pane="topRight" activeCell="C1" sqref="C1"/>
      <selection pane="bottomLeft" activeCell="A3" sqref="A3"/>
      <selection pane="bottomRight" activeCell="F48" sqref="F48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5.6914062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3" width="10.69140625" style="423" customWidth="1"/>
    <col min="44" max="44" width="21.15234375" style="423" customWidth="1"/>
    <col min="45" max="45" width="26.3046875" style="423" customWidth="1"/>
    <col min="46" max="46" width="27.15234375" style="423" customWidth="1"/>
    <col min="47" max="47" width="24.3828125" style="423" customWidth="1"/>
    <col min="48" max="48" width="26.53515625" style="423" customWidth="1"/>
    <col min="49" max="16384" width="8.84375" style="423"/>
  </cols>
  <sheetData>
    <row r="1" spans="1:48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3"/>
      <c r="AR1" s="1354" t="s">
        <v>206</v>
      </c>
      <c r="AS1" s="1354"/>
      <c r="AT1" s="1354"/>
      <c r="AU1" s="1354"/>
      <c r="AV1" s="1355"/>
    </row>
    <row r="2" spans="1:48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5" t="s">
        <v>204</v>
      </c>
      <c r="AR2" s="657" t="s">
        <v>199</v>
      </c>
      <c r="AS2" s="655" t="s">
        <v>200</v>
      </c>
      <c r="AT2" s="655" t="s">
        <v>201</v>
      </c>
      <c r="AU2" s="655" t="s">
        <v>204</v>
      </c>
      <c r="AV2" s="655" t="s">
        <v>204</v>
      </c>
    </row>
    <row r="3" spans="1:48" ht="78" customHeight="1" x14ac:dyDescent="0.35">
      <c r="A3" s="1478">
        <v>45323</v>
      </c>
      <c r="B3" s="501">
        <v>1</v>
      </c>
      <c r="C3" s="490"/>
      <c r="D3" s="491"/>
      <c r="E3" s="6"/>
      <c r="F3" s="492"/>
      <c r="G3" s="566"/>
      <c r="H3" s="514"/>
      <c r="I3" s="515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6"/>
      <c r="X3" s="508"/>
      <c r="Y3" s="469"/>
      <c r="Z3" s="521"/>
      <c r="AA3" s="515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80"/>
      <c r="AQ3" s="520"/>
      <c r="AR3" s="521"/>
      <c r="AS3" s="538"/>
      <c r="AT3" s="6"/>
      <c r="AU3" s="80"/>
      <c r="AV3" s="520"/>
    </row>
    <row r="4" spans="1:48" ht="70.2" customHeight="1" x14ac:dyDescent="0.35">
      <c r="A4" s="1477"/>
      <c r="B4" s="472">
        <v>2</v>
      </c>
      <c r="C4" s="493"/>
      <c r="D4" s="494"/>
      <c r="E4" s="494">
        <v>5</v>
      </c>
      <c r="F4" s="495"/>
      <c r="G4" s="566"/>
      <c r="H4" s="514"/>
      <c r="I4" s="641" t="s">
        <v>152</v>
      </c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>
        <v>10</v>
      </c>
      <c r="X4" s="508"/>
      <c r="Y4" s="469"/>
      <c r="Z4" s="514"/>
      <c r="AA4" s="579" t="s">
        <v>325</v>
      </c>
      <c r="AB4" s="603"/>
      <c r="AC4" s="66"/>
      <c r="AD4" s="470"/>
      <c r="AE4" s="6"/>
      <c r="AF4" s="6"/>
      <c r="AG4" s="508"/>
      <c r="AH4" s="509"/>
      <c r="AI4" s="514"/>
      <c r="AJ4" s="6"/>
      <c r="AK4" s="508"/>
      <c r="AM4" s="470"/>
      <c r="AN4" s="6"/>
      <c r="AO4" s="6"/>
      <c r="AP4" s="47"/>
      <c r="AQ4" s="508"/>
      <c r="AR4" s="509"/>
      <c r="AS4" s="515"/>
      <c r="AT4" s="6"/>
      <c r="AU4" s="47"/>
      <c r="AV4" s="508"/>
    </row>
    <row r="5" spans="1:48" ht="60" customHeight="1" x14ac:dyDescent="0.35">
      <c r="A5" s="1478">
        <v>45324</v>
      </c>
      <c r="B5" s="472">
        <v>1</v>
      </c>
      <c r="C5" s="493"/>
      <c r="D5" s="494"/>
      <c r="E5" s="494">
        <v>15</v>
      </c>
      <c r="F5" s="495"/>
      <c r="G5" s="565"/>
      <c r="H5" s="565"/>
      <c r="I5" s="641" t="s">
        <v>152</v>
      </c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>
        <v>10</v>
      </c>
      <c r="X5" s="508"/>
      <c r="Y5" s="469"/>
      <c r="Z5" s="6"/>
      <c r="AA5" s="579" t="s">
        <v>152</v>
      </c>
      <c r="AB5" s="604"/>
      <c r="AC5" s="66"/>
      <c r="AD5" s="470"/>
      <c r="AE5" s="6"/>
      <c r="AF5" s="6"/>
      <c r="AG5" s="508"/>
      <c r="AH5" s="509"/>
      <c r="AI5" s="6"/>
      <c r="AJ5" s="661"/>
      <c r="AK5" s="508"/>
      <c r="AM5" s="470">
        <v>192</v>
      </c>
      <c r="AN5" s="6"/>
      <c r="AO5" s="6"/>
      <c r="AP5" s="47"/>
      <c r="AQ5" s="508"/>
      <c r="AR5" s="509" t="s">
        <v>45</v>
      </c>
      <c r="AS5" s="6"/>
      <c r="AT5" s="502"/>
      <c r="AU5" s="636"/>
      <c r="AV5" s="526"/>
    </row>
    <row r="6" spans="1:48" ht="80.5" customHeight="1" x14ac:dyDescent="0.35">
      <c r="A6" s="1477"/>
      <c r="B6" s="472">
        <v>2</v>
      </c>
      <c r="C6" s="493"/>
      <c r="D6" s="494">
        <v>13</v>
      </c>
      <c r="E6" s="494"/>
      <c r="F6" s="495"/>
      <c r="G6" s="566"/>
      <c r="H6" s="515" t="s">
        <v>841</v>
      </c>
      <c r="I6" s="641"/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/>
      <c r="V6" s="6">
        <v>10</v>
      </c>
      <c r="W6" s="6"/>
      <c r="X6" s="508"/>
      <c r="Y6" s="509"/>
      <c r="Z6" s="515" t="s">
        <v>833</v>
      </c>
      <c r="AA6" s="579"/>
      <c r="AB6" s="508"/>
      <c r="AC6" s="66"/>
      <c r="AD6" s="470"/>
      <c r="AE6" s="6"/>
      <c r="AF6" s="6"/>
      <c r="AG6" s="508"/>
      <c r="AH6" s="509"/>
      <c r="AI6" s="6"/>
      <c r="AJ6" s="6"/>
      <c r="AK6" s="508"/>
      <c r="AM6" s="470">
        <v>720</v>
      </c>
      <c r="AN6" s="6"/>
      <c r="AO6" s="6"/>
      <c r="AP6" s="47"/>
      <c r="AQ6" s="508"/>
      <c r="AR6" s="509" t="s">
        <v>45</v>
      </c>
      <c r="AS6" s="6"/>
      <c r="AT6" s="502"/>
      <c r="AU6" s="636"/>
      <c r="AV6" s="526"/>
    </row>
    <row r="7" spans="1:48" ht="71.5" customHeight="1" x14ac:dyDescent="0.35">
      <c r="A7" s="1478">
        <v>45325</v>
      </c>
      <c r="B7" s="472">
        <v>1</v>
      </c>
      <c r="C7" s="493"/>
      <c r="D7" s="494"/>
      <c r="E7" s="494">
        <v>18</v>
      </c>
      <c r="F7" s="495"/>
      <c r="G7" s="566"/>
      <c r="H7" s="515"/>
      <c r="I7" s="662" t="s">
        <v>823</v>
      </c>
      <c r="J7" s="568"/>
      <c r="K7" s="66"/>
      <c r="L7" s="470"/>
      <c r="M7" s="509"/>
      <c r="N7" s="6"/>
      <c r="O7" s="508"/>
      <c r="P7" s="509"/>
      <c r="Q7" s="660"/>
      <c r="R7" s="6"/>
      <c r="S7" s="508"/>
      <c r="T7" s="66"/>
      <c r="U7" s="470"/>
      <c r="V7" s="6"/>
      <c r="W7" s="6">
        <v>19</v>
      </c>
      <c r="X7" s="508"/>
      <c r="Y7" s="509"/>
      <c r="Z7" s="515"/>
      <c r="AA7" s="579" t="s">
        <v>152</v>
      </c>
      <c r="AB7" s="508"/>
      <c r="AC7" s="66"/>
      <c r="AD7" s="470"/>
      <c r="AE7" s="6"/>
      <c r="AF7" s="6"/>
      <c r="AG7" s="508"/>
      <c r="AH7" s="509"/>
      <c r="AI7" s="660"/>
      <c r="AJ7" s="6"/>
      <c r="AK7" s="508"/>
      <c r="AM7" s="470">
        <v>720</v>
      </c>
      <c r="AN7" s="6"/>
      <c r="AO7" s="6"/>
      <c r="AP7" s="47"/>
      <c r="AQ7" s="508"/>
      <c r="AR7" s="509" t="s">
        <v>45</v>
      </c>
      <c r="AS7" s="660"/>
      <c r="AT7" s="515"/>
      <c r="AU7" s="573"/>
      <c r="AV7" s="526"/>
    </row>
    <row r="8" spans="1:48" ht="69.650000000000006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641"/>
      <c r="J8" s="527"/>
      <c r="K8" s="66"/>
      <c r="L8" s="470"/>
      <c r="M8" s="6"/>
      <c r="N8" s="6"/>
      <c r="O8" s="508"/>
      <c r="P8" s="469"/>
      <c r="Q8" s="6"/>
      <c r="R8" s="502"/>
      <c r="S8" s="527"/>
      <c r="T8" s="66"/>
      <c r="U8" s="470">
        <v>25</v>
      </c>
      <c r="V8" s="639"/>
      <c r="W8" s="509"/>
      <c r="X8" s="508"/>
      <c r="Y8" s="469" t="s">
        <v>842</v>
      </c>
      <c r="Z8" s="6"/>
      <c r="AA8" s="579"/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>
        <v>492</v>
      </c>
      <c r="AN8" s="6"/>
      <c r="AO8" s="6"/>
      <c r="AP8" s="47"/>
      <c r="AQ8" s="508"/>
      <c r="AR8" s="509" t="s">
        <v>45</v>
      </c>
      <c r="AS8" s="6"/>
      <c r="AT8" s="6"/>
      <c r="AU8" s="47"/>
      <c r="AV8" s="526"/>
    </row>
    <row r="9" spans="1:48" ht="76.95" customHeight="1" x14ac:dyDescent="0.35">
      <c r="A9" s="1478">
        <v>45326</v>
      </c>
      <c r="B9" s="472">
        <v>1</v>
      </c>
      <c r="C9" s="493"/>
      <c r="D9" s="494">
        <v>49</v>
      </c>
      <c r="E9" s="494">
        <v>7</v>
      </c>
      <c r="F9" s="495"/>
      <c r="G9" s="565"/>
      <c r="H9" s="514" t="s">
        <v>811</v>
      </c>
      <c r="I9" s="641"/>
      <c r="J9" s="527"/>
      <c r="K9" s="66"/>
      <c r="L9" s="470"/>
      <c r="M9" s="6">
        <v>45</v>
      </c>
      <c r="N9" s="6"/>
      <c r="O9" s="508"/>
      <c r="P9" s="469"/>
      <c r="Q9" s="6" t="s">
        <v>811</v>
      </c>
      <c r="R9" s="502"/>
      <c r="S9" s="527"/>
      <c r="T9" s="66"/>
      <c r="U9" s="470"/>
      <c r="V9" s="6"/>
      <c r="W9" s="6">
        <v>10</v>
      </c>
      <c r="X9" s="508"/>
      <c r="Y9" s="509"/>
      <c r="Z9" s="6"/>
      <c r="AA9" s="579" t="s">
        <v>152</v>
      </c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508"/>
      <c r="AR9" s="509"/>
      <c r="AS9" s="6"/>
      <c r="AT9" s="6"/>
      <c r="AU9" s="636"/>
      <c r="AV9" s="526"/>
    </row>
    <row r="10" spans="1:48" ht="67.2" customHeight="1" x14ac:dyDescent="0.35">
      <c r="A10" s="1477"/>
      <c r="B10" s="472">
        <v>2</v>
      </c>
      <c r="C10" s="493"/>
      <c r="D10" s="494"/>
      <c r="E10" s="494">
        <v>30</v>
      </c>
      <c r="F10" s="495"/>
      <c r="G10" s="566"/>
      <c r="H10" s="514"/>
      <c r="I10" s="641" t="s">
        <v>843</v>
      </c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/>
      <c r="V10" s="6"/>
      <c r="W10" s="6"/>
      <c r="X10" s="508"/>
      <c r="Y10" s="465"/>
      <c r="Z10" s="469"/>
      <c r="AA10" s="579"/>
      <c r="AB10" s="527"/>
      <c r="AC10" s="66"/>
      <c r="AD10" s="470"/>
      <c r="AE10" s="6"/>
      <c r="AF10" s="6"/>
      <c r="AG10" s="508"/>
      <c r="AH10" s="469"/>
      <c r="AI10" s="502"/>
      <c r="AJ10" s="515"/>
      <c r="AK10" s="527"/>
      <c r="AM10" s="470"/>
      <c r="AN10" s="6"/>
      <c r="AO10" s="6"/>
      <c r="AP10" s="47"/>
      <c r="AQ10" s="508"/>
      <c r="AR10" s="509"/>
      <c r="AS10" s="6"/>
      <c r="AT10" s="502"/>
      <c r="AU10" s="47"/>
      <c r="AV10" s="526"/>
    </row>
    <row r="11" spans="1:48" ht="60" customHeight="1" x14ac:dyDescent="0.35">
      <c r="A11" s="1478">
        <v>45327</v>
      </c>
      <c r="B11" s="472">
        <v>1</v>
      </c>
      <c r="C11" s="493">
        <v>210</v>
      </c>
      <c r="D11" s="494"/>
      <c r="E11" s="494">
        <v>7</v>
      </c>
      <c r="F11" s="495"/>
      <c r="G11" s="565" t="s">
        <v>45</v>
      </c>
      <c r="H11" s="514"/>
      <c r="I11" s="641" t="s">
        <v>152</v>
      </c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509"/>
      <c r="Z11" s="6"/>
      <c r="AA11" s="579"/>
      <c r="AB11" s="508"/>
      <c r="AC11" s="66"/>
      <c r="AD11" s="470"/>
      <c r="AE11" s="6"/>
      <c r="AF11" s="6"/>
      <c r="AG11" s="508"/>
      <c r="AH11" s="509"/>
      <c r="AI11" s="6"/>
      <c r="AJ11" s="502"/>
      <c r="AK11" s="508"/>
      <c r="AM11" s="470"/>
      <c r="AN11" s="6"/>
      <c r="AO11" s="6"/>
      <c r="AP11" s="47"/>
      <c r="AQ11" s="508"/>
      <c r="AR11" s="509"/>
      <c r="AS11" s="6"/>
      <c r="AT11" s="6"/>
      <c r="AU11" s="47"/>
      <c r="AV11" s="526"/>
    </row>
    <row r="12" spans="1:48" ht="55.2" customHeight="1" x14ac:dyDescent="0.35">
      <c r="A12" s="1477"/>
      <c r="B12" s="472">
        <v>2</v>
      </c>
      <c r="C12" s="493">
        <v>720</v>
      </c>
      <c r="D12" s="494"/>
      <c r="E12" s="494"/>
      <c r="F12" s="495"/>
      <c r="G12" s="565" t="s">
        <v>45</v>
      </c>
      <c r="H12" s="514"/>
      <c r="I12" s="641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>
        <v>33</v>
      </c>
      <c r="X12" s="508"/>
      <c r="Y12" s="509"/>
      <c r="Z12" s="6"/>
      <c r="AA12" s="579" t="s">
        <v>823</v>
      </c>
      <c r="AB12" s="527"/>
      <c r="AC12" s="66"/>
      <c r="AD12" s="470"/>
      <c r="AE12" s="6"/>
      <c r="AF12" s="6"/>
      <c r="AG12" s="508"/>
      <c r="AH12" s="509"/>
      <c r="AI12" s="502"/>
      <c r="AJ12" s="502"/>
      <c r="AK12" s="527"/>
      <c r="AM12" s="470"/>
      <c r="AN12" s="6"/>
      <c r="AO12" s="6"/>
      <c r="AP12" s="47"/>
      <c r="AQ12" s="508"/>
      <c r="AR12" s="509"/>
      <c r="AS12" s="6"/>
      <c r="AT12" s="6"/>
      <c r="AU12" s="47"/>
      <c r="AV12" s="527"/>
    </row>
    <row r="13" spans="1:48" ht="34.950000000000003" customHeight="1" x14ac:dyDescent="0.35">
      <c r="A13" s="1478">
        <v>45328</v>
      </c>
      <c r="B13" s="472">
        <v>1</v>
      </c>
      <c r="C13" s="493">
        <v>720</v>
      </c>
      <c r="D13" s="494"/>
      <c r="E13" s="494"/>
      <c r="F13" s="495"/>
      <c r="G13" s="565" t="s">
        <v>45</v>
      </c>
      <c r="H13" s="514"/>
      <c r="I13" s="641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>
        <v>20</v>
      </c>
      <c r="X13" s="495"/>
      <c r="Y13" s="469"/>
      <c r="Z13" s="502"/>
      <c r="AA13" s="579" t="s">
        <v>152</v>
      </c>
      <c r="AB13" s="527"/>
      <c r="AC13" s="66"/>
      <c r="AD13" s="470"/>
      <c r="AE13" s="6"/>
      <c r="AF13" s="6">
        <v>10</v>
      </c>
      <c r="AG13" s="495"/>
      <c r="AH13" s="509"/>
      <c r="AI13" s="6"/>
      <c r="AJ13" s="502" t="s">
        <v>844</v>
      </c>
      <c r="AK13" s="527"/>
      <c r="AM13" s="470"/>
      <c r="AN13" s="6"/>
      <c r="AO13" s="6"/>
      <c r="AP13" s="47"/>
      <c r="AQ13" s="495"/>
      <c r="AR13" s="509"/>
      <c r="AS13" s="6"/>
      <c r="AT13" s="6"/>
      <c r="AU13" s="47"/>
      <c r="AV13" s="527"/>
    </row>
    <row r="14" spans="1:48" ht="49.2" customHeight="1" x14ac:dyDescent="0.35">
      <c r="A14" s="1477"/>
      <c r="B14" s="472">
        <v>2</v>
      </c>
      <c r="C14" s="493">
        <v>720</v>
      </c>
      <c r="D14" s="494"/>
      <c r="E14" s="494"/>
      <c r="F14" s="495"/>
      <c r="G14" s="565" t="s">
        <v>45</v>
      </c>
      <c r="H14" s="515"/>
      <c r="I14" s="641"/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>
        <v>10</v>
      </c>
      <c r="X14" s="495"/>
      <c r="Y14" s="469"/>
      <c r="Z14" s="502"/>
      <c r="AA14" s="579" t="s">
        <v>152</v>
      </c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/>
      <c r="AN14" s="6"/>
      <c r="AO14" s="6"/>
      <c r="AP14" s="47"/>
      <c r="AQ14" s="495"/>
      <c r="AR14" s="469"/>
      <c r="AS14" s="6"/>
      <c r="AT14" s="6"/>
      <c r="AU14" s="47"/>
      <c r="AV14" s="527"/>
    </row>
    <row r="15" spans="1:48" ht="48" customHeight="1" x14ac:dyDescent="0.35">
      <c r="A15" s="1478">
        <v>45329</v>
      </c>
      <c r="B15" s="472">
        <v>1</v>
      </c>
      <c r="C15" s="493">
        <v>666</v>
      </c>
      <c r="D15" s="494"/>
      <c r="E15" s="6"/>
      <c r="F15" s="495"/>
      <c r="G15" s="565" t="s">
        <v>45</v>
      </c>
      <c r="H15" s="515"/>
      <c r="I15" s="641"/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/>
      <c r="V15" s="6"/>
      <c r="W15" s="6"/>
      <c r="X15" s="495"/>
      <c r="Y15" s="566"/>
      <c r="Z15" s="515"/>
      <c r="AA15" s="579"/>
      <c r="AB15" s="527"/>
      <c r="AC15" s="66"/>
      <c r="AD15" s="470"/>
      <c r="AE15" s="6">
        <v>10</v>
      </c>
      <c r="AF15" s="66">
        <v>17</v>
      </c>
      <c r="AG15" s="495"/>
      <c r="AH15" s="566"/>
      <c r="AI15" s="515" t="s">
        <v>846</v>
      </c>
      <c r="AJ15" s="515" t="s">
        <v>845</v>
      </c>
      <c r="AK15" s="527"/>
      <c r="AM15" s="470"/>
      <c r="AN15" s="6"/>
      <c r="AO15" s="66"/>
      <c r="AP15" s="495"/>
      <c r="AQ15" s="566"/>
      <c r="AR15" s="515"/>
      <c r="AS15" s="515"/>
      <c r="AT15" s="515"/>
      <c r="AU15" s="527"/>
      <c r="AV15" s="527"/>
    </row>
    <row r="16" spans="1:48" ht="54.65" customHeight="1" x14ac:dyDescent="0.35">
      <c r="A16" s="1477"/>
      <c r="B16" s="472">
        <v>2</v>
      </c>
      <c r="C16" s="493">
        <v>138</v>
      </c>
      <c r="D16" s="494"/>
      <c r="E16" s="494"/>
      <c r="F16" s="495"/>
      <c r="G16" s="566" t="s">
        <v>847</v>
      </c>
      <c r="H16" s="638"/>
      <c r="I16" s="641"/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>
        <v>656</v>
      </c>
      <c r="V16" s="6"/>
      <c r="W16" s="6"/>
      <c r="X16" s="495"/>
      <c r="Y16" s="565" t="s">
        <v>45</v>
      </c>
      <c r="Z16" s="638"/>
      <c r="AA16" s="641"/>
      <c r="AB16" s="527"/>
      <c r="AC16" s="66"/>
      <c r="AD16" s="470"/>
      <c r="AE16" s="6"/>
      <c r="AF16" s="6"/>
      <c r="AG16" s="495"/>
      <c r="AH16" s="566"/>
      <c r="AI16" s="638"/>
      <c r="AJ16" s="6"/>
      <c r="AK16" s="527"/>
      <c r="AM16" s="470"/>
      <c r="AN16" s="6"/>
      <c r="AO16" s="6"/>
      <c r="AP16" s="495"/>
      <c r="AQ16" s="565"/>
      <c r="AR16" s="638"/>
      <c r="AS16" s="515"/>
      <c r="AT16" s="515"/>
      <c r="AU16" s="573"/>
      <c r="AV16" s="527"/>
    </row>
    <row r="17" spans="1:48" ht="66" customHeight="1" x14ac:dyDescent="0.35">
      <c r="A17" s="1478">
        <v>45330</v>
      </c>
      <c r="B17" s="534">
        <v>1</v>
      </c>
      <c r="C17" s="493"/>
      <c r="D17" s="494"/>
      <c r="E17" s="494"/>
      <c r="F17" s="495"/>
      <c r="G17" s="566"/>
      <c r="H17" s="514"/>
      <c r="I17" s="641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>
        <v>720</v>
      </c>
      <c r="V17" s="6"/>
      <c r="W17" s="6"/>
      <c r="X17" s="495"/>
      <c r="Y17" s="565" t="s">
        <v>45</v>
      </c>
      <c r="Z17" s="514"/>
      <c r="AA17" s="641"/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495"/>
      <c r="AQ17" s="566"/>
      <c r="AR17" s="514"/>
      <c r="AS17" s="515"/>
      <c r="AT17" s="579"/>
      <c r="AU17" s="527"/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638"/>
      <c r="I18" s="641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>
        <v>720</v>
      </c>
      <c r="V18" s="6"/>
      <c r="W18" s="6"/>
      <c r="X18" s="495"/>
      <c r="Y18" s="565" t="s">
        <v>45</v>
      </c>
      <c r="Z18" s="515"/>
      <c r="AA18" s="579"/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>
        <v>10</v>
      </c>
      <c r="AN18" s="6"/>
      <c r="AO18" s="6"/>
      <c r="AP18" s="47"/>
      <c r="AQ18" s="495"/>
      <c r="AR18" s="565" t="s">
        <v>848</v>
      </c>
      <c r="AS18" s="515"/>
      <c r="AT18" s="579"/>
      <c r="AU18" s="638"/>
      <c r="AV18" s="527"/>
    </row>
    <row r="19" spans="1:48" ht="33.65" customHeight="1" x14ac:dyDescent="0.35">
      <c r="A19" s="1478">
        <v>45331</v>
      </c>
      <c r="B19" s="472">
        <v>1</v>
      </c>
      <c r="C19" s="66"/>
      <c r="D19" s="494"/>
      <c r="E19" s="494">
        <v>6</v>
      </c>
      <c r="F19" s="495"/>
      <c r="G19" s="465"/>
      <c r="H19" s="6"/>
      <c r="I19" s="641" t="s">
        <v>152</v>
      </c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>
        <v>720</v>
      </c>
      <c r="X19" s="495"/>
      <c r="Y19" s="470"/>
      <c r="Z19" s="502"/>
      <c r="AA19" s="662" t="s">
        <v>849</v>
      </c>
      <c r="AB19" s="527"/>
      <c r="AC19" s="66"/>
      <c r="AD19" s="470"/>
      <c r="AE19" s="6"/>
      <c r="AF19" s="6"/>
      <c r="AG19" s="495"/>
      <c r="AH19" s="470"/>
      <c r="AI19" s="6"/>
      <c r="AJ19" s="579"/>
      <c r="AK19" s="527"/>
      <c r="AM19" s="470"/>
      <c r="AN19" s="6"/>
      <c r="AO19" s="6"/>
      <c r="AP19" s="47"/>
      <c r="AQ19" s="495"/>
      <c r="AR19" s="470"/>
      <c r="AS19" s="6"/>
      <c r="AT19" s="515"/>
      <c r="AU19" s="636"/>
      <c r="AV19" s="527"/>
    </row>
    <row r="20" spans="1:48" ht="31.2" customHeight="1" x14ac:dyDescent="0.35">
      <c r="A20" s="1477"/>
      <c r="B20" s="472">
        <v>2</v>
      </c>
      <c r="C20" s="493"/>
      <c r="D20" s="494"/>
      <c r="E20" s="494">
        <v>15</v>
      </c>
      <c r="F20" s="495"/>
      <c r="G20" s="465"/>
      <c r="H20" s="502"/>
      <c r="I20" s="641" t="s">
        <v>152</v>
      </c>
      <c r="J20" s="527"/>
      <c r="K20" s="66"/>
      <c r="L20" s="470"/>
      <c r="M20" s="6"/>
      <c r="N20" s="6"/>
      <c r="O20" s="495"/>
      <c r="P20" s="470"/>
      <c r="Q20" s="6"/>
      <c r="R20" s="605"/>
      <c r="S20" s="527"/>
      <c r="T20" s="66"/>
      <c r="U20" s="470">
        <v>111</v>
      </c>
      <c r="V20" s="6">
        <v>68</v>
      </c>
      <c r="W20" s="6">
        <v>380</v>
      </c>
      <c r="X20" s="495"/>
      <c r="Y20" s="470" t="s">
        <v>850</v>
      </c>
      <c r="Z20" s="502" t="s">
        <v>851</v>
      </c>
      <c r="AA20" s="662" t="s">
        <v>849</v>
      </c>
      <c r="AB20" s="527"/>
      <c r="AC20" s="66"/>
      <c r="AD20" s="470"/>
      <c r="AE20" s="6"/>
      <c r="AF20" s="6"/>
      <c r="AG20" s="495"/>
      <c r="AH20" s="470"/>
      <c r="AI20" s="502"/>
      <c r="AJ20" s="579"/>
      <c r="AK20" s="527"/>
      <c r="AM20" s="470"/>
      <c r="AN20" s="6"/>
      <c r="AO20" s="6"/>
      <c r="AP20" s="47"/>
      <c r="AQ20" s="495"/>
      <c r="AR20" s="470"/>
      <c r="AS20" s="502"/>
      <c r="AT20" s="502"/>
      <c r="AU20" s="645"/>
      <c r="AV20" s="527"/>
    </row>
    <row r="21" spans="1:48" ht="39.65" customHeight="1" x14ac:dyDescent="0.35">
      <c r="A21" s="1478">
        <v>45332</v>
      </c>
      <c r="B21" s="472">
        <v>1</v>
      </c>
      <c r="C21" s="493"/>
      <c r="D21" s="494"/>
      <c r="E21" s="494">
        <v>10</v>
      </c>
      <c r="F21" s="495"/>
      <c r="G21" s="569"/>
      <c r="H21" s="514"/>
      <c r="I21" s="641" t="s">
        <v>152</v>
      </c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65"/>
      <c r="Z21" s="6"/>
      <c r="AA21" s="641"/>
      <c r="AB21" s="527"/>
      <c r="AC21" s="66"/>
      <c r="AD21" s="470">
        <v>185</v>
      </c>
      <c r="AE21" s="6"/>
      <c r="AF21" s="6"/>
      <c r="AG21" s="495"/>
      <c r="AH21" s="470" t="s">
        <v>45</v>
      </c>
      <c r="AI21" s="6"/>
      <c r="AJ21" s="641"/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49.95" customHeight="1" x14ac:dyDescent="0.35">
      <c r="A22" s="1477"/>
      <c r="B22" s="472">
        <v>2</v>
      </c>
      <c r="C22" s="493"/>
      <c r="D22" s="494">
        <v>222</v>
      </c>
      <c r="E22" s="494"/>
      <c r="F22" s="495"/>
      <c r="G22" s="562"/>
      <c r="H22" s="515" t="s">
        <v>852</v>
      </c>
      <c r="I22" s="641"/>
      <c r="J22" s="527"/>
      <c r="K22" s="66"/>
      <c r="L22" s="470"/>
      <c r="M22" s="6">
        <v>216</v>
      </c>
      <c r="N22" s="6"/>
      <c r="O22" s="495"/>
      <c r="P22" s="469"/>
      <c r="Q22" s="515" t="s">
        <v>852</v>
      </c>
      <c r="R22" s="6"/>
      <c r="S22" s="527"/>
      <c r="T22" s="66"/>
      <c r="U22" s="470"/>
      <c r="V22" s="6">
        <v>222</v>
      </c>
      <c r="W22" s="6"/>
      <c r="X22" s="495"/>
      <c r="Y22" s="465"/>
      <c r="Z22" s="515" t="s">
        <v>852</v>
      </c>
      <c r="AA22" s="579"/>
      <c r="AB22" s="527"/>
      <c r="AC22" s="66"/>
      <c r="AD22" s="470">
        <v>720</v>
      </c>
      <c r="AE22" s="6"/>
      <c r="AF22" s="6"/>
      <c r="AG22" s="495"/>
      <c r="AH22" s="470" t="s">
        <v>45</v>
      </c>
      <c r="AI22" s="6"/>
      <c r="AJ22" s="579"/>
      <c r="AK22" s="527"/>
      <c r="AM22" s="470"/>
      <c r="AN22" s="6">
        <v>230</v>
      </c>
      <c r="AO22" s="6">
        <v>30</v>
      </c>
      <c r="AP22" s="47"/>
      <c r="AQ22" s="495"/>
      <c r="AR22" s="470"/>
      <c r="AS22" s="515" t="s">
        <v>852</v>
      </c>
      <c r="AT22" s="47" t="s">
        <v>152</v>
      </c>
      <c r="AU22" s="527"/>
      <c r="AV22" s="527"/>
    </row>
    <row r="23" spans="1:48" ht="47.5" customHeight="1" x14ac:dyDescent="0.35">
      <c r="A23" s="1478">
        <v>45333</v>
      </c>
      <c r="B23" s="534">
        <v>1</v>
      </c>
      <c r="C23" s="493"/>
      <c r="D23" s="494"/>
      <c r="E23" s="494"/>
      <c r="F23" s="495"/>
      <c r="G23" s="566"/>
      <c r="H23" s="514"/>
      <c r="I23" s="641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>
        <v>22</v>
      </c>
      <c r="W23" s="6"/>
      <c r="X23" s="495"/>
      <c r="Y23" s="465"/>
      <c r="Z23" s="515" t="s">
        <v>854</v>
      </c>
      <c r="AA23" s="579"/>
      <c r="AB23" s="527"/>
      <c r="AC23" s="66"/>
      <c r="AD23" s="470"/>
      <c r="AE23" s="6"/>
      <c r="AF23" s="509">
        <v>720</v>
      </c>
      <c r="AG23" s="495"/>
      <c r="AH23" s="470"/>
      <c r="AI23" s="514"/>
      <c r="AJ23" s="515" t="s">
        <v>853</v>
      </c>
      <c r="AK23" s="527"/>
      <c r="AM23" s="470"/>
      <c r="AN23" s="6"/>
      <c r="AO23" s="6"/>
      <c r="AP23" s="47"/>
      <c r="AQ23" s="495"/>
      <c r="AR23" s="6"/>
      <c r="AS23" s="514"/>
      <c r="AT23" s="573"/>
      <c r="AU23" s="527"/>
      <c r="AV23" s="527"/>
    </row>
    <row r="24" spans="1:48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4"/>
      <c r="I24" s="641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/>
      <c r="X24" s="495"/>
      <c r="Y24" s="566"/>
      <c r="Z24" s="514"/>
      <c r="AA24" s="641"/>
      <c r="AB24" s="527"/>
      <c r="AC24" s="66"/>
      <c r="AD24" s="470"/>
      <c r="AE24" s="6"/>
      <c r="AF24" s="509"/>
      <c r="AG24" s="495"/>
      <c r="AH24" s="470"/>
      <c r="AI24" s="514"/>
      <c r="AJ24" s="515"/>
      <c r="AK24" s="527"/>
      <c r="AM24" s="470"/>
      <c r="AN24" s="6"/>
      <c r="AO24" s="6"/>
      <c r="AP24" s="495"/>
      <c r="AQ24" s="566"/>
      <c r="AR24" s="514"/>
      <c r="AS24" s="514"/>
      <c r="AT24" s="527"/>
      <c r="AU24" s="527"/>
      <c r="AV24" s="527"/>
    </row>
    <row r="25" spans="1:48" ht="53.5" customHeight="1" x14ac:dyDescent="0.35">
      <c r="A25" s="1478">
        <v>45334</v>
      </c>
      <c r="B25" s="472">
        <v>1</v>
      </c>
      <c r="C25" s="493"/>
      <c r="D25" s="494"/>
      <c r="E25" s="494"/>
      <c r="F25" s="495"/>
      <c r="G25" s="566"/>
      <c r="H25" s="514"/>
      <c r="I25" s="641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65"/>
      <c r="Z25" s="502"/>
      <c r="AA25" s="579"/>
      <c r="AB25" s="527"/>
      <c r="AC25" s="66"/>
      <c r="AD25" s="470"/>
      <c r="AE25" s="6"/>
      <c r="AF25" s="6">
        <v>471</v>
      </c>
      <c r="AG25" s="495"/>
      <c r="AH25" s="6"/>
      <c r="AI25" s="502"/>
      <c r="AJ25" s="515" t="s">
        <v>853</v>
      </c>
      <c r="AK25" s="607"/>
      <c r="AM25" s="470"/>
      <c r="AN25" s="6"/>
      <c r="AO25" s="6"/>
      <c r="AP25" s="47"/>
      <c r="AQ25" s="495"/>
      <c r="AR25" s="6"/>
      <c r="AS25" s="6"/>
      <c r="AT25" s="47"/>
      <c r="AU25" s="47"/>
      <c r="AV25" s="527"/>
    </row>
    <row r="26" spans="1:48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641"/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/>
      <c r="V26" s="494"/>
      <c r="W26" s="6">
        <v>17</v>
      </c>
      <c r="X26" s="495"/>
      <c r="Y26" s="566"/>
      <c r="Z26" s="515"/>
      <c r="AA26" s="579" t="s">
        <v>97</v>
      </c>
      <c r="AB26" s="527"/>
      <c r="AC26" s="66"/>
      <c r="AD26" s="470"/>
      <c r="AE26" s="494"/>
      <c r="AF26" s="6"/>
      <c r="AG26" s="495"/>
      <c r="AH26" s="566"/>
      <c r="AI26" s="515"/>
      <c r="AJ26" s="573"/>
      <c r="AK26" s="527"/>
      <c r="AM26" s="470"/>
      <c r="AN26" s="494">
        <v>20</v>
      </c>
      <c r="AO26" s="6"/>
      <c r="AP26" s="651"/>
      <c r="AQ26" s="495"/>
      <c r="AR26" s="566"/>
      <c r="AS26" s="515" t="s">
        <v>855</v>
      </c>
      <c r="AT26" s="573"/>
      <c r="AU26" s="527"/>
      <c r="AV26" s="527"/>
    </row>
    <row r="27" spans="1:48" ht="49.95" customHeight="1" x14ac:dyDescent="0.35">
      <c r="A27" s="1478">
        <v>45335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>
        <v>10</v>
      </c>
      <c r="W27" s="6"/>
      <c r="X27" s="495"/>
      <c r="Y27" s="566"/>
      <c r="Z27" s="515" t="s">
        <v>856</v>
      </c>
      <c r="AA27" s="579"/>
      <c r="AB27" s="527"/>
      <c r="AC27" s="66"/>
      <c r="AD27" s="470"/>
      <c r="AE27" s="6"/>
      <c r="AF27" s="6"/>
      <c r="AG27" s="495"/>
      <c r="AH27" s="566"/>
      <c r="AI27" s="6"/>
      <c r="AJ27" s="515"/>
      <c r="AK27" s="527"/>
      <c r="AM27" s="470"/>
      <c r="AN27" s="6"/>
      <c r="AO27" s="6"/>
      <c r="AP27" s="47"/>
      <c r="AQ27" s="495"/>
      <c r="AR27" s="502"/>
      <c r="AS27" s="6"/>
      <c r="AT27" s="573"/>
      <c r="AU27" s="527"/>
      <c r="AV27" s="527"/>
    </row>
    <row r="28" spans="1:48" ht="72" customHeight="1" x14ac:dyDescent="0.35">
      <c r="A28" s="1477"/>
      <c r="B28" s="472">
        <v>2</v>
      </c>
      <c r="C28" s="493"/>
      <c r="D28" s="494"/>
      <c r="E28" s="494"/>
      <c r="F28" s="495"/>
      <c r="G28" s="515"/>
      <c r="H28" s="515"/>
      <c r="I28" s="579"/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/>
      <c r="V28" s="6"/>
      <c r="W28" s="66"/>
      <c r="X28" s="495"/>
      <c r="Y28" s="515"/>
      <c r="Z28" s="6"/>
      <c r="AA28" s="579"/>
      <c r="AB28" s="527"/>
      <c r="AC28" s="66"/>
      <c r="AD28" s="470"/>
      <c r="AE28" s="6"/>
      <c r="AF28" s="6"/>
      <c r="AG28" s="495"/>
      <c r="AH28" s="566"/>
      <c r="AI28" s="6"/>
      <c r="AJ28" s="573"/>
      <c r="AK28" s="527"/>
      <c r="AM28" s="470"/>
      <c r="AN28" s="6"/>
      <c r="AO28" s="6"/>
      <c r="AP28" s="47"/>
      <c r="AQ28" s="495"/>
      <c r="AR28" s="502"/>
      <c r="AS28" s="6"/>
      <c r="AT28" s="573"/>
      <c r="AU28" s="527"/>
      <c r="AV28" s="526"/>
    </row>
    <row r="29" spans="1:48" ht="66" customHeight="1" x14ac:dyDescent="0.35">
      <c r="A29" s="1478">
        <v>45336</v>
      </c>
      <c r="B29" s="472">
        <v>1</v>
      </c>
      <c r="C29" s="493"/>
      <c r="D29" s="494"/>
      <c r="E29" s="494">
        <v>7</v>
      </c>
      <c r="F29" s="495"/>
      <c r="G29" s="515"/>
      <c r="H29" s="514"/>
      <c r="I29" s="662" t="s">
        <v>857</v>
      </c>
      <c r="J29" s="527"/>
      <c r="K29" s="66"/>
      <c r="L29" s="470"/>
      <c r="M29" s="6"/>
      <c r="N29" s="6"/>
      <c r="O29" s="495"/>
      <c r="P29" s="566"/>
      <c r="Q29" s="514"/>
      <c r="R29" s="515"/>
      <c r="S29" s="527"/>
      <c r="T29" s="66"/>
      <c r="U29" s="470"/>
      <c r="V29" s="6"/>
      <c r="W29" s="6">
        <v>25</v>
      </c>
      <c r="X29" s="495"/>
      <c r="Y29" s="515"/>
      <c r="Z29" s="514"/>
      <c r="AA29" s="579" t="s">
        <v>816</v>
      </c>
      <c r="AB29" s="527"/>
      <c r="AC29" s="66"/>
      <c r="AD29" s="470"/>
      <c r="AE29" s="6"/>
      <c r="AF29" s="6">
        <v>20</v>
      </c>
      <c r="AG29" s="495"/>
      <c r="AH29" s="566"/>
      <c r="AI29" s="514"/>
      <c r="AJ29" s="515" t="s">
        <v>816</v>
      </c>
      <c r="AK29" s="527"/>
      <c r="AM29" s="470"/>
      <c r="AN29" s="6"/>
      <c r="AO29" s="6"/>
      <c r="AP29" s="47"/>
      <c r="AQ29" s="495"/>
      <c r="AR29" s="502"/>
      <c r="AS29" s="514"/>
      <c r="AT29" s="515"/>
      <c r="AU29" s="527"/>
      <c r="AV29" s="508"/>
    </row>
    <row r="30" spans="1:48" ht="39.6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5"/>
      <c r="I30" s="579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>
        <v>7</v>
      </c>
      <c r="X30" s="495"/>
      <c r="Y30" s="566"/>
      <c r="Z30" s="514"/>
      <c r="AA30" s="579" t="s">
        <v>401</v>
      </c>
      <c r="AB30" s="527"/>
      <c r="AC30" s="66"/>
      <c r="AD30" s="470"/>
      <c r="AE30" s="6"/>
      <c r="AF30" s="6"/>
      <c r="AG30" s="495"/>
      <c r="AH30" s="566"/>
      <c r="AI30" s="515"/>
      <c r="AJ30" s="515"/>
      <c r="AK30" s="527"/>
      <c r="AM30" s="470"/>
      <c r="AN30" s="6"/>
      <c r="AO30" s="6">
        <v>10</v>
      </c>
      <c r="AP30" s="47"/>
      <c r="AQ30" s="495"/>
      <c r="AR30" s="469"/>
      <c r="AS30" s="502"/>
      <c r="AT30" s="636" t="s">
        <v>304</v>
      </c>
      <c r="AU30" s="527"/>
      <c r="AV30" s="508"/>
    </row>
    <row r="31" spans="1:48" ht="39.65" customHeight="1" x14ac:dyDescent="0.35">
      <c r="A31" s="1478">
        <v>45337</v>
      </c>
      <c r="B31" s="472">
        <v>1</v>
      </c>
      <c r="C31" s="493"/>
      <c r="D31" s="494"/>
      <c r="E31" s="494">
        <v>10</v>
      </c>
      <c r="F31" s="495"/>
      <c r="G31" s="566"/>
      <c r="H31" s="515"/>
      <c r="I31" s="662" t="s">
        <v>857</v>
      </c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>
        <v>17</v>
      </c>
      <c r="X31" s="495"/>
      <c r="Y31" s="469"/>
      <c r="Z31" s="6"/>
      <c r="AA31" s="579" t="s">
        <v>857</v>
      </c>
      <c r="AB31" s="527"/>
      <c r="AC31" s="66"/>
      <c r="AD31" s="470"/>
      <c r="AE31" s="6"/>
      <c r="AF31" s="6">
        <v>30</v>
      </c>
      <c r="AG31" s="495"/>
      <c r="AH31" s="566"/>
      <c r="AI31" s="6"/>
      <c r="AJ31" s="6" t="s">
        <v>857</v>
      </c>
      <c r="AK31" s="527"/>
      <c r="AM31" s="470"/>
      <c r="AN31" s="6"/>
      <c r="AO31" s="6"/>
      <c r="AP31" s="47"/>
      <c r="AQ31" s="495"/>
      <c r="AR31" s="509"/>
      <c r="AS31" s="6"/>
      <c r="AT31" s="6"/>
      <c r="AU31" s="527"/>
      <c r="AV31" s="527"/>
    </row>
    <row r="32" spans="1:48" ht="63" customHeight="1" x14ac:dyDescent="0.35">
      <c r="A32" s="1477"/>
      <c r="B32" s="472">
        <v>2</v>
      </c>
      <c r="C32" s="493"/>
      <c r="D32" s="494"/>
      <c r="E32" s="494">
        <v>40</v>
      </c>
      <c r="F32" s="495"/>
      <c r="G32" s="566"/>
      <c r="H32" s="565"/>
      <c r="I32" s="662" t="s">
        <v>857</v>
      </c>
      <c r="J32" s="527"/>
      <c r="K32" s="66"/>
      <c r="L32" s="470"/>
      <c r="M32" s="6"/>
      <c r="N32" s="6"/>
      <c r="O32" s="495"/>
      <c r="P32" s="509"/>
      <c r="Q32" s="6"/>
      <c r="R32" s="6"/>
      <c r="S32" s="527"/>
      <c r="T32" s="66"/>
      <c r="U32" s="470"/>
      <c r="V32" s="6"/>
      <c r="W32" s="494"/>
      <c r="X32" s="495"/>
      <c r="Y32" s="566"/>
      <c r="Z32" s="566"/>
      <c r="AA32" s="579"/>
      <c r="AB32" s="527"/>
      <c r="AC32" s="66"/>
      <c r="AD32" s="470"/>
      <c r="AE32" s="6"/>
      <c r="AF32" s="494"/>
      <c r="AG32" s="495"/>
      <c r="AH32" s="566"/>
      <c r="AI32" s="566"/>
      <c r="AJ32" s="565"/>
      <c r="AK32" s="527"/>
      <c r="AM32" s="470"/>
      <c r="AN32" s="6"/>
      <c r="AO32" s="6"/>
      <c r="AP32" s="47"/>
      <c r="AQ32" s="495"/>
      <c r="AR32" s="509"/>
      <c r="AS32" s="502"/>
      <c r="AT32" s="565"/>
      <c r="AU32" s="527"/>
      <c r="AV32" s="508"/>
    </row>
    <row r="33" spans="1:48" ht="43.2" customHeight="1" x14ac:dyDescent="0.35">
      <c r="A33" s="1478">
        <v>45338</v>
      </c>
      <c r="B33" s="472">
        <v>1</v>
      </c>
      <c r="C33" s="493"/>
      <c r="D33" s="494"/>
      <c r="E33" s="494"/>
      <c r="F33" s="495"/>
      <c r="G33" s="566"/>
      <c r="H33" s="515"/>
      <c r="I33" s="579"/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>
        <v>49</v>
      </c>
      <c r="X33" s="495"/>
      <c r="Y33" s="509"/>
      <c r="Z33" s="6"/>
      <c r="AA33" s="579" t="s">
        <v>858</v>
      </c>
      <c r="AB33" s="527"/>
      <c r="AC33" s="66"/>
      <c r="AD33" s="470"/>
      <c r="AE33" s="6"/>
      <c r="AF33" s="6"/>
      <c r="AG33" s="495"/>
      <c r="AH33" s="509"/>
      <c r="AI33" s="502"/>
      <c r="AJ33" s="579"/>
      <c r="AK33" s="527"/>
      <c r="AM33" s="470"/>
      <c r="AN33" s="6"/>
      <c r="AO33" s="6"/>
      <c r="AP33" s="47"/>
      <c r="AQ33" s="495"/>
      <c r="AR33" s="509"/>
      <c r="AS33" s="502"/>
      <c r="AT33" s="6"/>
      <c r="AU33" s="527"/>
      <c r="AV33" s="508"/>
    </row>
    <row r="34" spans="1:48" ht="67.95" customHeight="1" x14ac:dyDescent="0.35">
      <c r="A34" s="1477"/>
      <c r="B34" s="534">
        <v>2</v>
      </c>
      <c r="C34" s="494"/>
      <c r="D34" s="494"/>
      <c r="E34" s="494">
        <v>51</v>
      </c>
      <c r="F34" s="637"/>
      <c r="G34" s="565"/>
      <c r="H34" s="515"/>
      <c r="I34" s="579" t="s">
        <v>859</v>
      </c>
      <c r="J34" s="527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>
        <v>25</v>
      </c>
      <c r="X34" s="508"/>
      <c r="Y34" s="502"/>
      <c r="Z34" s="502"/>
      <c r="AA34" s="579" t="s">
        <v>860</v>
      </c>
      <c r="AB34" s="527"/>
      <c r="AC34" s="66"/>
      <c r="AD34" s="470"/>
      <c r="AE34" s="6"/>
      <c r="AF34" s="6"/>
      <c r="AG34" s="508"/>
      <c r="AH34" s="509"/>
      <c r="AI34" s="6"/>
      <c r="AJ34" s="502"/>
      <c r="AK34" s="527"/>
      <c r="AM34" s="470"/>
      <c r="AN34" s="6"/>
      <c r="AO34" s="6"/>
      <c r="AP34" s="47"/>
      <c r="AQ34" s="508"/>
      <c r="AR34" s="509"/>
      <c r="AS34" s="6"/>
      <c r="AT34" s="636"/>
      <c r="AU34" s="527"/>
      <c r="AV34" s="508"/>
    </row>
    <row r="35" spans="1:48" ht="51" customHeight="1" x14ac:dyDescent="0.35">
      <c r="A35" s="1478">
        <v>45339</v>
      </c>
      <c r="B35" s="472">
        <v>1</v>
      </c>
      <c r="C35" s="494"/>
      <c r="D35" s="494"/>
      <c r="E35" s="47"/>
      <c r="F35" s="636"/>
      <c r="G35" s="465"/>
      <c r="H35" s="509"/>
      <c r="I35" s="579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>
        <v>176</v>
      </c>
      <c r="V35" s="6"/>
      <c r="W35" s="47">
        <v>250</v>
      </c>
      <c r="X35" s="526"/>
      <c r="Y35" s="465" t="s">
        <v>861</v>
      </c>
      <c r="Z35" s="6"/>
      <c r="AA35" s="579" t="s">
        <v>401</v>
      </c>
      <c r="AB35" s="508"/>
      <c r="AC35" s="66"/>
      <c r="AD35" s="470"/>
      <c r="AE35" s="6"/>
      <c r="AF35" s="6"/>
      <c r="AG35" s="469"/>
      <c r="AH35" s="465"/>
      <c r="AI35" s="6"/>
      <c r="AJ35" s="565"/>
      <c r="AK35" s="508"/>
      <c r="AM35" s="470"/>
      <c r="AN35" s="6"/>
      <c r="AO35" s="47"/>
      <c r="AP35" s="47"/>
      <c r="AQ35" s="526"/>
      <c r="AR35" s="465"/>
      <c r="AS35" s="573"/>
      <c r="AT35" s="502"/>
      <c r="AU35" s="636"/>
      <c r="AV35" s="508"/>
    </row>
    <row r="36" spans="1:48" ht="46.95" customHeight="1" x14ac:dyDescent="0.35">
      <c r="A36" s="1477"/>
      <c r="B36" s="472">
        <v>2</v>
      </c>
      <c r="C36" s="47"/>
      <c r="D36" s="6"/>
      <c r="E36" s="47">
        <v>26</v>
      </c>
      <c r="F36" s="636"/>
      <c r="G36" s="573"/>
      <c r="H36" s="515"/>
      <c r="I36" s="641" t="s">
        <v>385</v>
      </c>
      <c r="J36" s="527"/>
      <c r="K36" s="66"/>
      <c r="L36" s="465"/>
      <c r="M36" s="6"/>
      <c r="N36" s="6"/>
      <c r="O36" s="469"/>
      <c r="P36" s="465"/>
      <c r="Q36" s="502"/>
      <c r="R36" s="502"/>
      <c r="S36" s="527"/>
      <c r="T36" s="66"/>
      <c r="U36" s="470"/>
      <c r="V36" s="6"/>
      <c r="W36" s="6">
        <v>16</v>
      </c>
      <c r="X36" s="469"/>
      <c r="Y36" s="465"/>
      <c r="Z36" s="502"/>
      <c r="AA36" s="579" t="s">
        <v>325</v>
      </c>
      <c r="AB36" s="508"/>
      <c r="AC36" s="66"/>
      <c r="AD36" s="470"/>
      <c r="AE36" s="6"/>
      <c r="AF36" s="47">
        <v>22</v>
      </c>
      <c r="AG36" s="526"/>
      <c r="AH36" s="465"/>
      <c r="AI36" s="502"/>
      <c r="AJ36" s="579" t="s">
        <v>325</v>
      </c>
      <c r="AK36" s="508"/>
      <c r="AM36" s="470"/>
      <c r="AN36" s="6"/>
      <c r="AO36" s="6"/>
      <c r="AP36" s="509"/>
      <c r="AQ36" s="469"/>
      <c r="AR36" s="465"/>
      <c r="AS36" s="502"/>
      <c r="AT36" s="502"/>
      <c r="AU36" s="636"/>
      <c r="AV36" s="508"/>
    </row>
    <row r="37" spans="1:48" ht="59.5" customHeight="1" x14ac:dyDescent="0.35">
      <c r="A37" s="1478">
        <v>45340</v>
      </c>
      <c r="B37" s="534">
        <v>1</v>
      </c>
      <c r="C37" s="47"/>
      <c r="D37" s="494"/>
      <c r="E37" s="47">
        <v>7</v>
      </c>
      <c r="F37" s="47"/>
      <c r="G37" s="573"/>
      <c r="H37" s="469"/>
      <c r="I37" s="641" t="s">
        <v>385</v>
      </c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>
        <v>13</v>
      </c>
      <c r="X37" s="508"/>
      <c r="Y37" s="509"/>
      <c r="Z37" s="502"/>
      <c r="AA37" s="579" t="s">
        <v>325</v>
      </c>
      <c r="AB37" s="527"/>
      <c r="AC37" s="66"/>
      <c r="AD37" s="470"/>
      <c r="AE37" s="6"/>
      <c r="AF37" s="6">
        <v>11</v>
      </c>
      <c r="AG37" s="508"/>
      <c r="AH37" s="469"/>
      <c r="AI37" s="6"/>
      <c r="AJ37" s="579" t="s">
        <v>325</v>
      </c>
      <c r="AK37" s="508"/>
      <c r="AM37" s="470"/>
      <c r="AN37" s="6"/>
      <c r="AO37" s="6"/>
      <c r="AP37" s="47"/>
      <c r="AQ37" s="508"/>
      <c r="AR37" s="509"/>
      <c r="AS37" s="6"/>
      <c r="AT37" s="6"/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/>
      <c r="E38" s="47"/>
      <c r="F38" s="637"/>
      <c r="G38" s="573"/>
      <c r="H38" s="469"/>
      <c r="I38" s="641"/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/>
      <c r="V38" s="6"/>
      <c r="W38" s="6"/>
      <c r="X38" s="508"/>
      <c r="Y38" s="509"/>
      <c r="Z38" s="502"/>
      <c r="AA38" s="579"/>
      <c r="AB38" s="527"/>
      <c r="AC38" s="66"/>
      <c r="AD38" s="470"/>
      <c r="AE38" s="6"/>
      <c r="AF38" s="6"/>
      <c r="AG38" s="508"/>
      <c r="AH38" s="469"/>
      <c r="AI38" s="6"/>
      <c r="AJ38" s="579"/>
      <c r="AK38" s="527"/>
      <c r="AM38" s="470"/>
      <c r="AN38" s="6"/>
      <c r="AO38" s="6"/>
      <c r="AP38" s="47"/>
      <c r="AQ38" s="508"/>
      <c r="AR38" s="509"/>
      <c r="AS38" s="6"/>
      <c r="AT38" s="502"/>
      <c r="AU38" s="636"/>
      <c r="AV38" s="527"/>
    </row>
    <row r="39" spans="1:48" ht="70.95" customHeight="1" x14ac:dyDescent="0.35">
      <c r="A39" s="1478">
        <v>45341</v>
      </c>
      <c r="B39" s="472">
        <v>1</v>
      </c>
      <c r="C39" s="47"/>
      <c r="D39" s="494"/>
      <c r="E39" s="47"/>
      <c r="F39" s="637"/>
      <c r="G39" s="573"/>
      <c r="H39" s="469"/>
      <c r="I39" s="641"/>
      <c r="J39" s="527"/>
      <c r="K39" s="66"/>
      <c r="L39" s="470"/>
      <c r="M39" s="6"/>
      <c r="N39" s="6"/>
      <c r="O39" s="495"/>
      <c r="P39" s="573"/>
      <c r="Q39" s="514"/>
      <c r="R39" s="573"/>
      <c r="S39" s="527"/>
      <c r="T39" s="66"/>
      <c r="U39" s="470"/>
      <c r="V39" s="6"/>
      <c r="W39" s="6">
        <v>10</v>
      </c>
      <c r="X39" s="495"/>
      <c r="Y39" s="509"/>
      <c r="Z39" s="514"/>
      <c r="AA39" s="579" t="s">
        <v>325</v>
      </c>
      <c r="AB39" s="527"/>
      <c r="AC39" s="66"/>
      <c r="AD39" s="470"/>
      <c r="AE39" s="6"/>
      <c r="AF39" s="6"/>
      <c r="AG39" s="495"/>
      <c r="AH39" s="573"/>
      <c r="AI39" s="514"/>
      <c r="AJ39" s="573"/>
      <c r="AK39" s="527"/>
      <c r="AM39" s="470"/>
      <c r="AN39" s="6"/>
      <c r="AO39" s="6"/>
      <c r="AP39" s="495"/>
      <c r="AQ39" s="573"/>
      <c r="AR39" s="514"/>
      <c r="AS39" s="573"/>
      <c r="AT39" s="527"/>
      <c r="AU39" s="527"/>
      <c r="AV39" s="568"/>
    </row>
    <row r="40" spans="1:48" ht="72.650000000000006" customHeight="1" x14ac:dyDescent="0.35">
      <c r="A40" s="1477"/>
      <c r="B40" s="472">
        <v>2</v>
      </c>
      <c r="C40" s="494"/>
      <c r="D40" s="494"/>
      <c r="E40" s="494"/>
      <c r="F40" s="508"/>
      <c r="G40" s="573"/>
      <c r="H40" s="515"/>
      <c r="I40" s="515"/>
      <c r="J40" s="527"/>
      <c r="K40" s="66"/>
      <c r="L40" s="470"/>
      <c r="M40" s="6"/>
      <c r="N40" s="6"/>
      <c r="O40" s="508"/>
      <c r="P40" s="566"/>
      <c r="Q40" s="514"/>
      <c r="R40" s="573"/>
      <c r="S40" s="527"/>
      <c r="T40" s="66"/>
      <c r="U40" s="470"/>
      <c r="V40" s="6"/>
      <c r="W40" s="6"/>
      <c r="X40" s="508"/>
      <c r="Y40" s="566"/>
      <c r="Z40" s="514"/>
      <c r="AA40" s="565"/>
      <c r="AB40" s="527"/>
      <c r="AC40" s="66"/>
      <c r="AD40" s="470"/>
      <c r="AE40" s="6"/>
      <c r="AF40" s="6"/>
      <c r="AG40" s="508"/>
      <c r="AH40" s="465"/>
      <c r="AI40" s="515"/>
      <c r="AJ40" s="573"/>
      <c r="AK40" s="527"/>
      <c r="AM40" s="465"/>
      <c r="AN40" s="6"/>
      <c r="AO40" s="6"/>
      <c r="AP40" s="47"/>
      <c r="AQ40" s="508"/>
      <c r="AR40" s="566"/>
      <c r="AS40" s="514"/>
      <c r="AT40" s="573"/>
      <c r="AU40" s="527"/>
      <c r="AV40" s="527"/>
    </row>
    <row r="41" spans="1:48" ht="39.65" customHeight="1" x14ac:dyDescent="0.35">
      <c r="A41" s="1478">
        <v>45342</v>
      </c>
      <c r="B41" s="472">
        <v>1</v>
      </c>
      <c r="C41" s="493"/>
      <c r="D41" s="494"/>
      <c r="E41" s="494"/>
      <c r="F41" s="508"/>
      <c r="G41" s="566"/>
      <c r="H41" s="515"/>
      <c r="I41" s="515"/>
      <c r="J41" s="527"/>
      <c r="K41" s="66"/>
      <c r="L41" s="470"/>
      <c r="M41" s="6"/>
      <c r="N41" s="6"/>
      <c r="O41" s="508"/>
      <c r="P41" s="509"/>
      <c r="Q41" s="6"/>
      <c r="R41" s="573"/>
      <c r="S41" s="527"/>
      <c r="T41" s="66"/>
      <c r="U41" s="470"/>
      <c r="V41" s="6"/>
      <c r="W41" s="6"/>
      <c r="X41" s="508"/>
      <c r="Y41" s="509"/>
      <c r="Z41" s="502"/>
      <c r="AA41" s="579"/>
      <c r="AB41" s="508"/>
      <c r="AC41" s="66"/>
      <c r="AD41" s="470"/>
      <c r="AE41" s="6"/>
      <c r="AF41" s="6"/>
      <c r="AG41" s="508"/>
      <c r="AH41" s="465"/>
      <c r="AI41" s="502"/>
      <c r="AJ41" s="6"/>
      <c r="AK41" s="508"/>
      <c r="AM41" s="470"/>
      <c r="AN41" s="6"/>
      <c r="AO41" s="6"/>
      <c r="AP41" s="47"/>
      <c r="AQ41" s="508"/>
      <c r="AR41" s="509"/>
      <c r="AS41" s="502"/>
      <c r="AT41" s="573"/>
      <c r="AU41" s="47"/>
      <c r="AV41" s="508"/>
    </row>
    <row r="42" spans="1:48" ht="52.95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5"/>
      <c r="I42" s="573"/>
      <c r="J42" s="527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>
        <v>18</v>
      </c>
      <c r="X42" s="508"/>
      <c r="Y42" s="469"/>
      <c r="Z42" s="6"/>
      <c r="AA42" s="579" t="s">
        <v>97</v>
      </c>
      <c r="AB42" s="527"/>
      <c r="AC42" s="66"/>
      <c r="AD42" s="470"/>
      <c r="AE42" s="6">
        <v>53</v>
      </c>
      <c r="AF42" s="6"/>
      <c r="AG42" s="508"/>
      <c r="AH42" s="509"/>
      <c r="AI42" s="502" t="s">
        <v>394</v>
      </c>
      <c r="AJ42" s="6"/>
      <c r="AK42" s="527"/>
      <c r="AM42" s="470"/>
      <c r="AN42" s="6"/>
      <c r="AO42" s="6"/>
      <c r="AP42" s="47"/>
      <c r="AQ42" s="508"/>
      <c r="AR42" s="509"/>
      <c r="AS42" s="6"/>
      <c r="AT42" s="6"/>
      <c r="AU42" s="527"/>
      <c r="AV42" s="508"/>
    </row>
    <row r="43" spans="1:48" ht="65.5" customHeight="1" x14ac:dyDescent="0.35">
      <c r="A43" s="1478">
        <v>45343</v>
      </c>
      <c r="B43" s="472">
        <v>1</v>
      </c>
      <c r="C43" s="494"/>
      <c r="D43" s="494"/>
      <c r="E43" s="494"/>
      <c r="F43" s="495"/>
      <c r="G43" s="514"/>
      <c r="H43" s="514"/>
      <c r="I43" s="641"/>
      <c r="J43" s="527"/>
      <c r="K43" s="66"/>
      <c r="L43" s="470"/>
      <c r="M43" s="6"/>
      <c r="N43" s="6"/>
      <c r="O43" s="508"/>
      <c r="P43" s="509"/>
      <c r="Q43" s="6"/>
      <c r="R43" s="6"/>
      <c r="S43" s="527"/>
      <c r="T43" s="66"/>
      <c r="U43" s="470"/>
      <c r="V43" s="6"/>
      <c r="W43" s="6"/>
      <c r="X43" s="508"/>
      <c r="Y43" s="509"/>
      <c r="Z43" s="6"/>
      <c r="AA43" s="579"/>
      <c r="AB43" s="527"/>
      <c r="AC43" s="66"/>
      <c r="AD43" s="470"/>
      <c r="AE43" s="6"/>
      <c r="AF43" s="6"/>
      <c r="AG43" s="508"/>
      <c r="AH43" s="502"/>
      <c r="AI43" s="515"/>
      <c r="AJ43" s="6"/>
      <c r="AK43" s="527"/>
      <c r="AM43" s="470"/>
      <c r="AN43" s="6"/>
      <c r="AO43" s="6"/>
      <c r="AP43" s="47"/>
      <c r="AQ43" s="508"/>
      <c r="AR43" s="502"/>
      <c r="AS43" s="515"/>
      <c r="AT43" s="6"/>
      <c r="AU43" s="527"/>
      <c r="AV43" s="508"/>
    </row>
    <row r="44" spans="1:48" ht="69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515"/>
      <c r="I44" s="641"/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/>
      <c r="W44" s="494"/>
      <c r="X44" s="495"/>
      <c r="Y44" s="514"/>
      <c r="Z44" s="515"/>
      <c r="AA44" s="579"/>
      <c r="AB44" s="527"/>
      <c r="AC44" s="66"/>
      <c r="AD44" s="470"/>
      <c r="AE44" s="6"/>
      <c r="AF44" s="6"/>
      <c r="AG44" s="508"/>
      <c r="AH44" s="509"/>
      <c r="AI44" s="502"/>
      <c r="AJ44" s="579"/>
      <c r="AK44" s="527"/>
      <c r="AM44" s="470"/>
      <c r="AN44" s="6"/>
      <c r="AO44" s="6"/>
      <c r="AP44" s="47"/>
      <c r="AQ44" s="508"/>
      <c r="AR44" s="509"/>
      <c r="AS44" s="502"/>
      <c r="AT44" s="502"/>
      <c r="AU44" s="527"/>
      <c r="AV44" s="508"/>
    </row>
    <row r="45" spans="1:48" ht="69" customHeight="1" x14ac:dyDescent="0.35">
      <c r="A45" s="1478">
        <v>45344</v>
      </c>
      <c r="B45" s="472">
        <v>1</v>
      </c>
      <c r="C45" s="494"/>
      <c r="D45" s="494"/>
      <c r="E45" s="494"/>
      <c r="F45" s="495"/>
      <c r="G45" s="514"/>
      <c r="H45" s="514"/>
      <c r="I45" s="573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>
        <v>50</v>
      </c>
      <c r="V45" s="502">
        <v>15</v>
      </c>
      <c r="W45" s="6"/>
      <c r="X45" s="508"/>
      <c r="Y45" s="514" t="s">
        <v>207</v>
      </c>
      <c r="Z45" s="502" t="s">
        <v>862</v>
      </c>
      <c r="AA45" s="502"/>
      <c r="AB45" s="508"/>
      <c r="AC45" s="66"/>
      <c r="AD45" s="470"/>
      <c r="AE45" s="6">
        <v>53</v>
      </c>
      <c r="AF45" s="6"/>
      <c r="AG45" s="508"/>
      <c r="AH45" s="509"/>
      <c r="AI45" s="502" t="s">
        <v>317</v>
      </c>
      <c r="AJ45" s="502"/>
      <c r="AK45" s="508"/>
      <c r="AM45" s="470"/>
      <c r="AN45" s="6"/>
      <c r="AO45" s="6"/>
      <c r="AP45" s="47"/>
      <c r="AQ45" s="508"/>
      <c r="AR45" s="509"/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>
        <v>15</v>
      </c>
      <c r="F46" s="495"/>
      <c r="G46" s="514"/>
      <c r="H46" s="514"/>
      <c r="I46" s="641" t="s">
        <v>325</v>
      </c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/>
      <c r="W46" s="6">
        <v>12</v>
      </c>
      <c r="X46" s="508"/>
      <c r="Y46" s="469"/>
      <c r="Z46" s="6"/>
      <c r="AA46" s="502" t="s">
        <v>325</v>
      </c>
      <c r="AB46" s="527"/>
      <c r="AC46" s="66"/>
      <c r="AD46" s="470"/>
      <c r="AE46" s="6">
        <v>12</v>
      </c>
      <c r="AF46" s="6"/>
      <c r="AG46" s="508"/>
      <c r="AH46" s="469"/>
      <c r="AI46" s="502" t="s">
        <v>317</v>
      </c>
      <c r="AJ46" s="579"/>
      <c r="AK46" s="527"/>
      <c r="AM46" s="470"/>
      <c r="AN46" s="6"/>
      <c r="AO46" s="6"/>
      <c r="AP46" s="47"/>
      <c r="AQ46" s="508"/>
      <c r="AR46" s="509"/>
      <c r="AS46" s="515"/>
      <c r="AT46" s="6"/>
      <c r="AU46" s="47"/>
      <c r="AV46" s="527"/>
    </row>
    <row r="47" spans="1:48" ht="58.95" customHeight="1" x14ac:dyDescent="0.35">
      <c r="A47" s="1478">
        <v>45345</v>
      </c>
      <c r="B47" s="472">
        <v>1</v>
      </c>
      <c r="C47" s="494"/>
      <c r="D47" s="494">
        <v>210</v>
      </c>
      <c r="E47" s="494"/>
      <c r="F47" s="495"/>
      <c r="G47" s="514"/>
      <c r="H47" s="515" t="s">
        <v>864</v>
      </c>
      <c r="I47" s="641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>
        <v>40</v>
      </c>
      <c r="V47" s="6"/>
      <c r="W47" s="6">
        <v>12</v>
      </c>
      <c r="X47" s="508"/>
      <c r="Y47" s="514" t="s">
        <v>207</v>
      </c>
      <c r="Z47" s="502"/>
      <c r="AA47" s="502" t="s">
        <v>325</v>
      </c>
      <c r="AB47" s="527"/>
      <c r="AC47" s="66"/>
      <c r="AD47" s="470"/>
      <c r="AE47" s="6"/>
      <c r="AF47" s="6"/>
      <c r="AG47" s="508"/>
      <c r="AH47" s="469"/>
      <c r="AI47" s="515"/>
      <c r="AJ47" s="579"/>
      <c r="AK47" s="508"/>
      <c r="AM47" s="470"/>
      <c r="AN47" s="6"/>
      <c r="AO47" s="6">
        <v>50</v>
      </c>
      <c r="AP47" s="47"/>
      <c r="AQ47" s="508"/>
      <c r="AR47" s="509"/>
      <c r="AS47" s="515"/>
      <c r="AT47" s="6" t="s">
        <v>152</v>
      </c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27"/>
      <c r="K48" s="66"/>
      <c r="L48" s="470"/>
      <c r="M48" s="6"/>
      <c r="N48" s="6"/>
      <c r="O48" s="495"/>
      <c r="P48" s="515"/>
      <c r="Q48" s="515"/>
      <c r="R48" s="573"/>
      <c r="S48" s="527"/>
      <c r="T48" s="66"/>
      <c r="U48" s="470"/>
      <c r="V48" s="6"/>
      <c r="W48" s="6">
        <v>31</v>
      </c>
      <c r="X48" s="495"/>
      <c r="Y48" s="515"/>
      <c r="Z48" s="515"/>
      <c r="AA48" s="573" t="s">
        <v>863</v>
      </c>
      <c r="AB48" s="527"/>
      <c r="AC48" s="66"/>
      <c r="AD48" s="470"/>
      <c r="AE48" s="6"/>
      <c r="AF48" s="6">
        <v>15</v>
      </c>
      <c r="AG48" s="495"/>
      <c r="AH48" s="515"/>
      <c r="AI48" s="515" t="s">
        <v>401</v>
      </c>
      <c r="AJ48" s="573"/>
      <c r="AK48" s="527"/>
      <c r="AM48" s="470"/>
      <c r="AN48" s="6"/>
      <c r="AO48" s="470"/>
      <c r="AP48" s="6"/>
      <c r="AQ48" s="6"/>
      <c r="AR48" s="495"/>
      <c r="AS48" s="515"/>
      <c r="AT48" s="515"/>
      <c r="AU48" s="527"/>
      <c r="AV48" s="508"/>
    </row>
    <row r="49" spans="1:48" ht="36" customHeight="1" x14ac:dyDescent="0.35">
      <c r="A49" s="1478">
        <v>45346</v>
      </c>
      <c r="B49" s="472">
        <v>1</v>
      </c>
      <c r="C49" s="494"/>
      <c r="D49" s="494"/>
      <c r="E49" s="494"/>
      <c r="F49" s="495"/>
      <c r="G49" s="515"/>
      <c r="H49" s="514"/>
      <c r="I49" s="641"/>
      <c r="J49" s="527"/>
      <c r="K49" s="66"/>
      <c r="L49" s="470"/>
      <c r="M49" s="6"/>
      <c r="N49" s="6"/>
      <c r="O49" s="495"/>
      <c r="P49" s="515"/>
      <c r="Q49" s="514"/>
      <c r="R49" s="573"/>
      <c r="S49" s="527"/>
      <c r="T49" s="66"/>
      <c r="U49" s="470"/>
      <c r="V49" s="6"/>
      <c r="W49" s="6"/>
      <c r="X49" s="495"/>
      <c r="Y49" s="515"/>
      <c r="Z49" s="502"/>
      <c r="AA49" s="502"/>
      <c r="AB49" s="527"/>
      <c r="AC49" s="66"/>
      <c r="AD49" s="470"/>
      <c r="AE49" s="6"/>
      <c r="AF49" s="6"/>
      <c r="AG49" s="495"/>
      <c r="AH49" s="515"/>
      <c r="AI49" s="514"/>
      <c r="AJ49" s="573"/>
      <c r="AK49" s="527"/>
      <c r="AM49" s="470"/>
      <c r="AN49" s="6"/>
      <c r="AO49" s="6"/>
      <c r="AP49" s="495"/>
      <c r="AQ49" s="515"/>
      <c r="AR49" s="514"/>
      <c r="AS49" s="573"/>
      <c r="AT49" s="527"/>
      <c r="AU49" s="527"/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/>
      <c r="X50" s="495"/>
      <c r="Y50" s="514"/>
      <c r="Z50" s="514"/>
      <c r="AA50" s="579"/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495"/>
      <c r="AQ50" s="514"/>
      <c r="AR50" s="514"/>
      <c r="AS50" s="573"/>
      <c r="AT50" s="527"/>
      <c r="AU50" s="527"/>
      <c r="AV50" s="527"/>
    </row>
    <row r="51" spans="1:48" ht="34.950000000000003" customHeight="1" x14ac:dyDescent="0.35">
      <c r="A51" s="1478">
        <v>45347</v>
      </c>
      <c r="B51" s="472">
        <v>1</v>
      </c>
      <c r="C51" s="494"/>
      <c r="D51" s="494"/>
      <c r="E51" s="494"/>
      <c r="F51" s="495"/>
      <c r="G51" s="514"/>
      <c r="H51" s="514"/>
      <c r="I51" s="641"/>
      <c r="J51" s="527"/>
      <c r="K51" s="66"/>
      <c r="L51" s="470"/>
      <c r="M51" s="6"/>
      <c r="N51" s="6"/>
      <c r="O51" s="495"/>
      <c r="P51" s="514"/>
      <c r="Q51" s="514"/>
      <c r="R51" s="573"/>
      <c r="S51" s="527"/>
      <c r="T51" s="66"/>
      <c r="U51" s="470"/>
      <c r="V51" s="6"/>
      <c r="W51" s="6"/>
      <c r="X51" s="495"/>
      <c r="Y51" s="514"/>
      <c r="Z51" s="514"/>
      <c r="AA51" s="579"/>
      <c r="AB51" s="527"/>
      <c r="AC51" s="66"/>
      <c r="AD51" s="470"/>
      <c r="AE51" s="6"/>
      <c r="AF51" s="6"/>
      <c r="AG51" s="495"/>
      <c r="AH51" s="514"/>
      <c r="AI51" s="514"/>
      <c r="AJ51" s="573"/>
      <c r="AK51" s="527"/>
      <c r="AM51" s="470"/>
      <c r="AN51" s="6"/>
      <c r="AO51" s="6"/>
      <c r="AP51" s="495"/>
      <c r="AQ51" s="514"/>
      <c r="AR51" s="514"/>
      <c r="AS51" s="573"/>
      <c r="AT51" s="527"/>
      <c r="AU51" s="527"/>
      <c r="AV51" s="508"/>
    </row>
    <row r="52" spans="1:48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641"/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/>
      <c r="W52" s="6"/>
      <c r="X52" s="495"/>
      <c r="Y52" s="515"/>
      <c r="Z52" s="502"/>
      <c r="AA52" s="579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8"/>
      <c r="AR52" s="509"/>
      <c r="AS52" s="6"/>
      <c r="AT52" s="527"/>
      <c r="AU52" s="527"/>
      <c r="AV52" s="508"/>
    </row>
    <row r="53" spans="1:48" ht="40.200000000000003" customHeight="1" x14ac:dyDescent="0.35">
      <c r="A53" s="1478">
        <v>45348</v>
      </c>
      <c r="B53" s="472">
        <v>1</v>
      </c>
      <c r="C53" s="494"/>
      <c r="D53" s="494"/>
      <c r="E53" s="494"/>
      <c r="F53" s="495"/>
      <c r="G53" s="514"/>
      <c r="H53" s="514"/>
      <c r="I53" s="641"/>
      <c r="J53" s="527"/>
      <c r="K53" s="66"/>
      <c r="L53" s="470"/>
      <c r="M53" s="6"/>
      <c r="N53" s="6"/>
      <c r="O53" s="508"/>
      <c r="P53" s="469"/>
      <c r="Q53" s="515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6"/>
      <c r="AJ53" s="502"/>
      <c r="AK53" s="508"/>
      <c r="AM53" s="470"/>
      <c r="AN53" s="502"/>
      <c r="AO53" s="6"/>
      <c r="AP53" s="47"/>
      <c r="AQ53" s="508"/>
      <c r="AR53" s="509"/>
      <c r="AS53" s="6"/>
      <c r="AT53" s="6"/>
      <c r="AU53" s="47"/>
      <c r="AV53" s="508"/>
    </row>
    <row r="54" spans="1:48" ht="39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5"/>
      <c r="I54" s="573"/>
      <c r="J54" s="527"/>
      <c r="K54" s="66"/>
      <c r="L54" s="470"/>
      <c r="M54" s="6"/>
      <c r="N54" s="6"/>
      <c r="O54" s="495"/>
      <c r="P54" s="514"/>
      <c r="Q54" s="515"/>
      <c r="R54" s="514"/>
      <c r="S54" s="527"/>
      <c r="T54" s="66"/>
      <c r="U54" s="470"/>
      <c r="V54" s="6"/>
      <c r="W54" s="6"/>
      <c r="X54" s="495"/>
      <c r="Y54" s="515"/>
      <c r="Z54" s="515"/>
      <c r="AA54" s="515"/>
      <c r="AB54" s="527"/>
      <c r="AC54" s="66"/>
      <c r="AD54" s="470"/>
      <c r="AE54" s="6"/>
      <c r="AF54" s="6"/>
      <c r="AG54" s="508"/>
      <c r="AH54" s="509"/>
      <c r="AI54" s="515"/>
      <c r="AJ54" s="6"/>
      <c r="AK54" s="527"/>
      <c r="AM54" s="470"/>
      <c r="AN54" s="6"/>
      <c r="AO54" s="6"/>
      <c r="AP54" s="47"/>
      <c r="AQ54" s="495"/>
      <c r="AR54" s="514"/>
      <c r="AS54" s="515"/>
      <c r="AT54" s="514"/>
      <c r="AU54" s="638"/>
      <c r="AV54" s="527"/>
    </row>
    <row r="55" spans="1:48" ht="39.65" customHeight="1" x14ac:dyDescent="0.35">
      <c r="A55" s="1478">
        <v>45349</v>
      </c>
      <c r="B55" s="472">
        <v>1</v>
      </c>
      <c r="C55" s="493"/>
      <c r="D55" s="494"/>
      <c r="E55" s="494"/>
      <c r="F55" s="495"/>
      <c r="G55" s="514"/>
      <c r="H55" s="514"/>
      <c r="I55" s="641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5"/>
      <c r="AA55" s="579"/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47"/>
      <c r="AQ55" s="508"/>
      <c r="AR55" s="509"/>
      <c r="AS55" s="515"/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641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02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7"/>
      <c r="AQ56" s="495"/>
      <c r="AR56" s="515"/>
      <c r="AS56" s="514"/>
      <c r="AT56" s="515"/>
      <c r="AU56" s="573"/>
      <c r="AV56" s="527"/>
    </row>
    <row r="57" spans="1:48" ht="52.2" customHeight="1" x14ac:dyDescent="0.35">
      <c r="A57" s="1478">
        <v>45350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02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641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/>
      <c r="X58" s="495"/>
      <c r="Y58" s="515"/>
      <c r="Z58" s="514"/>
      <c r="AA58" s="579"/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/>
      <c r="AP58" s="47"/>
      <c r="AQ58" s="495"/>
      <c r="AR58" s="515"/>
      <c r="AS58" s="514"/>
      <c r="AT58" s="515"/>
      <c r="AU58" s="573"/>
      <c r="AV58" s="527"/>
    </row>
    <row r="59" spans="1:48" ht="73.2" customHeight="1" x14ac:dyDescent="0.35">
      <c r="A59" s="1478">
        <v>45351</v>
      </c>
      <c r="B59" s="472">
        <v>1</v>
      </c>
      <c r="C59" s="493"/>
      <c r="D59" s="494"/>
      <c r="E59" s="494"/>
      <c r="F59" s="495"/>
      <c r="G59" s="514"/>
      <c r="H59" s="514"/>
      <c r="I59" s="641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79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641"/>
      <c r="J60" s="527"/>
      <c r="K60" s="66"/>
      <c r="L60" s="470"/>
      <c r="M60" s="6"/>
      <c r="N60" s="6"/>
      <c r="O60" s="508"/>
      <c r="P60" s="509"/>
      <c r="Q60" s="515"/>
      <c r="R60" s="6"/>
      <c r="S60" s="527"/>
      <c r="T60" s="66"/>
      <c r="U60" s="470"/>
      <c r="V60" s="6"/>
      <c r="W60" s="6"/>
      <c r="X60" s="508"/>
      <c r="Y60" s="469"/>
      <c r="Z60" s="515"/>
      <c r="AA60" s="502"/>
      <c r="AB60" s="527"/>
      <c r="AC60" s="66"/>
      <c r="AD60" s="470"/>
      <c r="AE60" s="6"/>
      <c r="AF60" s="6"/>
      <c r="AG60" s="508"/>
      <c r="AH60" s="509"/>
      <c r="AI60" s="515"/>
      <c r="AJ60" s="502"/>
      <c r="AK60" s="527"/>
      <c r="AM60" s="470"/>
      <c r="AN60" s="6"/>
      <c r="AO60" s="6"/>
      <c r="AP60" s="47"/>
      <c r="AQ60" s="508"/>
      <c r="AR60" s="509"/>
      <c r="AS60" s="515"/>
      <c r="AT60" s="502"/>
      <c r="AU60" s="636"/>
      <c r="AV60" s="527"/>
    </row>
    <row r="61" spans="1:48" ht="32.5" customHeight="1" x14ac:dyDescent="0.35">
      <c r="A61" s="1478">
        <v>45321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47"/>
      <c r="AQ61" s="508"/>
      <c r="AR61" s="469"/>
      <c r="AS61" s="6"/>
      <c r="AT61" s="502"/>
      <c r="AU61" s="648"/>
      <c r="AV61" s="624"/>
    </row>
    <row r="62" spans="1:48" ht="62.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509"/>
      <c r="AI62" s="6"/>
      <c r="AJ62" s="502"/>
      <c r="AK62" s="624"/>
      <c r="AM62" s="470"/>
      <c r="AN62" s="6"/>
      <c r="AO62" s="6"/>
      <c r="AP62" s="47"/>
      <c r="AQ62" s="508"/>
      <c r="AR62" s="509"/>
      <c r="AS62" s="6"/>
      <c r="AT62" s="502"/>
      <c r="AU62" s="648"/>
      <c r="AV62" s="624"/>
    </row>
    <row r="63" spans="1:48" ht="64.2" customHeight="1" x14ac:dyDescent="0.35">
      <c r="A63" s="1478">
        <v>45322</v>
      </c>
      <c r="B63" s="472">
        <v>1</v>
      </c>
      <c r="C63" s="587"/>
      <c r="D63" s="588"/>
      <c r="E63" s="588"/>
      <c r="F63" s="589"/>
      <c r="G63" s="598"/>
      <c r="H63" s="590"/>
      <c r="I63" s="573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502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7"/>
      <c r="AQ63" s="495"/>
      <c r="AR63" s="566"/>
      <c r="AS63" s="514"/>
      <c r="AT63" s="514"/>
      <c r="AU63" s="649"/>
      <c r="AV63" s="586"/>
    </row>
    <row r="64" spans="1:48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647"/>
      <c r="AQ64" s="528"/>
      <c r="AR64" s="529"/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3174</v>
      </c>
      <c r="D65" s="65">
        <f>SUM(D3:D64)</f>
        <v>494</v>
      </c>
      <c r="E65" s="631">
        <f>SUM(E3:E64)</f>
        <v>269</v>
      </c>
      <c r="F65" s="65">
        <f>SUM(F3:F64)</f>
        <v>0</v>
      </c>
      <c r="L65" s="65">
        <f>SUM(L3:L64)</f>
        <v>0</v>
      </c>
      <c r="M65" s="65">
        <f>SUM(M3:M64)</f>
        <v>261</v>
      </c>
      <c r="N65" s="65">
        <f>SUM(N3:N64)</f>
        <v>0</v>
      </c>
      <c r="O65" s="65">
        <f>SUM(O3:O64)</f>
        <v>0</v>
      </c>
      <c r="U65" s="65">
        <f>SUM(U3:U64)</f>
        <v>2498</v>
      </c>
      <c r="V65" s="65">
        <f>SUM(V3:V64)</f>
        <v>347</v>
      </c>
      <c r="W65" s="65">
        <f>SUM(W3:W64)</f>
        <v>1714</v>
      </c>
      <c r="X65" s="65">
        <f>SUM(X3:X64)</f>
        <v>0</v>
      </c>
      <c r="AD65" s="65">
        <f>SUM(AD3:AD64)</f>
        <v>905</v>
      </c>
      <c r="AE65" s="65">
        <f>SUM(AE3:AE64)</f>
        <v>128</v>
      </c>
      <c r="AF65" s="65">
        <f>SUM(AF3:AF64)</f>
        <v>1316</v>
      </c>
      <c r="AG65" s="65">
        <f>SUM(AG3:AG64)</f>
        <v>0</v>
      </c>
      <c r="AM65" s="65">
        <f>SUM(AM3:AM64)</f>
        <v>2134</v>
      </c>
      <c r="AN65" s="65">
        <f>SUM(AN3:AN64)</f>
        <v>250</v>
      </c>
      <c r="AO65" s="65">
        <f>SUM(AO3:AO64)</f>
        <v>90</v>
      </c>
      <c r="AP65" s="65"/>
      <c r="AQ65" s="65">
        <f>SUM(AQ3:AQ64)</f>
        <v>0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3174</v>
      </c>
      <c r="D76" s="543">
        <f>C76/60</f>
        <v>52.9</v>
      </c>
      <c r="E76" s="542">
        <f>D65</f>
        <v>494</v>
      </c>
      <c r="F76" s="544">
        <f>E76/60</f>
        <v>8.2333333333333325</v>
      </c>
      <c r="G76" s="542">
        <f>E65</f>
        <v>269</v>
      </c>
      <c r="H76" s="543">
        <f>G76/60</f>
        <v>4.4833333333333334</v>
      </c>
      <c r="I76" s="542">
        <f>F65</f>
        <v>0</v>
      </c>
      <c r="J76" s="543">
        <f>I76/60</f>
        <v>0</v>
      </c>
    </row>
    <row r="77" spans="1:43" ht="19.5" customHeight="1" x14ac:dyDescent="0.4">
      <c r="B77" s="541" t="s">
        <v>219</v>
      </c>
      <c r="C77" s="545">
        <f>L65</f>
        <v>0</v>
      </c>
      <c r="D77" s="546">
        <f>C77/60</f>
        <v>0</v>
      </c>
      <c r="E77" s="545">
        <f>M65</f>
        <v>261</v>
      </c>
      <c r="F77" s="547">
        <f>E77/60</f>
        <v>4.3499999999999996</v>
      </c>
      <c r="G77" s="545">
        <f>N65</f>
        <v>0</v>
      </c>
      <c r="H77" s="546">
        <f>G77/60</f>
        <v>0</v>
      </c>
      <c r="I77" s="545">
        <f>O65</f>
        <v>0</v>
      </c>
      <c r="J77" s="546">
        <f>I77/60</f>
        <v>0</v>
      </c>
    </row>
    <row r="78" spans="1:43" ht="20.25" customHeight="1" x14ac:dyDescent="0.4">
      <c r="B78" s="541" t="s">
        <v>220</v>
      </c>
      <c r="C78" s="545">
        <f>U65</f>
        <v>2498</v>
      </c>
      <c r="D78" s="546">
        <f>C78/60</f>
        <v>41.633333333333333</v>
      </c>
      <c r="E78" s="545">
        <f>V65</f>
        <v>347</v>
      </c>
      <c r="F78" s="547">
        <f>E78/60</f>
        <v>5.7833333333333332</v>
      </c>
      <c r="G78" s="545">
        <f>W65</f>
        <v>1714</v>
      </c>
      <c r="H78" s="546">
        <f>G78/60</f>
        <v>28.566666666666666</v>
      </c>
      <c r="I78" s="545">
        <f>X65</f>
        <v>0</v>
      </c>
      <c r="J78" s="546">
        <f>I78/60</f>
        <v>0</v>
      </c>
    </row>
    <row r="79" spans="1:43" ht="22.5" customHeight="1" thickBot="1" x14ac:dyDescent="0.45">
      <c r="B79" s="541" t="s">
        <v>221</v>
      </c>
      <c r="C79" s="548">
        <f>AD65</f>
        <v>905</v>
      </c>
      <c r="D79" s="549">
        <f>C79/60</f>
        <v>15.083333333333334</v>
      </c>
      <c r="E79" s="548">
        <f>AE65</f>
        <v>128</v>
      </c>
      <c r="F79" s="550">
        <f>E79/60</f>
        <v>2.1333333333333333</v>
      </c>
      <c r="G79" s="548">
        <f>AF65</f>
        <v>1316</v>
      </c>
      <c r="H79" s="549">
        <f>G79/60</f>
        <v>21.933333333333334</v>
      </c>
      <c r="I79" s="548">
        <f>AG65</f>
        <v>0</v>
      </c>
      <c r="J79" s="549">
        <f>I79/60</f>
        <v>0</v>
      </c>
    </row>
    <row r="80" spans="1:43" ht="22.5" customHeight="1" thickBot="1" x14ac:dyDescent="0.45">
      <c r="B80" s="541" t="s">
        <v>488</v>
      </c>
      <c r="C80" s="643">
        <f>AM65</f>
        <v>2134</v>
      </c>
      <c r="D80" s="642">
        <f>C80/60</f>
        <v>35.56666666666667</v>
      </c>
      <c r="E80" s="643">
        <f>AN65</f>
        <v>250</v>
      </c>
      <c r="F80" s="644">
        <f>E80/60</f>
        <v>4.166666666666667</v>
      </c>
      <c r="G80" s="643">
        <f>AO65</f>
        <v>90</v>
      </c>
      <c r="H80" s="642">
        <f>G80/60</f>
        <v>1.5</v>
      </c>
      <c r="I80" s="643">
        <f>AQ65</f>
        <v>0</v>
      </c>
      <c r="J80" s="642">
        <f>I80/60</f>
        <v>0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145.18333333333334</v>
      </c>
      <c r="E82" s="556"/>
      <c r="F82" s="557">
        <f>SUM(F76:F80)</f>
        <v>24.666666666666668</v>
      </c>
      <c r="G82" s="556"/>
      <c r="H82" s="557">
        <f>SUM(H76:H80)</f>
        <v>56.483333333333334</v>
      </c>
      <c r="I82" s="556"/>
      <c r="J82" s="558">
        <f>AVERAGE(J76:J80)</f>
        <v>0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Q1"/>
    <mergeCell ref="AR1:AV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V87"/>
  <sheetViews>
    <sheetView zoomScale="60" zoomScaleNormal="6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Y46" sqref="Y46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7.304687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3" width="10.69140625" style="423" customWidth="1"/>
    <col min="44" max="44" width="21.15234375" style="423" customWidth="1"/>
    <col min="45" max="45" width="26.3046875" style="423" customWidth="1"/>
    <col min="46" max="46" width="27.15234375" style="423" customWidth="1"/>
    <col min="47" max="47" width="24.3828125" style="423" customWidth="1"/>
    <col min="48" max="48" width="26.53515625" style="423" customWidth="1"/>
    <col min="49" max="16384" width="8.84375" style="423"/>
  </cols>
  <sheetData>
    <row r="1" spans="1:48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3"/>
      <c r="AR1" s="1354" t="s">
        <v>206</v>
      </c>
      <c r="AS1" s="1354"/>
      <c r="AT1" s="1354"/>
      <c r="AU1" s="1354"/>
      <c r="AV1" s="1355"/>
    </row>
    <row r="2" spans="1:48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5" t="s">
        <v>204</v>
      </c>
      <c r="AR2" s="657" t="s">
        <v>199</v>
      </c>
      <c r="AS2" s="655" t="s">
        <v>200</v>
      </c>
      <c r="AT2" s="655" t="s">
        <v>201</v>
      </c>
      <c r="AU2" s="655" t="s">
        <v>204</v>
      </c>
      <c r="AV2" s="655" t="s">
        <v>204</v>
      </c>
    </row>
    <row r="3" spans="1:48" ht="78" customHeight="1" x14ac:dyDescent="0.35">
      <c r="A3" s="1478">
        <v>45352</v>
      </c>
      <c r="B3" s="501">
        <v>1</v>
      </c>
      <c r="C3" s="490"/>
      <c r="D3" s="491">
        <v>8</v>
      </c>
      <c r="E3" s="6"/>
      <c r="F3" s="492"/>
      <c r="G3" s="566"/>
      <c r="H3" s="514" t="s">
        <v>276</v>
      </c>
      <c r="I3" s="515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>
        <v>736</v>
      </c>
      <c r="V3" s="522"/>
      <c r="W3" s="6"/>
      <c r="X3" s="508"/>
      <c r="Y3" s="469" t="s">
        <v>865</v>
      </c>
      <c r="Z3" s="521"/>
      <c r="AA3" s="515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>
        <v>45</v>
      </c>
      <c r="AP3" s="80"/>
      <c r="AQ3" s="520"/>
      <c r="AR3" s="521"/>
      <c r="AS3" s="538"/>
      <c r="AT3" s="6" t="s">
        <v>97</v>
      </c>
      <c r="AU3" s="80"/>
      <c r="AV3" s="520"/>
    </row>
    <row r="4" spans="1:48" ht="70.2" customHeight="1" x14ac:dyDescent="0.35">
      <c r="A4" s="1477"/>
      <c r="B4" s="472">
        <v>2</v>
      </c>
      <c r="C4" s="493"/>
      <c r="D4" s="494"/>
      <c r="E4" s="494"/>
      <c r="F4" s="495"/>
      <c r="G4" s="566"/>
      <c r="H4" s="514"/>
      <c r="I4" s="641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>
        <v>720</v>
      </c>
      <c r="V4" s="502"/>
      <c r="W4" s="6"/>
      <c r="X4" s="508"/>
      <c r="Y4" s="469" t="s">
        <v>865</v>
      </c>
      <c r="Z4" s="514"/>
      <c r="AA4" s="579"/>
      <c r="AB4" s="603"/>
      <c r="AC4" s="66"/>
      <c r="AD4" s="470"/>
      <c r="AE4" s="6">
        <v>5</v>
      </c>
      <c r="AF4" s="6"/>
      <c r="AG4" s="508"/>
      <c r="AH4" s="509"/>
      <c r="AI4" s="515" t="s">
        <v>866</v>
      </c>
      <c r="AJ4" s="6"/>
      <c r="AK4" s="508"/>
      <c r="AM4" s="470"/>
      <c r="AN4" s="6"/>
      <c r="AO4" s="6"/>
      <c r="AP4" s="47"/>
      <c r="AQ4" s="508"/>
      <c r="AR4" s="509"/>
      <c r="AS4" s="515"/>
      <c r="AT4" s="6"/>
      <c r="AU4" s="47"/>
      <c r="AV4" s="508"/>
    </row>
    <row r="5" spans="1:48" ht="60" customHeight="1" x14ac:dyDescent="0.35">
      <c r="A5" s="1478">
        <v>45353</v>
      </c>
      <c r="B5" s="472">
        <v>1</v>
      </c>
      <c r="C5" s="493"/>
      <c r="D5" s="494"/>
      <c r="E5" s="494">
        <v>13</v>
      </c>
      <c r="F5" s="495"/>
      <c r="G5" s="565"/>
      <c r="H5" s="565"/>
      <c r="I5" s="641" t="s">
        <v>152</v>
      </c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>
        <v>720</v>
      </c>
      <c r="V5" s="6"/>
      <c r="W5" s="6"/>
      <c r="X5" s="508"/>
      <c r="Y5" s="469" t="s">
        <v>865</v>
      </c>
      <c r="Z5" s="6"/>
      <c r="AA5" s="579"/>
      <c r="AB5" s="604"/>
      <c r="AC5" s="66"/>
      <c r="AD5" s="470"/>
      <c r="AE5" s="6"/>
      <c r="AF5" s="6"/>
      <c r="AG5" s="508"/>
      <c r="AH5" s="509"/>
      <c r="AI5" s="6"/>
      <c r="AJ5" s="661"/>
      <c r="AK5" s="508"/>
      <c r="AM5" s="470"/>
      <c r="AN5" s="6"/>
      <c r="AO5" s="6"/>
      <c r="AP5" s="47"/>
      <c r="AQ5" s="508"/>
      <c r="AR5" s="509"/>
      <c r="AS5" s="6"/>
      <c r="AT5" s="502"/>
      <c r="AU5" s="636"/>
      <c r="AV5" s="526"/>
    </row>
    <row r="6" spans="1:48" ht="80.5" customHeight="1" x14ac:dyDescent="0.35">
      <c r="A6" s="1477"/>
      <c r="B6" s="472">
        <v>2</v>
      </c>
      <c r="C6" s="493"/>
      <c r="D6" s="494">
        <v>10</v>
      </c>
      <c r="E6" s="494">
        <v>10</v>
      </c>
      <c r="F6" s="495"/>
      <c r="G6" s="566"/>
      <c r="H6" s="515" t="s">
        <v>811</v>
      </c>
      <c r="I6" s="641" t="s">
        <v>152</v>
      </c>
      <c r="J6" s="568"/>
      <c r="K6" s="66"/>
      <c r="L6" s="470"/>
      <c r="M6" s="6"/>
      <c r="N6" s="6"/>
      <c r="O6" s="508"/>
      <c r="P6" s="509"/>
      <c r="Q6" s="514"/>
      <c r="R6" s="6"/>
      <c r="S6" s="508"/>
      <c r="T6" s="66"/>
      <c r="U6" s="470">
        <v>720</v>
      </c>
      <c r="V6" s="6"/>
      <c r="W6" s="6"/>
      <c r="X6" s="508"/>
      <c r="Y6" s="469" t="s">
        <v>865</v>
      </c>
      <c r="Z6" s="515"/>
      <c r="AA6" s="579"/>
      <c r="AB6" s="508"/>
      <c r="AC6" s="66"/>
      <c r="AD6" s="470">
        <v>9</v>
      </c>
      <c r="AE6" s="6"/>
      <c r="AF6" s="6"/>
      <c r="AG6" s="508"/>
      <c r="AH6" s="509" t="s">
        <v>288</v>
      </c>
      <c r="AI6" s="6"/>
      <c r="AJ6" s="6"/>
      <c r="AK6" s="508"/>
      <c r="AM6" s="470"/>
      <c r="AN6" s="6"/>
      <c r="AO6" s="6"/>
      <c r="AP6" s="47"/>
      <c r="AQ6" s="508"/>
      <c r="AR6" s="509"/>
      <c r="AS6" s="6"/>
      <c r="AT6" s="502"/>
      <c r="AU6" s="636"/>
      <c r="AV6" s="526"/>
    </row>
    <row r="7" spans="1:48" ht="71.5" customHeight="1" x14ac:dyDescent="0.35">
      <c r="A7" s="1478">
        <v>45354</v>
      </c>
      <c r="B7" s="472">
        <v>1</v>
      </c>
      <c r="C7" s="493"/>
      <c r="D7" s="494"/>
      <c r="E7" s="494"/>
      <c r="F7" s="495"/>
      <c r="G7" s="566"/>
      <c r="H7" s="515"/>
      <c r="I7" s="641"/>
      <c r="J7" s="568"/>
      <c r="K7" s="66"/>
      <c r="L7" s="470"/>
      <c r="M7" s="509"/>
      <c r="N7" s="6"/>
      <c r="O7" s="508"/>
      <c r="P7" s="509"/>
      <c r="Q7" s="660"/>
      <c r="R7" s="6"/>
      <c r="S7" s="508"/>
      <c r="T7" s="66"/>
      <c r="U7" s="470">
        <v>720</v>
      </c>
      <c r="V7" s="6"/>
      <c r="W7" s="6"/>
      <c r="X7" s="508"/>
      <c r="Y7" s="469" t="s">
        <v>865</v>
      </c>
      <c r="Z7" s="515"/>
      <c r="AA7" s="579"/>
      <c r="AB7" s="508"/>
      <c r="AC7" s="66"/>
      <c r="AD7" s="470"/>
      <c r="AE7" s="6"/>
      <c r="AF7" s="6"/>
      <c r="AG7" s="508"/>
      <c r="AH7" s="509"/>
      <c r="AI7" s="660"/>
      <c r="AJ7" s="6"/>
      <c r="AK7" s="508"/>
      <c r="AM7" s="470"/>
      <c r="AN7" s="6"/>
      <c r="AO7" s="6"/>
      <c r="AP7" s="47"/>
      <c r="AQ7" s="508"/>
      <c r="AR7" s="509"/>
      <c r="AS7" s="660"/>
      <c r="AT7" s="515"/>
      <c r="AU7" s="573"/>
      <c r="AV7" s="526"/>
    </row>
    <row r="8" spans="1:48" ht="69.650000000000006" customHeight="1" x14ac:dyDescent="0.35">
      <c r="A8" s="1477"/>
      <c r="B8" s="472">
        <v>2</v>
      </c>
      <c r="C8" s="493"/>
      <c r="D8" s="494">
        <v>5</v>
      </c>
      <c r="E8" s="494">
        <v>7</v>
      </c>
      <c r="F8" s="495"/>
      <c r="G8" s="565"/>
      <c r="H8" s="515" t="s">
        <v>811</v>
      </c>
      <c r="I8" s="641" t="s">
        <v>152</v>
      </c>
      <c r="J8" s="527"/>
      <c r="K8" s="66"/>
      <c r="L8" s="470"/>
      <c r="M8" s="6"/>
      <c r="N8" s="6"/>
      <c r="O8" s="508"/>
      <c r="P8" s="469"/>
      <c r="Q8" s="6"/>
      <c r="R8" s="502"/>
      <c r="S8" s="527"/>
      <c r="T8" s="66"/>
      <c r="U8" s="470">
        <v>676</v>
      </c>
      <c r="V8" s="639"/>
      <c r="W8" s="509"/>
      <c r="X8" s="508"/>
      <c r="Y8" s="469" t="s">
        <v>867</v>
      </c>
      <c r="Z8" s="6"/>
      <c r="AA8" s="579"/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/>
      <c r="AN8" s="6"/>
      <c r="AO8" s="6"/>
      <c r="AP8" s="47"/>
      <c r="AQ8" s="508"/>
      <c r="AR8" s="509"/>
      <c r="AS8" s="6"/>
      <c r="AT8" s="6"/>
      <c r="AU8" s="47"/>
      <c r="AV8" s="526"/>
    </row>
    <row r="9" spans="1:48" ht="76.95" customHeight="1" x14ac:dyDescent="0.35">
      <c r="A9" s="1478">
        <v>45355</v>
      </c>
      <c r="B9" s="472">
        <v>1</v>
      </c>
      <c r="C9" s="493"/>
      <c r="D9" s="494"/>
      <c r="E9" s="494">
        <v>12</v>
      </c>
      <c r="F9" s="495"/>
      <c r="G9" s="565"/>
      <c r="H9" s="514"/>
      <c r="I9" s="641" t="s">
        <v>152</v>
      </c>
      <c r="J9" s="527"/>
      <c r="K9" s="66"/>
      <c r="L9" s="470"/>
      <c r="M9" s="6"/>
      <c r="N9" s="6"/>
      <c r="O9" s="508"/>
      <c r="P9" s="469"/>
      <c r="Q9" s="6"/>
      <c r="R9" s="502"/>
      <c r="S9" s="527"/>
      <c r="T9" s="66"/>
      <c r="U9" s="470">
        <v>720</v>
      </c>
      <c r="V9" s="6"/>
      <c r="W9" s="6"/>
      <c r="X9" s="508"/>
      <c r="Y9" s="469" t="s">
        <v>868</v>
      </c>
      <c r="Z9" s="6"/>
      <c r="AA9" s="579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508"/>
      <c r="AR9" s="509"/>
      <c r="AS9" s="6"/>
      <c r="AT9" s="6"/>
      <c r="AU9" s="636"/>
      <c r="AV9" s="526"/>
    </row>
    <row r="10" spans="1:48" ht="67.2" customHeight="1" x14ac:dyDescent="0.35">
      <c r="A10" s="1477"/>
      <c r="B10" s="472">
        <v>2</v>
      </c>
      <c r="C10" s="493"/>
      <c r="D10" s="494"/>
      <c r="E10" s="494">
        <v>12</v>
      </c>
      <c r="F10" s="495"/>
      <c r="G10" s="565"/>
      <c r="H10" s="514"/>
      <c r="I10" s="641" t="s">
        <v>869</v>
      </c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>
        <v>540</v>
      </c>
      <c r="V10" s="6"/>
      <c r="W10" s="6">
        <v>180</v>
      </c>
      <c r="X10" s="508"/>
      <c r="Y10" s="469" t="s">
        <v>872</v>
      </c>
      <c r="Z10" s="469"/>
      <c r="AA10" s="579" t="s">
        <v>239</v>
      </c>
      <c r="AB10" s="527"/>
      <c r="AC10" s="66"/>
      <c r="AD10" s="470"/>
      <c r="AE10" s="6"/>
      <c r="AF10" s="6">
        <v>12</v>
      </c>
      <c r="AG10" s="508"/>
      <c r="AH10" s="469"/>
      <c r="AI10" s="502"/>
      <c r="AJ10" s="515" t="s">
        <v>871</v>
      </c>
      <c r="AK10" s="527"/>
      <c r="AM10" s="470"/>
      <c r="AN10" s="6"/>
      <c r="AO10" s="6">
        <v>10</v>
      </c>
      <c r="AP10" s="47"/>
      <c r="AQ10" s="508"/>
      <c r="AR10" s="509"/>
      <c r="AS10" s="6"/>
      <c r="AT10" s="502" t="s">
        <v>870</v>
      </c>
      <c r="AU10" s="47"/>
      <c r="AV10" s="526"/>
    </row>
    <row r="11" spans="1:48" ht="60" customHeight="1" x14ac:dyDescent="0.35">
      <c r="A11" s="1478">
        <v>45356</v>
      </c>
      <c r="B11" s="472">
        <v>1</v>
      </c>
      <c r="C11" s="493"/>
      <c r="D11" s="494"/>
      <c r="E11" s="494">
        <v>5</v>
      </c>
      <c r="F11" s="495"/>
      <c r="G11" s="565"/>
      <c r="H11" s="514"/>
      <c r="I11" s="641" t="s">
        <v>152</v>
      </c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>
        <v>667</v>
      </c>
      <c r="V11" s="6"/>
      <c r="W11" s="6"/>
      <c r="X11" s="508"/>
      <c r="Y11" s="469" t="s">
        <v>872</v>
      </c>
      <c r="Z11" s="6"/>
      <c r="AA11" s="579"/>
      <c r="AB11" s="508"/>
      <c r="AC11" s="66"/>
      <c r="AD11" s="470"/>
      <c r="AE11" s="6"/>
      <c r="AF11" s="6">
        <v>36</v>
      </c>
      <c r="AG11" s="508"/>
      <c r="AH11" s="509"/>
      <c r="AI11" s="6"/>
      <c r="AJ11" s="515" t="s">
        <v>871</v>
      </c>
      <c r="AK11" s="508"/>
      <c r="AM11" s="470"/>
      <c r="AN11" s="6"/>
      <c r="AO11" s="6"/>
      <c r="AP11" s="47"/>
      <c r="AQ11" s="508"/>
      <c r="AR11" s="509"/>
      <c r="AS11" s="6"/>
      <c r="AT11" s="6"/>
      <c r="AU11" s="47"/>
      <c r="AV11" s="526"/>
    </row>
    <row r="12" spans="1:48" ht="55.2" customHeight="1" x14ac:dyDescent="0.35">
      <c r="A12" s="1477"/>
      <c r="B12" s="472">
        <v>2</v>
      </c>
      <c r="C12" s="493"/>
      <c r="D12" s="494"/>
      <c r="E12" s="494">
        <v>15</v>
      </c>
      <c r="F12" s="495"/>
      <c r="G12" s="565"/>
      <c r="H12" s="514"/>
      <c r="I12" s="641" t="s">
        <v>325</v>
      </c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>
        <v>643</v>
      </c>
      <c r="V12" s="6"/>
      <c r="W12" s="6"/>
      <c r="X12" s="508"/>
      <c r="Y12" s="469" t="s">
        <v>873</v>
      </c>
      <c r="Z12" s="6"/>
      <c r="AA12" s="579"/>
      <c r="AB12" s="527"/>
      <c r="AC12" s="66"/>
      <c r="AD12" s="470"/>
      <c r="AE12" s="6"/>
      <c r="AF12" s="6">
        <v>42</v>
      </c>
      <c r="AG12" s="508"/>
      <c r="AH12" s="509"/>
      <c r="AI12" s="502"/>
      <c r="AJ12" s="502" t="s">
        <v>401</v>
      </c>
      <c r="AK12" s="527"/>
      <c r="AM12" s="470"/>
      <c r="AN12" s="6"/>
      <c r="AO12" s="6"/>
      <c r="AP12" s="47"/>
      <c r="AQ12" s="508"/>
      <c r="AR12" s="509"/>
      <c r="AS12" s="6"/>
      <c r="AT12" s="6"/>
      <c r="AU12" s="47"/>
      <c r="AV12" s="527"/>
    </row>
    <row r="13" spans="1:48" ht="34.950000000000003" customHeight="1" x14ac:dyDescent="0.35">
      <c r="A13" s="1478">
        <v>45357</v>
      </c>
      <c r="B13" s="472">
        <v>1</v>
      </c>
      <c r="C13" s="493"/>
      <c r="D13" s="494"/>
      <c r="E13" s="494">
        <v>5</v>
      </c>
      <c r="F13" s="495"/>
      <c r="G13" s="565"/>
      <c r="H13" s="514"/>
      <c r="I13" s="641" t="s">
        <v>304</v>
      </c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>
        <v>252</v>
      </c>
      <c r="V13" s="6"/>
      <c r="W13" s="6">
        <v>10</v>
      </c>
      <c r="X13" s="495"/>
      <c r="Y13" s="469" t="s">
        <v>874</v>
      </c>
      <c r="Z13" s="502"/>
      <c r="AA13" s="579" t="s">
        <v>401</v>
      </c>
      <c r="AB13" s="527"/>
      <c r="AC13" s="66"/>
      <c r="AD13" s="470"/>
      <c r="AE13" s="6"/>
      <c r="AF13" s="6">
        <v>22</v>
      </c>
      <c r="AG13" s="495"/>
      <c r="AH13" s="509"/>
      <c r="AI13" s="6"/>
      <c r="AJ13" s="502" t="s">
        <v>401</v>
      </c>
      <c r="AK13" s="527"/>
      <c r="AM13" s="470"/>
      <c r="AN13" s="6"/>
      <c r="AO13" s="6">
        <v>5</v>
      </c>
      <c r="AP13" s="47"/>
      <c r="AQ13" s="495"/>
      <c r="AR13" s="509"/>
      <c r="AS13" s="6"/>
      <c r="AT13" s="6" t="s">
        <v>152</v>
      </c>
      <c r="AU13" s="47"/>
      <c r="AV13" s="527"/>
    </row>
    <row r="14" spans="1:48" ht="49.2" customHeight="1" x14ac:dyDescent="0.35">
      <c r="A14" s="1477"/>
      <c r="B14" s="472">
        <v>2</v>
      </c>
      <c r="C14" s="493"/>
      <c r="D14" s="494"/>
      <c r="E14" s="494">
        <v>39</v>
      </c>
      <c r="F14" s="495"/>
      <c r="G14" s="565"/>
      <c r="H14" s="515"/>
      <c r="I14" s="641" t="s">
        <v>401</v>
      </c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79"/>
      <c r="AB14" s="527"/>
      <c r="AC14" s="66"/>
      <c r="AD14" s="470"/>
      <c r="AE14" s="6"/>
      <c r="AF14" s="6"/>
      <c r="AG14" s="495"/>
      <c r="AH14" s="469"/>
      <c r="AI14" s="6"/>
      <c r="AJ14" s="6"/>
      <c r="AK14" s="527"/>
      <c r="AM14" s="470"/>
      <c r="AN14" s="6"/>
      <c r="AO14" s="6"/>
      <c r="AP14" s="47"/>
      <c r="AQ14" s="495"/>
      <c r="AR14" s="469"/>
      <c r="AS14" s="6"/>
      <c r="AT14" s="6"/>
      <c r="AU14" s="47"/>
      <c r="AV14" s="527"/>
    </row>
    <row r="15" spans="1:48" ht="48" customHeight="1" x14ac:dyDescent="0.35">
      <c r="A15" s="1478">
        <v>45358</v>
      </c>
      <c r="B15" s="472">
        <v>1</v>
      </c>
      <c r="C15" s="493"/>
      <c r="D15" s="494"/>
      <c r="E15" s="6">
        <v>31</v>
      </c>
      <c r="F15" s="495"/>
      <c r="G15" s="565"/>
      <c r="H15" s="515"/>
      <c r="I15" s="641" t="s">
        <v>325</v>
      </c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/>
      <c r="V15" s="6"/>
      <c r="W15" s="6">
        <v>10</v>
      </c>
      <c r="X15" s="495"/>
      <c r="Y15" s="566"/>
      <c r="Z15" s="515"/>
      <c r="AA15" s="579" t="s">
        <v>401</v>
      </c>
      <c r="AB15" s="527"/>
      <c r="AC15" s="66"/>
      <c r="AD15" s="470"/>
      <c r="AE15" s="6"/>
      <c r="AF15" s="66">
        <v>15</v>
      </c>
      <c r="AG15" s="495"/>
      <c r="AH15" s="566"/>
      <c r="AI15" s="515"/>
      <c r="AJ15" s="502" t="s">
        <v>401</v>
      </c>
      <c r="AK15" s="527"/>
      <c r="AM15" s="470"/>
      <c r="AN15" s="6"/>
      <c r="AO15" s="66"/>
      <c r="AP15" s="495"/>
      <c r="AQ15" s="566"/>
      <c r="AR15" s="515"/>
      <c r="AS15" s="515"/>
      <c r="AT15" s="515"/>
      <c r="AU15" s="527"/>
      <c r="AV15" s="527"/>
    </row>
    <row r="16" spans="1:48" ht="54.65" customHeight="1" x14ac:dyDescent="0.35">
      <c r="A16" s="1477"/>
      <c r="B16" s="472">
        <v>2</v>
      </c>
      <c r="C16" s="493"/>
      <c r="D16" s="494"/>
      <c r="E16" s="494">
        <v>10</v>
      </c>
      <c r="F16" s="495"/>
      <c r="G16" s="566"/>
      <c r="H16" s="638"/>
      <c r="I16" s="641" t="s">
        <v>401</v>
      </c>
      <c r="J16" s="527"/>
      <c r="K16" s="66"/>
      <c r="L16" s="470">
        <v>30</v>
      </c>
      <c r="M16" s="6">
        <v>169</v>
      </c>
      <c r="N16" s="6"/>
      <c r="O16" s="495"/>
      <c r="P16" s="565" t="s">
        <v>876</v>
      </c>
      <c r="Q16" s="638" t="s">
        <v>875</v>
      </c>
      <c r="R16" s="515"/>
      <c r="S16" s="527"/>
      <c r="T16" s="66"/>
      <c r="U16" s="470"/>
      <c r="V16" s="6"/>
      <c r="W16" s="6"/>
      <c r="X16" s="495"/>
      <c r="Y16" s="565"/>
      <c r="Z16" s="638"/>
      <c r="AA16" s="641"/>
      <c r="AB16" s="527"/>
      <c r="AC16" s="66"/>
      <c r="AD16" s="470"/>
      <c r="AE16" s="6"/>
      <c r="AF16" s="6">
        <v>10</v>
      </c>
      <c r="AG16" s="495"/>
      <c r="AH16" s="566"/>
      <c r="AI16" s="638"/>
      <c r="AJ16" s="502" t="s">
        <v>401</v>
      </c>
      <c r="AK16" s="527"/>
      <c r="AM16" s="470"/>
      <c r="AN16" s="6"/>
      <c r="AO16" s="6"/>
      <c r="AP16" s="495"/>
      <c r="AQ16" s="565"/>
      <c r="AR16" s="638"/>
      <c r="AS16" s="515"/>
      <c r="AT16" s="515"/>
      <c r="AU16" s="573"/>
      <c r="AV16" s="527"/>
    </row>
    <row r="17" spans="1:48" ht="66" customHeight="1" x14ac:dyDescent="0.35">
      <c r="A17" s="1478">
        <v>45359</v>
      </c>
      <c r="B17" s="534">
        <v>1</v>
      </c>
      <c r="C17" s="493"/>
      <c r="D17" s="494"/>
      <c r="E17" s="494">
        <v>10</v>
      </c>
      <c r="F17" s="495"/>
      <c r="G17" s="566"/>
      <c r="H17" s="514"/>
      <c r="I17" s="641" t="s">
        <v>401</v>
      </c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>
        <v>52</v>
      </c>
      <c r="X17" s="495"/>
      <c r="Y17" s="565"/>
      <c r="Z17" s="514"/>
      <c r="AA17" s="641" t="s">
        <v>831</v>
      </c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495"/>
      <c r="AQ17" s="566"/>
      <c r="AR17" s="514"/>
      <c r="AS17" s="515"/>
      <c r="AT17" s="579"/>
      <c r="AU17" s="527"/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638"/>
      <c r="I18" s="641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494">
        <v>45</v>
      </c>
      <c r="X18" s="495"/>
      <c r="Y18" s="565"/>
      <c r="Z18" s="515"/>
      <c r="AA18" s="641" t="s">
        <v>877</v>
      </c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/>
      <c r="AP18" s="47"/>
      <c r="AQ18" s="495"/>
      <c r="AR18" s="565"/>
      <c r="AS18" s="515"/>
      <c r="AT18" s="579"/>
      <c r="AU18" s="638"/>
      <c r="AV18" s="527"/>
    </row>
    <row r="19" spans="1:48" ht="33.65" customHeight="1" x14ac:dyDescent="0.35">
      <c r="A19" s="1478">
        <v>45360</v>
      </c>
      <c r="B19" s="472">
        <v>1</v>
      </c>
      <c r="C19" s="66"/>
      <c r="D19" s="494"/>
      <c r="E19" s="494"/>
      <c r="F19" s="495"/>
      <c r="G19" s="465"/>
      <c r="H19" s="6"/>
      <c r="I19" s="641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>
        <v>44</v>
      </c>
      <c r="X19" s="495"/>
      <c r="Y19" s="470"/>
      <c r="Z19" s="502"/>
      <c r="AA19" s="641" t="s">
        <v>831</v>
      </c>
      <c r="AB19" s="527"/>
      <c r="AC19" s="66"/>
      <c r="AD19" s="470"/>
      <c r="AE19" s="6"/>
      <c r="AF19" s="6"/>
      <c r="AG19" s="495"/>
      <c r="AH19" s="470"/>
      <c r="AI19" s="6"/>
      <c r="AJ19" s="579"/>
      <c r="AK19" s="527"/>
      <c r="AM19" s="470"/>
      <c r="AN19" s="6"/>
      <c r="AO19" s="6"/>
      <c r="AP19" s="47"/>
      <c r="AQ19" s="495"/>
      <c r="AR19" s="470"/>
      <c r="AS19" s="6"/>
      <c r="AT19" s="515"/>
      <c r="AU19" s="636"/>
      <c r="AV19" s="527"/>
    </row>
    <row r="20" spans="1:48" ht="31.2" customHeight="1" x14ac:dyDescent="0.35">
      <c r="A20" s="1477"/>
      <c r="B20" s="472">
        <v>2</v>
      </c>
      <c r="C20" s="493"/>
      <c r="D20" s="494">
        <v>5</v>
      </c>
      <c r="E20" s="494">
        <v>15</v>
      </c>
      <c r="F20" s="495"/>
      <c r="G20" s="465"/>
      <c r="H20" s="663" t="s">
        <v>520</v>
      </c>
      <c r="I20" s="641" t="s">
        <v>831</v>
      </c>
      <c r="J20" s="527"/>
      <c r="K20" s="66"/>
      <c r="L20" s="470"/>
      <c r="M20" s="6"/>
      <c r="N20" s="6"/>
      <c r="O20" s="495"/>
      <c r="P20" s="470"/>
      <c r="Q20" s="6"/>
      <c r="R20" s="605"/>
      <c r="S20" s="527"/>
      <c r="T20" s="66"/>
      <c r="U20" s="470"/>
      <c r="V20" s="6"/>
      <c r="W20" s="6">
        <v>17</v>
      </c>
      <c r="X20" s="495"/>
      <c r="Y20" s="470"/>
      <c r="Z20" s="502"/>
      <c r="AA20" s="579" t="s">
        <v>401</v>
      </c>
      <c r="AB20" s="527"/>
      <c r="AC20" s="66"/>
      <c r="AD20" s="470"/>
      <c r="AE20" s="6"/>
      <c r="AF20" s="6"/>
      <c r="AG20" s="495"/>
      <c r="AH20" s="470"/>
      <c r="AI20" s="502"/>
      <c r="AJ20" s="579"/>
      <c r="AK20" s="527"/>
      <c r="AM20" s="470"/>
      <c r="AN20" s="6"/>
      <c r="AO20" s="6"/>
      <c r="AP20" s="47"/>
      <c r="AQ20" s="495"/>
      <c r="AR20" s="470"/>
      <c r="AS20" s="502"/>
      <c r="AT20" s="502"/>
      <c r="AU20" s="645"/>
      <c r="AV20" s="527"/>
    </row>
    <row r="21" spans="1:48" ht="39.65" customHeight="1" x14ac:dyDescent="0.35">
      <c r="A21" s="1478">
        <v>45361</v>
      </c>
      <c r="B21" s="472">
        <v>1</v>
      </c>
      <c r="C21" s="493"/>
      <c r="D21" s="494"/>
      <c r="E21" s="494">
        <v>25</v>
      </c>
      <c r="F21" s="495"/>
      <c r="G21" s="569"/>
      <c r="H21" s="514"/>
      <c r="I21" s="641" t="s">
        <v>879</v>
      </c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>
        <v>59</v>
      </c>
      <c r="X21" s="495"/>
      <c r="Y21" s="465"/>
      <c r="Z21" s="6"/>
      <c r="AA21" s="641" t="s">
        <v>878</v>
      </c>
      <c r="AB21" s="527"/>
      <c r="AC21" s="66"/>
      <c r="AD21" s="470"/>
      <c r="AE21" s="6"/>
      <c r="AF21" s="6"/>
      <c r="AG21" s="495"/>
      <c r="AH21" s="470"/>
      <c r="AI21" s="6"/>
      <c r="AJ21" s="641"/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49.95" customHeight="1" x14ac:dyDescent="0.35">
      <c r="A22" s="1477"/>
      <c r="B22" s="472">
        <v>2</v>
      </c>
      <c r="C22" s="493"/>
      <c r="D22" s="494"/>
      <c r="E22" s="494">
        <v>6</v>
      </c>
      <c r="F22" s="495"/>
      <c r="G22" s="562"/>
      <c r="H22" s="515"/>
      <c r="I22" s="641" t="s">
        <v>325</v>
      </c>
      <c r="J22" s="527"/>
      <c r="K22" s="66"/>
      <c r="L22" s="470"/>
      <c r="M22" s="6"/>
      <c r="N22" s="6"/>
      <c r="O22" s="495"/>
      <c r="P22" s="469"/>
      <c r="Q22" s="515"/>
      <c r="R22" s="6"/>
      <c r="S22" s="527"/>
      <c r="T22" s="66"/>
      <c r="U22" s="470"/>
      <c r="V22" s="6"/>
      <c r="W22" s="6">
        <v>5</v>
      </c>
      <c r="X22" s="495"/>
      <c r="Y22" s="465"/>
      <c r="Z22" s="515"/>
      <c r="AA22" s="579" t="s">
        <v>401</v>
      </c>
      <c r="AB22" s="527"/>
      <c r="AC22" s="66"/>
      <c r="AD22" s="470"/>
      <c r="AE22" s="6"/>
      <c r="AF22" s="6"/>
      <c r="AG22" s="495"/>
      <c r="AH22" s="470"/>
      <c r="AI22" s="6"/>
      <c r="AJ22" s="579"/>
      <c r="AK22" s="527"/>
      <c r="AM22" s="470"/>
      <c r="AN22" s="6"/>
      <c r="AO22" s="6"/>
      <c r="AP22" s="47"/>
      <c r="AQ22" s="495"/>
      <c r="AR22" s="470"/>
      <c r="AS22" s="515"/>
      <c r="AT22" s="47"/>
      <c r="AU22" s="527"/>
      <c r="AV22" s="527"/>
    </row>
    <row r="23" spans="1:48" ht="47.5" customHeight="1" x14ac:dyDescent="0.35">
      <c r="A23" s="1478">
        <v>45362</v>
      </c>
      <c r="B23" s="534">
        <v>1</v>
      </c>
      <c r="C23" s="493"/>
      <c r="D23" s="494"/>
      <c r="E23" s="494"/>
      <c r="F23" s="495"/>
      <c r="G23" s="566"/>
      <c r="H23" s="514"/>
      <c r="I23" s="641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>
        <v>15</v>
      </c>
      <c r="X23" s="495"/>
      <c r="Y23" s="465"/>
      <c r="Z23" s="515"/>
      <c r="AA23" s="641" t="s">
        <v>831</v>
      </c>
      <c r="AB23" s="527"/>
      <c r="AC23" s="66"/>
      <c r="AD23" s="470"/>
      <c r="AE23" s="6"/>
      <c r="AF23" s="509">
        <v>31</v>
      </c>
      <c r="AG23" s="495"/>
      <c r="AH23" s="470"/>
      <c r="AI23" s="514"/>
      <c r="AJ23" s="515" t="s">
        <v>880</v>
      </c>
      <c r="AK23" s="527"/>
      <c r="AM23" s="470"/>
      <c r="AN23" s="6"/>
      <c r="AO23" s="6"/>
      <c r="AP23" s="47"/>
      <c r="AQ23" s="495"/>
      <c r="AR23" s="6"/>
      <c r="AS23" s="514"/>
      <c r="AT23" s="573"/>
      <c r="AU23" s="527"/>
      <c r="AV23" s="527"/>
    </row>
    <row r="24" spans="1:48" ht="49.95" customHeight="1" x14ac:dyDescent="0.35">
      <c r="A24" s="1477"/>
      <c r="B24" s="472">
        <v>2</v>
      </c>
      <c r="C24" s="493"/>
      <c r="D24" s="494">
        <v>27</v>
      </c>
      <c r="E24" s="494"/>
      <c r="F24" s="495"/>
      <c r="G24" s="566"/>
      <c r="H24" s="515" t="s">
        <v>881</v>
      </c>
      <c r="I24" s="641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/>
      <c r="X24" s="495"/>
      <c r="Y24" s="566"/>
      <c r="Z24" s="514"/>
      <c r="AA24" s="641"/>
      <c r="AB24" s="527"/>
      <c r="AC24" s="66"/>
      <c r="AD24" s="470"/>
      <c r="AE24" s="6"/>
      <c r="AF24" s="509"/>
      <c r="AG24" s="495"/>
      <c r="AH24" s="470"/>
      <c r="AI24" s="514"/>
      <c r="AJ24" s="515"/>
      <c r="AK24" s="527"/>
      <c r="AM24" s="470"/>
      <c r="AN24" s="6"/>
      <c r="AO24" s="6"/>
      <c r="AP24" s="495"/>
      <c r="AQ24" s="566"/>
      <c r="AR24" s="514"/>
      <c r="AS24" s="514"/>
      <c r="AT24" s="527"/>
      <c r="AU24" s="527"/>
      <c r="AV24" s="527"/>
    </row>
    <row r="25" spans="1:48" ht="53.5" customHeight="1" x14ac:dyDescent="0.35">
      <c r="A25" s="1478">
        <v>45363</v>
      </c>
      <c r="B25" s="472">
        <v>1</v>
      </c>
      <c r="C25" s="493"/>
      <c r="D25" s="494"/>
      <c r="E25" s="494"/>
      <c r="F25" s="495"/>
      <c r="G25" s="566"/>
      <c r="H25" s="514"/>
      <c r="I25" s="641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>
        <v>43</v>
      </c>
      <c r="W25" s="6"/>
      <c r="X25" s="495"/>
      <c r="Y25" s="465"/>
      <c r="Z25" s="502" t="s">
        <v>691</v>
      </c>
      <c r="AA25" s="579"/>
      <c r="AB25" s="527"/>
      <c r="AC25" s="66"/>
      <c r="AD25" s="470"/>
      <c r="AE25" s="6"/>
      <c r="AF25" s="6"/>
      <c r="AG25" s="495"/>
      <c r="AH25" s="6"/>
      <c r="AI25" s="502"/>
      <c r="AJ25" s="515"/>
      <c r="AK25" s="607"/>
      <c r="AM25" s="470"/>
      <c r="AN25" s="6"/>
      <c r="AO25" s="6"/>
      <c r="AP25" s="47"/>
      <c r="AQ25" s="495"/>
      <c r="AR25" s="6"/>
      <c r="AS25" s="6"/>
      <c r="AT25" s="47"/>
      <c r="AU25" s="47"/>
      <c r="AV25" s="527"/>
    </row>
    <row r="26" spans="1:48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641"/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/>
      <c r="V26" s="494"/>
      <c r="W26" s="6"/>
      <c r="X26" s="495"/>
      <c r="Y26" s="566"/>
      <c r="Z26" s="515"/>
      <c r="AA26" s="579"/>
      <c r="AB26" s="527"/>
      <c r="AC26" s="66"/>
      <c r="AD26" s="470"/>
      <c r="AE26" s="494"/>
      <c r="AF26" s="6"/>
      <c r="AG26" s="495"/>
      <c r="AH26" s="566"/>
      <c r="AI26" s="515"/>
      <c r="AJ26" s="573"/>
      <c r="AK26" s="527"/>
      <c r="AM26" s="470"/>
      <c r="AN26" s="494"/>
      <c r="AO26" s="6"/>
      <c r="AP26" s="651"/>
      <c r="AQ26" s="495"/>
      <c r="AR26" s="566"/>
      <c r="AS26" s="515"/>
      <c r="AT26" s="573"/>
      <c r="AU26" s="527"/>
      <c r="AV26" s="527"/>
    </row>
    <row r="27" spans="1:48" ht="49.95" customHeight="1" x14ac:dyDescent="0.35">
      <c r="A27" s="1478">
        <v>45364</v>
      </c>
      <c r="B27" s="534">
        <v>1</v>
      </c>
      <c r="C27" s="493"/>
      <c r="D27" s="494"/>
      <c r="E27" s="494">
        <v>13</v>
      </c>
      <c r="F27" s="495"/>
      <c r="G27" s="566"/>
      <c r="H27" s="514"/>
      <c r="I27" s="573" t="s">
        <v>152</v>
      </c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/>
      <c r="X27" s="495"/>
      <c r="Y27" s="566"/>
      <c r="Z27" s="515"/>
      <c r="AA27" s="579"/>
      <c r="AB27" s="527"/>
      <c r="AC27" s="66"/>
      <c r="AD27" s="470"/>
      <c r="AE27" s="6"/>
      <c r="AF27" s="6"/>
      <c r="AG27" s="495"/>
      <c r="AH27" s="566"/>
      <c r="AI27" s="6"/>
      <c r="AJ27" s="515"/>
      <c r="AK27" s="527"/>
      <c r="AM27" s="470"/>
      <c r="AN27" s="6"/>
      <c r="AO27" s="6"/>
      <c r="AP27" s="47"/>
      <c r="AQ27" s="495"/>
      <c r="AR27" s="502"/>
      <c r="AS27" s="6"/>
      <c r="AT27" s="573"/>
      <c r="AU27" s="527"/>
      <c r="AV27" s="527"/>
    </row>
    <row r="28" spans="1:48" ht="72" customHeight="1" x14ac:dyDescent="0.35">
      <c r="A28" s="1477"/>
      <c r="B28" s="472">
        <v>2</v>
      </c>
      <c r="C28" s="493"/>
      <c r="D28" s="494"/>
      <c r="E28" s="494"/>
      <c r="F28" s="495"/>
      <c r="G28" s="515"/>
      <c r="H28" s="515"/>
      <c r="I28" s="579"/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/>
      <c r="V28" s="6"/>
      <c r="W28" s="66"/>
      <c r="X28" s="495"/>
      <c r="Y28" s="515"/>
      <c r="Z28" s="6"/>
      <c r="AA28" s="579"/>
      <c r="AB28" s="527"/>
      <c r="AC28" s="66"/>
      <c r="AD28" s="470"/>
      <c r="AE28" s="6"/>
      <c r="AF28" s="6"/>
      <c r="AG28" s="495"/>
      <c r="AH28" s="566"/>
      <c r="AI28" s="6"/>
      <c r="AJ28" s="573"/>
      <c r="AK28" s="527"/>
      <c r="AM28" s="470"/>
      <c r="AN28" s="6"/>
      <c r="AO28" s="6"/>
      <c r="AP28" s="47"/>
      <c r="AQ28" s="495"/>
      <c r="AR28" s="502"/>
      <c r="AS28" s="6"/>
      <c r="AT28" s="573"/>
      <c r="AU28" s="527"/>
      <c r="AV28" s="526"/>
    </row>
    <row r="29" spans="1:48" ht="66" customHeight="1" x14ac:dyDescent="0.35">
      <c r="A29" s="1478">
        <v>45365</v>
      </c>
      <c r="B29" s="472">
        <v>1</v>
      </c>
      <c r="C29" s="493"/>
      <c r="D29" s="494"/>
      <c r="E29" s="494"/>
      <c r="F29" s="495"/>
      <c r="G29" s="515"/>
      <c r="H29" s="514"/>
      <c r="I29" s="662"/>
      <c r="J29" s="527"/>
      <c r="K29" s="66"/>
      <c r="L29" s="470"/>
      <c r="M29" s="6">
        <v>13</v>
      </c>
      <c r="N29" s="6"/>
      <c r="O29" s="495"/>
      <c r="P29" s="566"/>
      <c r="Q29" s="515" t="s">
        <v>882</v>
      </c>
      <c r="R29" s="515"/>
      <c r="S29" s="527"/>
      <c r="T29" s="66"/>
      <c r="U29" s="470"/>
      <c r="V29" s="6"/>
      <c r="W29" s="6"/>
      <c r="X29" s="495"/>
      <c r="Y29" s="515"/>
      <c r="Z29" s="514"/>
      <c r="AA29" s="579"/>
      <c r="AB29" s="527"/>
      <c r="AC29" s="66"/>
      <c r="AD29" s="470"/>
      <c r="AE29" s="6"/>
      <c r="AF29" s="6"/>
      <c r="AG29" s="495"/>
      <c r="AH29" s="566"/>
      <c r="AI29" s="514"/>
      <c r="AJ29" s="515"/>
      <c r="AK29" s="527"/>
      <c r="AM29" s="470"/>
      <c r="AN29" s="6"/>
      <c r="AO29" s="6"/>
      <c r="AP29" s="47"/>
      <c r="AQ29" s="495"/>
      <c r="AR29" s="502"/>
      <c r="AS29" s="514"/>
      <c r="AT29" s="515"/>
      <c r="AU29" s="527"/>
      <c r="AV29" s="508"/>
    </row>
    <row r="30" spans="1:48" ht="39.65" customHeight="1" x14ac:dyDescent="0.35">
      <c r="A30" s="1477"/>
      <c r="B30" s="534">
        <v>2</v>
      </c>
      <c r="C30" s="493"/>
      <c r="D30" s="494"/>
      <c r="E30" s="494"/>
      <c r="F30" s="495"/>
      <c r="G30" s="566"/>
      <c r="H30" s="515"/>
      <c r="I30" s="579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>
        <v>29</v>
      </c>
      <c r="W30" s="6"/>
      <c r="X30" s="495"/>
      <c r="Y30" s="566"/>
      <c r="Z30" s="515" t="s">
        <v>883</v>
      </c>
      <c r="AA30" s="579"/>
      <c r="AB30" s="527"/>
      <c r="AC30" s="66"/>
      <c r="AD30" s="470"/>
      <c r="AE30" s="6"/>
      <c r="AF30" s="6"/>
      <c r="AG30" s="495"/>
      <c r="AH30" s="566"/>
      <c r="AI30" s="515"/>
      <c r="AJ30" s="515"/>
      <c r="AK30" s="527"/>
      <c r="AM30" s="470"/>
      <c r="AN30" s="6"/>
      <c r="AO30" s="6"/>
      <c r="AP30" s="47"/>
      <c r="AQ30" s="495"/>
      <c r="AR30" s="469"/>
      <c r="AS30" s="502"/>
      <c r="AT30" s="636"/>
      <c r="AU30" s="527"/>
      <c r="AV30" s="508"/>
    </row>
    <row r="31" spans="1:48" ht="39.65" customHeight="1" x14ac:dyDescent="0.35">
      <c r="A31" s="1478">
        <v>45366</v>
      </c>
      <c r="B31" s="472">
        <v>1</v>
      </c>
      <c r="C31" s="493"/>
      <c r="D31" s="494">
        <v>10</v>
      </c>
      <c r="E31" s="494">
        <v>15</v>
      </c>
      <c r="F31" s="495"/>
      <c r="G31" s="566"/>
      <c r="H31" s="515" t="s">
        <v>833</v>
      </c>
      <c r="I31" s="515" t="s">
        <v>885</v>
      </c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>
        <v>21</v>
      </c>
      <c r="X31" s="495"/>
      <c r="Y31" s="469"/>
      <c r="Z31" s="6"/>
      <c r="AA31" s="579" t="s">
        <v>884</v>
      </c>
      <c r="AB31" s="527"/>
      <c r="AC31" s="66"/>
      <c r="AD31" s="470"/>
      <c r="AE31" s="6"/>
      <c r="AF31" s="6"/>
      <c r="AG31" s="495"/>
      <c r="AH31" s="566"/>
      <c r="AI31" s="6"/>
      <c r="AJ31" s="6"/>
      <c r="AK31" s="527"/>
      <c r="AM31" s="470"/>
      <c r="AN31" s="6"/>
      <c r="AO31" s="6"/>
      <c r="AP31" s="47"/>
      <c r="AQ31" s="495"/>
      <c r="AR31" s="509"/>
      <c r="AS31" s="6"/>
      <c r="AT31" s="6"/>
      <c r="AU31" s="527"/>
      <c r="AV31" s="527"/>
    </row>
    <row r="32" spans="1:48" ht="63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65"/>
      <c r="I32" s="662"/>
      <c r="J32" s="527"/>
      <c r="K32" s="66"/>
      <c r="L32" s="470"/>
      <c r="M32" s="6"/>
      <c r="N32" s="6"/>
      <c r="O32" s="495"/>
      <c r="P32" s="509"/>
      <c r="Q32" s="6"/>
      <c r="R32" s="6"/>
      <c r="S32" s="527"/>
      <c r="T32" s="66"/>
      <c r="U32" s="470"/>
      <c r="V32" s="6"/>
      <c r="W32" s="494">
        <v>10</v>
      </c>
      <c r="X32" s="495"/>
      <c r="Y32" s="566"/>
      <c r="Z32" s="566"/>
      <c r="AA32" s="579" t="s">
        <v>152</v>
      </c>
      <c r="AB32" s="527"/>
      <c r="AC32" s="66"/>
      <c r="AD32" s="470"/>
      <c r="AE32" s="6">
        <v>25</v>
      </c>
      <c r="AF32" s="494">
        <v>20</v>
      </c>
      <c r="AG32" s="495"/>
      <c r="AH32" s="566"/>
      <c r="AI32" s="566" t="s">
        <v>833</v>
      </c>
      <c r="AJ32" s="579" t="s">
        <v>842</v>
      </c>
      <c r="AK32" s="527"/>
      <c r="AM32" s="470"/>
      <c r="AN32" s="6"/>
      <c r="AO32" s="6">
        <v>15</v>
      </c>
      <c r="AP32" s="47"/>
      <c r="AQ32" s="495"/>
      <c r="AR32" s="509"/>
      <c r="AS32" s="502"/>
      <c r="AT32" s="565" t="s">
        <v>152</v>
      </c>
      <c r="AU32" s="527"/>
      <c r="AV32" s="508"/>
    </row>
    <row r="33" spans="1:48" ht="43.2" customHeight="1" x14ac:dyDescent="0.35">
      <c r="A33" s="1478">
        <v>45367</v>
      </c>
      <c r="B33" s="472">
        <v>1</v>
      </c>
      <c r="C33" s="493"/>
      <c r="D33" s="494"/>
      <c r="E33" s="494"/>
      <c r="F33" s="495"/>
      <c r="G33" s="566"/>
      <c r="H33" s="515"/>
      <c r="I33" s="579"/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/>
      <c r="X33" s="495"/>
      <c r="Y33" s="509"/>
      <c r="Z33" s="6"/>
      <c r="AA33" s="579"/>
      <c r="AB33" s="527"/>
      <c r="AC33" s="66"/>
      <c r="AD33" s="470"/>
      <c r="AE33" s="6"/>
      <c r="AF33" s="6"/>
      <c r="AG33" s="495"/>
      <c r="AH33" s="509"/>
      <c r="AI33" s="502"/>
      <c r="AJ33" s="579"/>
      <c r="AK33" s="527"/>
      <c r="AM33" s="470"/>
      <c r="AN33" s="6"/>
      <c r="AO33" s="6"/>
      <c r="AP33" s="47"/>
      <c r="AQ33" s="495"/>
      <c r="AR33" s="509"/>
      <c r="AS33" s="502"/>
      <c r="AT33" s="6"/>
      <c r="AU33" s="527"/>
      <c r="AV33" s="508"/>
    </row>
    <row r="34" spans="1:48" ht="67.95" customHeight="1" x14ac:dyDescent="0.35">
      <c r="A34" s="1477"/>
      <c r="B34" s="534">
        <v>2</v>
      </c>
      <c r="C34" s="494"/>
      <c r="D34" s="494"/>
      <c r="E34" s="494"/>
      <c r="F34" s="637"/>
      <c r="G34" s="565"/>
      <c r="H34" s="515"/>
      <c r="I34" s="579"/>
      <c r="J34" s="527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>
        <v>10</v>
      </c>
      <c r="X34" s="508"/>
      <c r="Y34" s="502"/>
      <c r="Z34" s="502"/>
      <c r="AA34" s="579" t="s">
        <v>152</v>
      </c>
      <c r="AB34" s="527"/>
      <c r="AC34" s="66"/>
      <c r="AD34" s="470"/>
      <c r="AE34" s="6"/>
      <c r="AF34" s="6"/>
      <c r="AG34" s="508"/>
      <c r="AH34" s="509"/>
      <c r="AI34" s="6"/>
      <c r="AJ34" s="502"/>
      <c r="AK34" s="527"/>
      <c r="AM34" s="470"/>
      <c r="AN34" s="6"/>
      <c r="AO34" s="6">
        <v>140</v>
      </c>
      <c r="AP34" s="47"/>
      <c r="AQ34" s="508"/>
      <c r="AR34" s="509"/>
      <c r="AS34" s="6"/>
      <c r="AT34" s="636" t="s">
        <v>152</v>
      </c>
      <c r="AU34" s="527"/>
      <c r="AV34" s="508"/>
    </row>
    <row r="35" spans="1:48" ht="51" customHeight="1" x14ac:dyDescent="0.35">
      <c r="A35" s="1478">
        <v>45368</v>
      </c>
      <c r="B35" s="472">
        <v>1</v>
      </c>
      <c r="C35" s="494"/>
      <c r="D35" s="494"/>
      <c r="E35" s="47"/>
      <c r="F35" s="636"/>
      <c r="G35" s="465"/>
      <c r="H35" s="509"/>
      <c r="I35" s="579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/>
      <c r="X35" s="526"/>
      <c r="Y35" s="465"/>
      <c r="Z35" s="6"/>
      <c r="AA35" s="579"/>
      <c r="AB35" s="508"/>
      <c r="AC35" s="66"/>
      <c r="AD35" s="470"/>
      <c r="AE35" s="6"/>
      <c r="AF35" s="6"/>
      <c r="AG35" s="469"/>
      <c r="AH35" s="465"/>
      <c r="AI35" s="6"/>
      <c r="AJ35" s="565"/>
      <c r="AK35" s="508"/>
      <c r="AM35" s="470"/>
      <c r="AN35" s="6"/>
      <c r="AO35" s="47">
        <v>630</v>
      </c>
      <c r="AP35" s="47"/>
      <c r="AQ35" s="526"/>
      <c r="AR35" s="465"/>
      <c r="AS35" s="573"/>
      <c r="AT35" s="636" t="s">
        <v>152</v>
      </c>
      <c r="AU35" s="636"/>
      <c r="AV35" s="508"/>
    </row>
    <row r="36" spans="1:48" ht="46.95" customHeight="1" x14ac:dyDescent="0.35">
      <c r="A36" s="1477"/>
      <c r="B36" s="472">
        <v>2</v>
      </c>
      <c r="C36" s="47"/>
      <c r="D36" s="6"/>
      <c r="E36" s="47"/>
      <c r="F36" s="636"/>
      <c r="G36" s="573"/>
      <c r="H36" s="515"/>
      <c r="I36" s="641"/>
      <c r="J36" s="527"/>
      <c r="K36" s="66"/>
      <c r="L36" s="465"/>
      <c r="M36" s="6">
        <v>29</v>
      </c>
      <c r="N36" s="6"/>
      <c r="O36" s="469"/>
      <c r="P36" s="465"/>
      <c r="Q36" s="515" t="s">
        <v>882</v>
      </c>
      <c r="R36" s="502"/>
      <c r="S36" s="527"/>
      <c r="T36" s="66"/>
      <c r="U36" s="470"/>
      <c r="V36" s="6">
        <v>35</v>
      </c>
      <c r="W36" s="6">
        <v>10</v>
      </c>
      <c r="X36" s="469"/>
      <c r="Y36" s="465"/>
      <c r="Z36" s="515" t="s">
        <v>882</v>
      </c>
      <c r="AA36" s="579" t="s">
        <v>152</v>
      </c>
      <c r="AB36" s="508"/>
      <c r="AC36" s="66"/>
      <c r="AD36" s="470"/>
      <c r="AE36" s="6"/>
      <c r="AF36" s="47"/>
      <c r="AG36" s="526"/>
      <c r="AH36" s="465"/>
      <c r="AI36" s="502"/>
      <c r="AJ36" s="579"/>
      <c r="AK36" s="508"/>
      <c r="AM36" s="470"/>
      <c r="AN36" s="6"/>
      <c r="AO36" s="6"/>
      <c r="AP36" s="509"/>
      <c r="AQ36" s="469"/>
      <c r="AR36" s="465"/>
      <c r="AS36" s="502"/>
      <c r="AT36" s="502"/>
      <c r="AU36" s="636"/>
      <c r="AV36" s="508"/>
    </row>
    <row r="37" spans="1:48" ht="59.5" customHeight="1" x14ac:dyDescent="0.35">
      <c r="A37" s="1478">
        <v>45369</v>
      </c>
      <c r="B37" s="534">
        <v>1</v>
      </c>
      <c r="C37" s="47"/>
      <c r="D37" s="494"/>
      <c r="E37" s="47"/>
      <c r="F37" s="47"/>
      <c r="G37" s="573"/>
      <c r="H37" s="469"/>
      <c r="I37" s="641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/>
      <c r="X37" s="508"/>
      <c r="Y37" s="509"/>
      <c r="Z37" s="502"/>
      <c r="AA37" s="579"/>
      <c r="AB37" s="527"/>
      <c r="AC37" s="66"/>
      <c r="AD37" s="470"/>
      <c r="AE37" s="6"/>
      <c r="AF37" s="6"/>
      <c r="AG37" s="508"/>
      <c r="AH37" s="469"/>
      <c r="AI37" s="6"/>
      <c r="AJ37" s="579"/>
      <c r="AK37" s="508"/>
      <c r="AM37" s="470"/>
      <c r="AN37" s="6"/>
      <c r="AO37" s="6">
        <v>10</v>
      </c>
      <c r="AP37" s="47"/>
      <c r="AQ37" s="508"/>
      <c r="AR37" s="509"/>
      <c r="AS37" s="6"/>
      <c r="AT37" s="6" t="s">
        <v>97</v>
      </c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>
        <v>15</v>
      </c>
      <c r="E38" s="47"/>
      <c r="F38" s="637"/>
      <c r="G38" s="573"/>
      <c r="H38" s="469" t="s">
        <v>276</v>
      </c>
      <c r="I38" s="641"/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>
        <v>20</v>
      </c>
      <c r="V38" s="6"/>
      <c r="W38" s="6"/>
      <c r="X38" s="508"/>
      <c r="Y38" s="509" t="s">
        <v>315</v>
      </c>
      <c r="Z38" s="502"/>
      <c r="AA38" s="579"/>
      <c r="AB38" s="527"/>
      <c r="AC38" s="66"/>
      <c r="AD38" s="470"/>
      <c r="AE38" s="6"/>
      <c r="AF38" s="6"/>
      <c r="AG38" s="508"/>
      <c r="AH38" s="469"/>
      <c r="AI38" s="6"/>
      <c r="AJ38" s="579"/>
      <c r="AK38" s="527"/>
      <c r="AM38" s="470">
        <v>26</v>
      </c>
      <c r="AN38" s="6"/>
      <c r="AO38" s="6"/>
      <c r="AP38" s="47"/>
      <c r="AQ38" s="508"/>
      <c r="AR38" s="469" t="s">
        <v>886</v>
      </c>
      <c r="AS38" s="6"/>
      <c r="AT38" s="502"/>
      <c r="AU38" s="636"/>
      <c r="AV38" s="527"/>
    </row>
    <row r="39" spans="1:48" ht="70.95" customHeight="1" x14ac:dyDescent="0.35">
      <c r="A39" s="1478">
        <v>45370</v>
      </c>
      <c r="B39" s="472">
        <v>1</v>
      </c>
      <c r="C39" s="47"/>
      <c r="D39" s="494"/>
      <c r="E39" s="47"/>
      <c r="F39" s="637"/>
      <c r="G39" s="573"/>
      <c r="H39" s="469"/>
      <c r="I39" s="641"/>
      <c r="J39" s="527"/>
      <c r="K39" s="66"/>
      <c r="L39" s="470"/>
      <c r="M39" s="6"/>
      <c r="N39" s="6"/>
      <c r="O39" s="495"/>
      <c r="P39" s="573"/>
      <c r="Q39" s="514"/>
      <c r="R39" s="573"/>
      <c r="S39" s="527"/>
      <c r="T39" s="66"/>
      <c r="U39" s="470"/>
      <c r="V39" s="6"/>
      <c r="W39" s="6"/>
      <c r="X39" s="495"/>
      <c r="Y39" s="509"/>
      <c r="Z39" s="514"/>
      <c r="AA39" s="579"/>
      <c r="AB39" s="527"/>
      <c r="AC39" s="66"/>
      <c r="AD39" s="470"/>
      <c r="AE39" s="6"/>
      <c r="AF39" s="6"/>
      <c r="AG39" s="495"/>
      <c r="AH39" s="573"/>
      <c r="AI39" s="514"/>
      <c r="AJ39" s="573"/>
      <c r="AK39" s="527"/>
      <c r="AM39" s="470"/>
      <c r="AN39" s="6"/>
      <c r="AO39" s="6"/>
      <c r="AP39" s="495"/>
      <c r="AQ39" s="573"/>
      <c r="AR39" s="514"/>
      <c r="AS39" s="573"/>
      <c r="AT39" s="527"/>
      <c r="AU39" s="527"/>
      <c r="AV39" s="568"/>
    </row>
    <row r="40" spans="1:48" ht="72.650000000000006" customHeight="1" x14ac:dyDescent="0.35">
      <c r="A40" s="1477"/>
      <c r="B40" s="472">
        <v>2</v>
      </c>
      <c r="C40" s="494"/>
      <c r="D40" s="494"/>
      <c r="E40" s="494"/>
      <c r="F40" s="508"/>
      <c r="G40" s="573"/>
      <c r="H40" s="515"/>
      <c r="I40" s="515"/>
      <c r="J40" s="527"/>
      <c r="K40" s="66"/>
      <c r="L40" s="470"/>
      <c r="M40" s="6"/>
      <c r="N40" s="6"/>
      <c r="O40" s="508"/>
      <c r="P40" s="566"/>
      <c r="Q40" s="514"/>
      <c r="R40" s="573"/>
      <c r="S40" s="527"/>
      <c r="T40" s="66"/>
      <c r="U40" s="470"/>
      <c r="V40" s="6"/>
      <c r="W40" s="6"/>
      <c r="X40" s="508"/>
      <c r="Y40" s="566"/>
      <c r="Z40" s="514"/>
      <c r="AA40" s="565"/>
      <c r="AB40" s="527"/>
      <c r="AC40" s="66"/>
      <c r="AD40" s="470">
        <v>11</v>
      </c>
      <c r="AE40" s="6"/>
      <c r="AF40" s="6"/>
      <c r="AG40" s="508"/>
      <c r="AH40" s="465" t="s">
        <v>400</v>
      </c>
      <c r="AI40" s="515"/>
      <c r="AJ40" s="573"/>
      <c r="AK40" s="527"/>
      <c r="AM40" s="465"/>
      <c r="AN40" s="6"/>
      <c r="AO40" s="6"/>
      <c r="AP40" s="47"/>
      <c r="AQ40" s="508"/>
      <c r="AR40" s="566"/>
      <c r="AS40" s="514"/>
      <c r="AT40" s="573"/>
      <c r="AU40" s="527"/>
      <c r="AV40" s="527"/>
    </row>
    <row r="41" spans="1:48" ht="39.65" customHeight="1" x14ac:dyDescent="0.35">
      <c r="A41" s="1478">
        <v>45371</v>
      </c>
      <c r="B41" s="472">
        <v>1</v>
      </c>
      <c r="C41" s="493"/>
      <c r="D41" s="494"/>
      <c r="E41" s="494"/>
      <c r="F41" s="508"/>
      <c r="G41" s="566"/>
      <c r="H41" s="515"/>
      <c r="I41" s="515"/>
      <c r="J41" s="527"/>
      <c r="K41" s="66"/>
      <c r="L41" s="470"/>
      <c r="M41" s="6"/>
      <c r="N41" s="6"/>
      <c r="O41" s="508"/>
      <c r="P41" s="509"/>
      <c r="Q41" s="6"/>
      <c r="R41" s="573"/>
      <c r="S41" s="527"/>
      <c r="T41" s="66"/>
      <c r="U41" s="470"/>
      <c r="V41" s="6"/>
      <c r="W41" s="6"/>
      <c r="X41" s="508"/>
      <c r="Y41" s="509"/>
      <c r="Z41" s="502"/>
      <c r="AA41" s="579"/>
      <c r="AB41" s="508"/>
      <c r="AC41" s="66"/>
      <c r="AD41" s="470"/>
      <c r="AE41" s="6"/>
      <c r="AF41" s="6"/>
      <c r="AG41" s="508"/>
      <c r="AH41" s="465"/>
      <c r="AI41" s="502"/>
      <c r="AJ41" s="6"/>
      <c r="AK41" s="508"/>
      <c r="AM41" s="470"/>
      <c r="AN41" s="6"/>
      <c r="AO41" s="6"/>
      <c r="AP41" s="47"/>
      <c r="AQ41" s="508"/>
      <c r="AR41" s="509"/>
      <c r="AS41" s="502"/>
      <c r="AT41" s="573"/>
      <c r="AU41" s="47"/>
      <c r="AV41" s="508"/>
    </row>
    <row r="42" spans="1:48" ht="52.95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5"/>
      <c r="I42" s="573"/>
      <c r="J42" s="527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/>
      <c r="X42" s="508"/>
      <c r="Y42" s="469"/>
      <c r="Z42" s="6"/>
      <c r="AA42" s="579"/>
      <c r="AB42" s="527"/>
      <c r="AC42" s="66"/>
      <c r="AD42" s="470"/>
      <c r="AE42" s="6"/>
      <c r="AF42" s="6"/>
      <c r="AG42" s="508"/>
      <c r="AH42" s="509"/>
      <c r="AI42" s="502"/>
      <c r="AJ42" s="6"/>
      <c r="AK42" s="527"/>
      <c r="AM42" s="470"/>
      <c r="AN42" s="6"/>
      <c r="AO42" s="6"/>
      <c r="AP42" s="47"/>
      <c r="AQ42" s="508"/>
      <c r="AR42" s="509"/>
      <c r="AS42" s="6"/>
      <c r="AT42" s="6"/>
      <c r="AU42" s="527"/>
      <c r="AV42" s="508"/>
    </row>
    <row r="43" spans="1:48" ht="65.5" customHeight="1" x14ac:dyDescent="0.35">
      <c r="A43" s="1478">
        <v>45372</v>
      </c>
      <c r="B43" s="472">
        <v>1</v>
      </c>
      <c r="C43" s="494"/>
      <c r="D43" s="494"/>
      <c r="E43" s="494"/>
      <c r="F43" s="495"/>
      <c r="G43" s="514"/>
      <c r="H43" s="514"/>
      <c r="I43" s="641"/>
      <c r="J43" s="527"/>
      <c r="K43" s="66"/>
      <c r="L43" s="470"/>
      <c r="M43" s="6"/>
      <c r="N43" s="6"/>
      <c r="O43" s="508"/>
      <c r="P43" s="509"/>
      <c r="Q43" s="6"/>
      <c r="R43" s="6"/>
      <c r="S43" s="527"/>
      <c r="T43" s="66"/>
      <c r="U43" s="470"/>
      <c r="V43" s="6"/>
      <c r="W43" s="6"/>
      <c r="X43" s="508"/>
      <c r="Y43" s="509"/>
      <c r="Z43" s="6"/>
      <c r="AA43" s="579"/>
      <c r="AB43" s="527"/>
      <c r="AC43" s="66"/>
      <c r="AD43" s="470"/>
      <c r="AE43" s="6"/>
      <c r="AF43" s="6"/>
      <c r="AG43" s="508"/>
      <c r="AH43" s="502"/>
      <c r="AI43" s="515"/>
      <c r="AJ43" s="6"/>
      <c r="AK43" s="527"/>
      <c r="AM43" s="470"/>
      <c r="AN43" s="6"/>
      <c r="AO43" s="6"/>
      <c r="AP43" s="47"/>
      <c r="AQ43" s="508"/>
      <c r="AR43" s="502"/>
      <c r="AS43" s="515"/>
      <c r="AT43" s="6"/>
      <c r="AU43" s="527"/>
      <c r="AV43" s="508"/>
    </row>
    <row r="44" spans="1:48" ht="69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515"/>
      <c r="I44" s="641"/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/>
      <c r="W44" s="494">
        <v>35</v>
      </c>
      <c r="X44" s="495"/>
      <c r="Y44" s="514"/>
      <c r="Z44" s="515"/>
      <c r="AA44" s="579" t="s">
        <v>693</v>
      </c>
      <c r="AB44" s="527"/>
      <c r="AC44" s="66"/>
      <c r="AD44" s="470"/>
      <c r="AE44" s="6"/>
      <c r="AF44" s="6"/>
      <c r="AG44" s="508"/>
      <c r="AH44" s="509"/>
      <c r="AI44" s="502"/>
      <c r="AJ44" s="579"/>
      <c r="AK44" s="527"/>
      <c r="AM44" s="470"/>
      <c r="AN44" s="6"/>
      <c r="AO44" s="6"/>
      <c r="AP44" s="47"/>
      <c r="AQ44" s="508"/>
      <c r="AR44" s="509"/>
      <c r="AS44" s="502"/>
      <c r="AT44" s="502"/>
      <c r="AU44" s="527"/>
      <c r="AV44" s="508"/>
    </row>
    <row r="45" spans="1:48" ht="69" customHeight="1" x14ac:dyDescent="0.35">
      <c r="A45" s="1478">
        <v>45373</v>
      </c>
      <c r="B45" s="472">
        <v>1</v>
      </c>
      <c r="C45" s="494"/>
      <c r="D45" s="494"/>
      <c r="E45" s="494"/>
      <c r="F45" s="495"/>
      <c r="G45" s="514"/>
      <c r="H45" s="514"/>
      <c r="I45" s="573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502"/>
      <c r="W45" s="6"/>
      <c r="X45" s="508"/>
      <c r="Y45" s="514"/>
      <c r="Z45" s="502"/>
      <c r="AA45" s="502"/>
      <c r="AB45" s="508"/>
      <c r="AC45" s="66"/>
      <c r="AD45" s="470"/>
      <c r="AE45" s="6"/>
      <c r="AF45" s="6"/>
      <c r="AG45" s="508"/>
      <c r="AH45" s="509"/>
      <c r="AI45" s="502"/>
      <c r="AJ45" s="502"/>
      <c r="AK45" s="508"/>
      <c r="AM45" s="470"/>
      <c r="AN45" s="6"/>
      <c r="AO45" s="6"/>
      <c r="AP45" s="47"/>
      <c r="AQ45" s="508"/>
      <c r="AR45" s="509"/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641"/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/>
      <c r="W46" s="6"/>
      <c r="X46" s="508"/>
      <c r="Y46" s="469"/>
      <c r="Z46" s="6"/>
      <c r="AA46" s="502"/>
      <c r="AB46" s="527"/>
      <c r="AC46" s="66"/>
      <c r="AD46" s="470"/>
      <c r="AE46" s="6"/>
      <c r="AF46" s="6"/>
      <c r="AG46" s="508"/>
      <c r="AH46" s="469"/>
      <c r="AI46" s="502"/>
      <c r="AJ46" s="579"/>
      <c r="AK46" s="527"/>
      <c r="AM46" s="470"/>
      <c r="AN46" s="6"/>
      <c r="AO46" s="6"/>
      <c r="AP46" s="47"/>
      <c r="AQ46" s="508"/>
      <c r="AR46" s="509"/>
      <c r="AS46" s="515"/>
      <c r="AT46" s="6"/>
      <c r="AU46" s="47"/>
      <c r="AV46" s="527"/>
    </row>
    <row r="47" spans="1:48" ht="58.95" customHeight="1" x14ac:dyDescent="0.35">
      <c r="A47" s="1478">
        <v>45374</v>
      </c>
      <c r="B47" s="472">
        <v>1</v>
      </c>
      <c r="C47" s="494"/>
      <c r="D47" s="494"/>
      <c r="E47" s="494"/>
      <c r="F47" s="495"/>
      <c r="G47" s="514"/>
      <c r="H47" s="515"/>
      <c r="I47" s="641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14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579"/>
      <c r="AK47" s="508"/>
      <c r="AM47" s="470"/>
      <c r="AN47" s="6"/>
      <c r="AO47" s="6"/>
      <c r="AP47" s="47"/>
      <c r="AQ47" s="508"/>
      <c r="AR47" s="509"/>
      <c r="AS47" s="515"/>
      <c r="AT47" s="6"/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27"/>
      <c r="K48" s="66"/>
      <c r="L48" s="470"/>
      <c r="M48" s="6"/>
      <c r="N48" s="6">
        <v>465</v>
      </c>
      <c r="O48" s="495"/>
      <c r="P48" s="515"/>
      <c r="Q48" s="515"/>
      <c r="R48" s="573" t="s">
        <v>887</v>
      </c>
      <c r="S48" s="527"/>
      <c r="T48" s="66"/>
      <c r="U48" s="470"/>
      <c r="V48" s="6"/>
      <c r="W48" s="6"/>
      <c r="X48" s="495"/>
      <c r="Y48" s="515"/>
      <c r="Z48" s="515"/>
      <c r="AA48" s="573"/>
      <c r="AB48" s="527"/>
      <c r="AC48" s="66"/>
      <c r="AD48" s="470"/>
      <c r="AE48" s="6"/>
      <c r="AF48" s="6"/>
      <c r="AG48" s="495"/>
      <c r="AH48" s="515"/>
      <c r="AI48" s="515"/>
      <c r="AJ48" s="573"/>
      <c r="AK48" s="527"/>
      <c r="AM48" s="470"/>
      <c r="AN48" s="6"/>
      <c r="AO48" s="470"/>
      <c r="AP48" s="6"/>
      <c r="AQ48" s="6"/>
      <c r="AR48" s="495"/>
      <c r="AS48" s="515"/>
      <c r="AT48" s="515"/>
      <c r="AU48" s="527"/>
      <c r="AV48" s="508"/>
    </row>
    <row r="49" spans="1:48" ht="36" customHeight="1" x14ac:dyDescent="0.35">
      <c r="A49" s="1478">
        <v>45375</v>
      </c>
      <c r="B49" s="472">
        <v>1</v>
      </c>
      <c r="C49" s="494"/>
      <c r="D49" s="494"/>
      <c r="E49" s="494"/>
      <c r="F49" s="495"/>
      <c r="G49" s="515"/>
      <c r="H49" s="514"/>
      <c r="I49" s="641"/>
      <c r="J49" s="527"/>
      <c r="K49" s="66"/>
      <c r="L49" s="470"/>
      <c r="M49" s="6"/>
      <c r="N49" s="6">
        <v>203</v>
      </c>
      <c r="O49" s="495"/>
      <c r="P49" s="515"/>
      <c r="Q49" s="514"/>
      <c r="R49" s="573" t="s">
        <v>887</v>
      </c>
      <c r="S49" s="527"/>
      <c r="T49" s="66"/>
      <c r="U49" s="470"/>
      <c r="V49" s="6"/>
      <c r="W49" s="6"/>
      <c r="X49" s="495"/>
      <c r="Y49" s="515"/>
      <c r="Z49" s="502"/>
      <c r="AA49" s="502"/>
      <c r="AB49" s="527"/>
      <c r="AC49" s="66"/>
      <c r="AD49" s="470"/>
      <c r="AE49" s="6"/>
      <c r="AF49" s="6"/>
      <c r="AG49" s="495"/>
      <c r="AH49" s="515"/>
      <c r="AI49" s="514"/>
      <c r="AJ49" s="573"/>
      <c r="AK49" s="527"/>
      <c r="AM49" s="470"/>
      <c r="AN49" s="6"/>
      <c r="AO49" s="6"/>
      <c r="AP49" s="495"/>
      <c r="AQ49" s="515"/>
      <c r="AR49" s="514"/>
      <c r="AS49" s="573"/>
      <c r="AT49" s="527"/>
      <c r="AU49" s="527"/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/>
      <c r="X50" s="495"/>
      <c r="Y50" s="514"/>
      <c r="Z50" s="514"/>
      <c r="AA50" s="579"/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495"/>
      <c r="AQ50" s="514"/>
      <c r="AR50" s="514"/>
      <c r="AS50" s="573"/>
      <c r="AT50" s="527"/>
      <c r="AU50" s="527"/>
      <c r="AV50" s="527"/>
    </row>
    <row r="51" spans="1:48" ht="34.950000000000003" customHeight="1" x14ac:dyDescent="0.35">
      <c r="A51" s="1478">
        <v>45376</v>
      </c>
      <c r="B51" s="472">
        <v>1</v>
      </c>
      <c r="C51" s="494"/>
      <c r="D51" s="494"/>
      <c r="E51" s="494"/>
      <c r="F51" s="495"/>
      <c r="G51" s="514"/>
      <c r="H51" s="514"/>
      <c r="I51" s="641"/>
      <c r="J51" s="527"/>
      <c r="K51" s="66"/>
      <c r="L51" s="470"/>
      <c r="M51" s="6">
        <v>101</v>
      </c>
      <c r="N51" s="6"/>
      <c r="O51" s="495"/>
      <c r="P51" s="514"/>
      <c r="Q51" s="514" t="s">
        <v>888</v>
      </c>
      <c r="R51" s="573"/>
      <c r="S51" s="527"/>
      <c r="T51" s="66"/>
      <c r="U51" s="470"/>
      <c r="V51" s="6"/>
      <c r="W51" s="6"/>
      <c r="X51" s="495"/>
      <c r="Y51" s="514"/>
      <c r="Z51" s="514"/>
      <c r="AA51" s="579"/>
      <c r="AB51" s="527"/>
      <c r="AC51" s="66"/>
      <c r="AD51" s="470"/>
      <c r="AE51" s="6"/>
      <c r="AF51" s="6"/>
      <c r="AG51" s="495"/>
      <c r="AH51" s="514"/>
      <c r="AI51" s="514"/>
      <c r="AJ51" s="573"/>
      <c r="AK51" s="527"/>
      <c r="AM51" s="470"/>
      <c r="AN51" s="6"/>
      <c r="AO51" s="6"/>
      <c r="AP51" s="495"/>
      <c r="AQ51" s="514"/>
      <c r="AR51" s="514"/>
      <c r="AS51" s="573"/>
      <c r="AT51" s="527"/>
      <c r="AU51" s="527"/>
      <c r="AV51" s="508"/>
    </row>
    <row r="52" spans="1:48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641"/>
      <c r="J52" s="527"/>
      <c r="K52" s="66"/>
      <c r="L52" s="470"/>
      <c r="M52" s="6">
        <v>56</v>
      </c>
      <c r="N52" s="6"/>
      <c r="O52" s="495"/>
      <c r="P52" s="515"/>
      <c r="Q52" s="514" t="s">
        <v>888</v>
      </c>
      <c r="R52" s="573"/>
      <c r="S52" s="527"/>
      <c r="T52" s="66"/>
      <c r="U52" s="470"/>
      <c r="V52" s="6"/>
      <c r="W52" s="6"/>
      <c r="X52" s="495"/>
      <c r="Y52" s="515"/>
      <c r="Z52" s="502"/>
      <c r="AA52" s="579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8"/>
      <c r="AR52" s="509"/>
      <c r="AS52" s="6"/>
      <c r="AT52" s="527"/>
      <c r="AU52" s="527"/>
      <c r="AV52" s="508"/>
    </row>
    <row r="53" spans="1:48" ht="40.200000000000003" customHeight="1" x14ac:dyDescent="0.35">
      <c r="A53" s="1478">
        <v>45377</v>
      </c>
      <c r="B53" s="472">
        <v>1</v>
      </c>
      <c r="C53" s="494"/>
      <c r="D53" s="494"/>
      <c r="E53" s="494"/>
      <c r="F53" s="495"/>
      <c r="G53" s="514"/>
      <c r="H53" s="514"/>
      <c r="I53" s="641"/>
      <c r="J53" s="527"/>
      <c r="K53" s="66"/>
      <c r="L53" s="470"/>
      <c r="M53" s="6"/>
      <c r="N53" s="6"/>
      <c r="O53" s="508"/>
      <c r="P53" s="469"/>
      <c r="Q53" s="515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6"/>
      <c r="AJ53" s="502"/>
      <c r="AK53" s="508"/>
      <c r="AM53" s="470"/>
      <c r="AN53" s="502"/>
      <c r="AO53" s="6">
        <v>20</v>
      </c>
      <c r="AP53" s="47"/>
      <c r="AQ53" s="508"/>
      <c r="AR53" s="509"/>
      <c r="AS53" s="6"/>
      <c r="AT53" s="6" t="s">
        <v>152</v>
      </c>
      <c r="AU53" s="47"/>
      <c r="AV53" s="508"/>
    </row>
    <row r="54" spans="1:48" ht="39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5"/>
      <c r="I54" s="573"/>
      <c r="J54" s="527"/>
      <c r="K54" s="66"/>
      <c r="L54" s="470"/>
      <c r="M54" s="6"/>
      <c r="N54" s="6"/>
      <c r="O54" s="495"/>
      <c r="P54" s="514"/>
      <c r="Q54" s="515"/>
      <c r="R54" s="514"/>
      <c r="S54" s="527"/>
      <c r="T54" s="66"/>
      <c r="U54" s="470"/>
      <c r="V54" s="6"/>
      <c r="W54" s="6"/>
      <c r="X54" s="495"/>
      <c r="Y54" s="515"/>
      <c r="Z54" s="515"/>
      <c r="AA54" s="515"/>
      <c r="AB54" s="527"/>
      <c r="AC54" s="66"/>
      <c r="AD54" s="470"/>
      <c r="AE54" s="6"/>
      <c r="AF54" s="6"/>
      <c r="AG54" s="508"/>
      <c r="AH54" s="509"/>
      <c r="AI54" s="515"/>
      <c r="AJ54" s="6"/>
      <c r="AK54" s="527"/>
      <c r="AM54" s="470"/>
      <c r="AN54" s="6"/>
      <c r="AO54" s="6">
        <v>11</v>
      </c>
      <c r="AP54" s="47"/>
      <c r="AQ54" s="495"/>
      <c r="AR54" s="514"/>
      <c r="AS54" s="515"/>
      <c r="AT54" s="514" t="s">
        <v>97</v>
      </c>
      <c r="AU54" s="638"/>
      <c r="AV54" s="527"/>
    </row>
    <row r="55" spans="1:48" ht="39.65" customHeight="1" x14ac:dyDescent="0.35">
      <c r="A55" s="1478">
        <v>45378</v>
      </c>
      <c r="B55" s="472">
        <v>1</v>
      </c>
      <c r="C55" s="493"/>
      <c r="D55" s="494"/>
      <c r="E55" s="494"/>
      <c r="F55" s="495"/>
      <c r="G55" s="514"/>
      <c r="H55" s="514"/>
      <c r="I55" s="641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5"/>
      <c r="AA55" s="579"/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47"/>
      <c r="AQ55" s="508"/>
      <c r="AR55" s="509"/>
      <c r="AS55" s="515"/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641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02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7"/>
      <c r="AQ56" s="495"/>
      <c r="AR56" s="515"/>
      <c r="AS56" s="514"/>
      <c r="AT56" s="515"/>
      <c r="AU56" s="573"/>
      <c r="AV56" s="527"/>
    </row>
    <row r="57" spans="1:48" ht="52.2" customHeight="1" x14ac:dyDescent="0.35">
      <c r="A57" s="1478">
        <v>45379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02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641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/>
      <c r="X58" s="495"/>
      <c r="Y58" s="515"/>
      <c r="Z58" s="514"/>
      <c r="AA58" s="579"/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/>
      <c r="AP58" s="47"/>
      <c r="AQ58" s="495"/>
      <c r="AR58" s="515"/>
      <c r="AS58" s="514"/>
      <c r="AT58" s="515"/>
      <c r="AU58" s="573"/>
      <c r="AV58" s="527"/>
    </row>
    <row r="59" spans="1:48" ht="73.2" customHeight="1" x14ac:dyDescent="0.35">
      <c r="A59" s="1478">
        <v>45380</v>
      </c>
      <c r="B59" s="472">
        <v>1</v>
      </c>
      <c r="C59" s="493"/>
      <c r="D59" s="494"/>
      <c r="E59" s="494"/>
      <c r="F59" s="495"/>
      <c r="G59" s="514"/>
      <c r="H59" s="514"/>
      <c r="I59" s="641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79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36" customHeight="1" x14ac:dyDescent="0.35">
      <c r="A60" s="1477"/>
      <c r="B60" s="500">
        <v>2</v>
      </c>
      <c r="C60" s="493">
        <v>320</v>
      </c>
      <c r="D60" s="494">
        <v>10</v>
      </c>
      <c r="E60" s="494"/>
      <c r="F60" s="495"/>
      <c r="G60" s="515" t="s">
        <v>889</v>
      </c>
      <c r="H60" s="515" t="s">
        <v>96</v>
      </c>
      <c r="I60" s="641"/>
      <c r="J60" s="527"/>
      <c r="K60" s="66"/>
      <c r="L60" s="470"/>
      <c r="M60" s="6"/>
      <c r="N60" s="6"/>
      <c r="O60" s="508"/>
      <c r="P60" s="509"/>
      <c r="Q60" s="515"/>
      <c r="R60" s="6"/>
      <c r="S60" s="527"/>
      <c r="T60" s="66"/>
      <c r="U60" s="470">
        <v>46</v>
      </c>
      <c r="V60" s="6"/>
      <c r="W60" s="6"/>
      <c r="X60" s="508"/>
      <c r="Y60" s="469" t="s">
        <v>890</v>
      </c>
      <c r="Z60" s="515"/>
      <c r="AA60" s="502"/>
      <c r="AB60" s="527"/>
      <c r="AC60" s="66"/>
      <c r="AD60" s="470"/>
      <c r="AE60" s="6"/>
      <c r="AF60" s="6"/>
      <c r="AG60" s="508"/>
      <c r="AH60" s="509"/>
      <c r="AI60" s="515"/>
      <c r="AJ60" s="502"/>
      <c r="AK60" s="527"/>
      <c r="AM60" s="470"/>
      <c r="AN60" s="6"/>
      <c r="AO60" s="6"/>
      <c r="AP60" s="47"/>
      <c r="AQ60" s="508"/>
      <c r="AR60" s="509"/>
      <c r="AS60" s="515"/>
      <c r="AT60" s="502"/>
      <c r="AU60" s="636"/>
      <c r="AV60" s="527"/>
    </row>
    <row r="61" spans="1:48" ht="32.5" customHeight="1" x14ac:dyDescent="0.35">
      <c r="A61" s="1478">
        <v>45381</v>
      </c>
      <c r="B61" s="472">
        <v>1</v>
      </c>
      <c r="C61" s="618"/>
      <c r="D61" s="619">
        <v>93</v>
      </c>
      <c r="E61" s="494"/>
      <c r="F61" s="620"/>
      <c r="G61" s="514"/>
      <c r="H61" s="515" t="s">
        <v>96</v>
      </c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47"/>
      <c r="AQ61" s="508"/>
      <c r="AR61" s="469"/>
      <c r="AS61" s="6"/>
      <c r="AT61" s="502"/>
      <c r="AU61" s="648"/>
      <c r="AV61" s="624"/>
    </row>
    <row r="62" spans="1:48" ht="62.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524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>
        <v>4</v>
      </c>
      <c r="AE62" s="6"/>
      <c r="AF62" s="6"/>
      <c r="AG62" s="508"/>
      <c r="AH62" s="469" t="s">
        <v>891</v>
      </c>
      <c r="AI62" s="6"/>
      <c r="AJ62" s="502"/>
      <c r="AK62" s="624"/>
      <c r="AM62" s="470"/>
      <c r="AN62" s="6"/>
      <c r="AO62" s="6"/>
      <c r="AP62" s="47"/>
      <c r="AQ62" s="508"/>
      <c r="AR62" s="509"/>
      <c r="AS62" s="6"/>
      <c r="AT62" s="502"/>
      <c r="AU62" s="648"/>
      <c r="AV62" s="624"/>
    </row>
    <row r="63" spans="1:48" ht="64.2" customHeight="1" x14ac:dyDescent="0.35">
      <c r="A63" s="1478">
        <v>45382</v>
      </c>
      <c r="B63" s="472">
        <v>1</v>
      </c>
      <c r="C63" s="587"/>
      <c r="D63" s="588"/>
      <c r="E63" s="588"/>
      <c r="F63" s="589"/>
      <c r="G63" s="598"/>
      <c r="H63" s="590"/>
      <c r="I63" s="573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>
        <v>5</v>
      </c>
      <c r="X63" s="495"/>
      <c r="Y63" s="566"/>
      <c r="Z63" s="514"/>
      <c r="AA63" s="559" t="s">
        <v>325</v>
      </c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7"/>
      <c r="AQ63" s="495"/>
      <c r="AR63" s="566"/>
      <c r="AS63" s="514"/>
      <c r="AT63" s="514"/>
      <c r="AU63" s="649"/>
      <c r="AV63" s="586"/>
    </row>
    <row r="64" spans="1:48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>
        <v>5</v>
      </c>
      <c r="X64" s="528"/>
      <c r="Y64" s="529"/>
      <c r="Z64" s="530"/>
      <c r="AA64" s="559" t="s">
        <v>325</v>
      </c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>
        <v>123</v>
      </c>
      <c r="AN64" s="530"/>
      <c r="AO64" s="530"/>
      <c r="AP64" s="647"/>
      <c r="AQ64" s="528"/>
      <c r="AR64" s="532" t="s">
        <v>892</v>
      </c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320</v>
      </c>
      <c r="D65" s="65">
        <f>SUM(D3:D64)</f>
        <v>183</v>
      </c>
      <c r="E65" s="631">
        <f>SUM(E3:E64)</f>
        <v>243</v>
      </c>
      <c r="F65" s="65">
        <f>SUM(F3:F64)</f>
        <v>0</v>
      </c>
      <c r="L65" s="65">
        <f>SUM(L3:L64)</f>
        <v>30</v>
      </c>
      <c r="M65" s="65">
        <f>SUM(M3:M64)</f>
        <v>368</v>
      </c>
      <c r="N65" s="65">
        <f>SUM(N3:N64)</f>
        <v>668</v>
      </c>
      <c r="O65" s="65">
        <f>SUM(O3:O64)</f>
        <v>0</v>
      </c>
      <c r="U65" s="65">
        <f>SUM(U3:U64)</f>
        <v>7180</v>
      </c>
      <c r="V65" s="65">
        <f>SUM(V3:V64)</f>
        <v>107</v>
      </c>
      <c r="W65" s="65">
        <f>SUM(W3:W64)</f>
        <v>533</v>
      </c>
      <c r="X65" s="65">
        <f>SUM(X3:X64)</f>
        <v>0</v>
      </c>
      <c r="AD65" s="65">
        <f>SUM(AD3:AD64)</f>
        <v>24</v>
      </c>
      <c r="AE65" s="65">
        <f>SUM(AE3:AE64)</f>
        <v>30</v>
      </c>
      <c r="AF65" s="65">
        <f>SUM(AF3:AF64)</f>
        <v>188</v>
      </c>
      <c r="AG65" s="65">
        <f>SUM(AG3:AG64)</f>
        <v>0</v>
      </c>
      <c r="AM65" s="65">
        <f>SUM(AM3:AM64)</f>
        <v>149</v>
      </c>
      <c r="AN65" s="65">
        <f>SUM(AN3:AN64)</f>
        <v>0</v>
      </c>
      <c r="AO65" s="65">
        <f>SUM(AO3:AO64)</f>
        <v>886</v>
      </c>
      <c r="AP65" s="65"/>
      <c r="AQ65" s="65">
        <f>SUM(AQ3:AQ64)</f>
        <v>0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320</v>
      </c>
      <c r="D76" s="543">
        <f>C76/60</f>
        <v>5.333333333333333</v>
      </c>
      <c r="E76" s="542">
        <f>D65</f>
        <v>183</v>
      </c>
      <c r="F76" s="544">
        <f>E76/60</f>
        <v>3.05</v>
      </c>
      <c r="G76" s="542">
        <f>E65</f>
        <v>243</v>
      </c>
      <c r="H76" s="543">
        <f>G76/60</f>
        <v>4.05</v>
      </c>
      <c r="I76" s="542">
        <f>F65</f>
        <v>0</v>
      </c>
      <c r="J76" s="543">
        <f>I76/60</f>
        <v>0</v>
      </c>
    </row>
    <row r="77" spans="1:43" ht="19.5" customHeight="1" x14ac:dyDescent="0.4">
      <c r="B77" s="541" t="s">
        <v>219</v>
      </c>
      <c r="C77" s="545">
        <f>L65</f>
        <v>30</v>
      </c>
      <c r="D77" s="546">
        <f>C77/60</f>
        <v>0.5</v>
      </c>
      <c r="E77" s="545">
        <f>M65</f>
        <v>368</v>
      </c>
      <c r="F77" s="547">
        <f>E77/60</f>
        <v>6.1333333333333337</v>
      </c>
      <c r="G77" s="545">
        <f>N65</f>
        <v>668</v>
      </c>
      <c r="H77" s="546">
        <f>G77/60</f>
        <v>11.133333333333333</v>
      </c>
      <c r="I77" s="545">
        <f>O65</f>
        <v>0</v>
      </c>
      <c r="J77" s="546">
        <f>I77/60</f>
        <v>0</v>
      </c>
    </row>
    <row r="78" spans="1:43" ht="20.25" customHeight="1" x14ac:dyDescent="0.4">
      <c r="B78" s="541" t="s">
        <v>220</v>
      </c>
      <c r="C78" s="545">
        <f>U65</f>
        <v>7180</v>
      </c>
      <c r="D78" s="546">
        <f>C78/60</f>
        <v>119.66666666666667</v>
      </c>
      <c r="E78" s="545">
        <f>V65</f>
        <v>107</v>
      </c>
      <c r="F78" s="547">
        <f>E78/60</f>
        <v>1.7833333333333334</v>
      </c>
      <c r="G78" s="545">
        <f>W65</f>
        <v>533</v>
      </c>
      <c r="H78" s="546">
        <f>G78/60</f>
        <v>8.8833333333333329</v>
      </c>
      <c r="I78" s="545">
        <f>X65</f>
        <v>0</v>
      </c>
      <c r="J78" s="546">
        <f>I78/60</f>
        <v>0</v>
      </c>
    </row>
    <row r="79" spans="1:43" ht="22.5" customHeight="1" thickBot="1" x14ac:dyDescent="0.45">
      <c r="B79" s="541" t="s">
        <v>221</v>
      </c>
      <c r="C79" s="548">
        <f>AD65</f>
        <v>24</v>
      </c>
      <c r="D79" s="549">
        <f>C79/60</f>
        <v>0.4</v>
      </c>
      <c r="E79" s="548">
        <f>AE65</f>
        <v>30</v>
      </c>
      <c r="F79" s="550">
        <f>E79/60</f>
        <v>0.5</v>
      </c>
      <c r="G79" s="548">
        <f>AF65</f>
        <v>188</v>
      </c>
      <c r="H79" s="549">
        <f>G79/60</f>
        <v>3.1333333333333333</v>
      </c>
      <c r="I79" s="548">
        <f>AG65</f>
        <v>0</v>
      </c>
      <c r="J79" s="549">
        <f>I79/60</f>
        <v>0</v>
      </c>
    </row>
    <row r="80" spans="1:43" ht="22.5" customHeight="1" thickBot="1" x14ac:dyDescent="0.45">
      <c r="B80" s="541" t="s">
        <v>488</v>
      </c>
      <c r="C80" s="643">
        <f>AM65</f>
        <v>149</v>
      </c>
      <c r="D80" s="642">
        <f>C80/60</f>
        <v>2.4833333333333334</v>
      </c>
      <c r="E80" s="643">
        <f>AN65</f>
        <v>0</v>
      </c>
      <c r="F80" s="644">
        <f>E80/60</f>
        <v>0</v>
      </c>
      <c r="G80" s="643">
        <f>AO65</f>
        <v>886</v>
      </c>
      <c r="H80" s="642">
        <f>G80/60</f>
        <v>14.766666666666667</v>
      </c>
      <c r="I80" s="643">
        <f>AQ65</f>
        <v>0</v>
      </c>
      <c r="J80" s="642">
        <f>I80/60</f>
        <v>0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128.38333333333333</v>
      </c>
      <c r="E82" s="556"/>
      <c r="F82" s="557">
        <f>SUM(F76:F80)</f>
        <v>11.466666666666667</v>
      </c>
      <c r="G82" s="556"/>
      <c r="H82" s="557">
        <f>SUM(H76:H80)</f>
        <v>41.966666666666669</v>
      </c>
      <c r="I82" s="556"/>
      <c r="J82" s="558">
        <f>AVERAGE(J76:J80)</f>
        <v>0</v>
      </c>
    </row>
    <row r="86" spans="2:10" x14ac:dyDescent="0.35">
      <c r="F86" s="664"/>
    </row>
    <row r="87" spans="2:10" x14ac:dyDescent="0.35">
      <c r="F87" s="664"/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Q1"/>
    <mergeCell ref="AR1:AV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V82"/>
  <sheetViews>
    <sheetView zoomScale="60" zoomScaleNormal="60" workbookViewId="0">
      <pane xSplit="2" ySplit="2" topLeftCell="C26" activePane="bottomRight" state="frozen"/>
      <selection pane="topRight" activeCell="C1" sqref="C1"/>
      <selection pane="bottomLeft" activeCell="A3" sqref="A3"/>
      <selection pane="bottomRight" activeCell="AP42" sqref="AP42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7.304687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3" width="10.69140625" style="423" customWidth="1"/>
    <col min="44" max="44" width="21.15234375" style="423" customWidth="1"/>
    <col min="45" max="45" width="26.3046875" style="423" customWidth="1"/>
    <col min="46" max="46" width="27.15234375" style="423" customWidth="1"/>
    <col min="47" max="47" width="24.3828125" style="423" customWidth="1"/>
    <col min="48" max="48" width="26.53515625" style="423" customWidth="1"/>
    <col min="49" max="16384" width="8.84375" style="423"/>
  </cols>
  <sheetData>
    <row r="1" spans="1:48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3"/>
      <c r="AR1" s="1354" t="s">
        <v>206</v>
      </c>
      <c r="AS1" s="1354"/>
      <c r="AT1" s="1354"/>
      <c r="AU1" s="1354"/>
      <c r="AV1" s="1355"/>
    </row>
    <row r="2" spans="1:48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5" t="s">
        <v>204</v>
      </c>
      <c r="AR2" s="657" t="s">
        <v>199</v>
      </c>
      <c r="AS2" s="655" t="s">
        <v>200</v>
      </c>
      <c r="AT2" s="655" t="s">
        <v>201</v>
      </c>
      <c r="AU2" s="655" t="s">
        <v>204</v>
      </c>
      <c r="AV2" s="655" t="s">
        <v>204</v>
      </c>
    </row>
    <row r="3" spans="1:48" ht="78" customHeight="1" x14ac:dyDescent="0.35">
      <c r="A3" s="1478">
        <v>45383</v>
      </c>
      <c r="B3" s="501">
        <v>1</v>
      </c>
      <c r="C3" s="490"/>
      <c r="D3" s="491"/>
      <c r="E3" s="6"/>
      <c r="F3" s="492"/>
      <c r="G3" s="566"/>
      <c r="H3" s="514"/>
      <c r="I3" s="515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6"/>
      <c r="X3" s="508"/>
      <c r="Y3" s="469"/>
      <c r="Z3" s="521"/>
      <c r="AA3" s="515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80"/>
      <c r="AQ3" s="520"/>
      <c r="AR3" s="521"/>
      <c r="AS3" s="538"/>
      <c r="AT3" s="6"/>
      <c r="AU3" s="80"/>
      <c r="AV3" s="520"/>
    </row>
    <row r="4" spans="1:48" ht="70.2" customHeight="1" x14ac:dyDescent="0.35">
      <c r="A4" s="1477"/>
      <c r="B4" s="472">
        <v>2</v>
      </c>
      <c r="C4" s="493"/>
      <c r="D4" s="494"/>
      <c r="E4" s="494"/>
      <c r="F4" s="495"/>
      <c r="G4" s="566"/>
      <c r="H4" s="514"/>
      <c r="I4" s="641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>
        <v>226</v>
      </c>
      <c r="W4" s="6"/>
      <c r="X4" s="508"/>
      <c r="Y4" s="469"/>
      <c r="Z4" s="514" t="s">
        <v>893</v>
      </c>
      <c r="AA4" s="579"/>
      <c r="AB4" s="603"/>
      <c r="AC4" s="66"/>
      <c r="AD4" s="470"/>
      <c r="AE4" s="6"/>
      <c r="AF4" s="6"/>
      <c r="AG4" s="508"/>
      <c r="AH4" s="509"/>
      <c r="AI4" s="515"/>
      <c r="AJ4" s="6"/>
      <c r="AK4" s="508"/>
      <c r="AM4" s="470"/>
      <c r="AN4" s="6"/>
      <c r="AO4" s="6"/>
      <c r="AP4" s="47"/>
      <c r="AQ4" s="508"/>
      <c r="AR4" s="509"/>
      <c r="AS4" s="515"/>
      <c r="AT4" s="6"/>
      <c r="AU4" s="47"/>
      <c r="AV4" s="508"/>
    </row>
    <row r="5" spans="1:48" ht="60" customHeight="1" x14ac:dyDescent="0.35">
      <c r="A5" s="1478">
        <v>45384</v>
      </c>
      <c r="B5" s="472">
        <v>1</v>
      </c>
      <c r="C5" s="493"/>
      <c r="D5" s="494"/>
      <c r="E5" s="494"/>
      <c r="F5" s="495"/>
      <c r="G5" s="565"/>
      <c r="H5" s="565"/>
      <c r="I5" s="641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>
        <v>720</v>
      </c>
      <c r="W5" s="6"/>
      <c r="X5" s="508"/>
      <c r="Y5" s="469"/>
      <c r="Z5" s="514" t="s">
        <v>894</v>
      </c>
      <c r="AA5" s="579"/>
      <c r="AB5" s="604"/>
      <c r="AC5" s="66"/>
      <c r="AD5" s="470"/>
      <c r="AE5" s="6"/>
      <c r="AF5" s="6"/>
      <c r="AG5" s="508"/>
      <c r="AH5" s="509"/>
      <c r="AI5" s="6"/>
      <c r="AJ5" s="661"/>
      <c r="AK5" s="508"/>
      <c r="AM5" s="470"/>
      <c r="AN5" s="6"/>
      <c r="AO5" s="6"/>
      <c r="AP5" s="47"/>
      <c r="AQ5" s="508"/>
      <c r="AR5" s="509"/>
      <c r="AS5" s="6"/>
      <c r="AT5" s="502"/>
      <c r="AU5" s="636"/>
      <c r="AV5" s="526"/>
    </row>
    <row r="6" spans="1:48" ht="80.5" customHeight="1" x14ac:dyDescent="0.35">
      <c r="A6" s="1477"/>
      <c r="B6" s="472">
        <v>2</v>
      </c>
      <c r="C6" s="493"/>
      <c r="D6" s="494"/>
      <c r="E6" s="494"/>
      <c r="F6" s="495">
        <v>508</v>
      </c>
      <c r="G6" s="566"/>
      <c r="H6" s="515"/>
      <c r="I6" s="641"/>
      <c r="J6" s="527" t="s">
        <v>895</v>
      </c>
      <c r="K6" s="66"/>
      <c r="L6" s="470"/>
      <c r="M6" s="6"/>
      <c r="N6" s="6"/>
      <c r="O6" s="508">
        <v>534</v>
      </c>
      <c r="P6" s="509"/>
      <c r="Q6" s="514"/>
      <c r="R6" s="6"/>
      <c r="S6" s="527" t="s">
        <v>895</v>
      </c>
      <c r="T6" s="66"/>
      <c r="U6" s="470"/>
      <c r="V6" s="6">
        <v>59</v>
      </c>
      <c r="W6" s="6"/>
      <c r="X6" s="508">
        <v>512</v>
      </c>
      <c r="Y6" s="469"/>
      <c r="Z6" s="514" t="s">
        <v>894</v>
      </c>
      <c r="AA6" s="579"/>
      <c r="AB6" s="527" t="s">
        <v>895</v>
      </c>
      <c r="AC6" s="66"/>
      <c r="AD6" s="470"/>
      <c r="AE6" s="6"/>
      <c r="AF6" s="6"/>
      <c r="AG6" s="508">
        <v>528</v>
      </c>
      <c r="AH6" s="509"/>
      <c r="AI6" s="6"/>
      <c r="AJ6" s="6"/>
      <c r="AK6" s="527" t="s">
        <v>895</v>
      </c>
      <c r="AM6" s="470"/>
      <c r="AN6" s="6"/>
      <c r="AO6" s="6"/>
      <c r="AP6" s="47"/>
      <c r="AQ6" s="47">
        <v>486</v>
      </c>
      <c r="AR6" s="508"/>
      <c r="AS6" s="509"/>
      <c r="AT6" s="6"/>
      <c r="AU6" s="502"/>
      <c r="AV6" s="527" t="s">
        <v>895</v>
      </c>
    </row>
    <row r="7" spans="1:48" ht="71.5" customHeight="1" x14ac:dyDescent="0.35">
      <c r="A7" s="1478">
        <v>45385</v>
      </c>
      <c r="B7" s="472">
        <v>1</v>
      </c>
      <c r="C7" s="493"/>
      <c r="D7" s="494"/>
      <c r="E7" s="494">
        <v>43</v>
      </c>
      <c r="F7" s="495"/>
      <c r="G7" s="566"/>
      <c r="H7" s="515"/>
      <c r="I7" s="527" t="s">
        <v>896</v>
      </c>
      <c r="J7" s="527"/>
      <c r="K7" s="66"/>
      <c r="L7" s="470"/>
      <c r="M7" s="509"/>
      <c r="N7" s="6"/>
      <c r="O7" s="508"/>
      <c r="P7" s="509"/>
      <c r="Q7" s="660"/>
      <c r="R7" s="6"/>
      <c r="S7" s="508"/>
      <c r="T7" s="66"/>
      <c r="U7" s="470"/>
      <c r="V7" s="6">
        <v>470</v>
      </c>
      <c r="W7" s="6"/>
      <c r="X7" s="508"/>
      <c r="Y7" s="469"/>
      <c r="Z7" s="514" t="s">
        <v>894</v>
      </c>
      <c r="AA7" s="579"/>
      <c r="AB7" s="508"/>
      <c r="AC7" s="66"/>
      <c r="AD7" s="470"/>
      <c r="AE7" s="6"/>
      <c r="AF7" s="6">
        <v>42</v>
      </c>
      <c r="AG7" s="508"/>
      <c r="AH7" s="509"/>
      <c r="AI7" s="660"/>
      <c r="AJ7" s="527" t="s">
        <v>896</v>
      </c>
      <c r="AK7" s="508"/>
      <c r="AM7" s="470"/>
      <c r="AN7" s="6"/>
      <c r="AO7" s="6"/>
      <c r="AP7" s="47"/>
      <c r="AQ7" s="47"/>
      <c r="AR7" s="508"/>
      <c r="AS7" s="509"/>
      <c r="AT7" s="660"/>
      <c r="AU7" s="515"/>
      <c r="AV7" s="573"/>
    </row>
    <row r="8" spans="1:48" ht="69.650000000000006" customHeight="1" x14ac:dyDescent="0.35">
      <c r="A8" s="1477"/>
      <c r="B8" s="472">
        <v>2</v>
      </c>
      <c r="C8" s="493"/>
      <c r="D8" s="494"/>
      <c r="E8" s="494"/>
      <c r="F8" s="495">
        <v>581</v>
      </c>
      <c r="G8" s="565"/>
      <c r="H8" s="515"/>
      <c r="I8" s="641"/>
      <c r="J8" s="527" t="s">
        <v>895</v>
      </c>
      <c r="K8" s="66"/>
      <c r="L8" s="470"/>
      <c r="M8" s="6"/>
      <c r="N8" s="6"/>
      <c r="O8" s="508">
        <v>592</v>
      </c>
      <c r="P8" s="469"/>
      <c r="Q8" s="6"/>
      <c r="R8" s="502"/>
      <c r="S8" s="527" t="s">
        <v>895</v>
      </c>
      <c r="T8" s="66"/>
      <c r="U8" s="470"/>
      <c r="V8" s="639">
        <v>683</v>
      </c>
      <c r="W8" s="509"/>
      <c r="X8" s="508">
        <v>683</v>
      </c>
      <c r="Y8" s="469"/>
      <c r="Z8" s="514" t="s">
        <v>894</v>
      </c>
      <c r="AA8" s="579"/>
      <c r="AB8" s="527" t="s">
        <v>895</v>
      </c>
      <c r="AC8" s="66"/>
      <c r="AD8" s="470"/>
      <c r="AE8" s="6"/>
      <c r="AF8" s="6"/>
      <c r="AG8" s="508">
        <v>613</v>
      </c>
      <c r="AH8" s="509"/>
      <c r="AI8" s="502"/>
      <c r="AJ8" s="515"/>
      <c r="AK8" s="527" t="s">
        <v>895</v>
      </c>
      <c r="AM8" s="470"/>
      <c r="AN8" s="6"/>
      <c r="AO8" s="6"/>
      <c r="AP8" s="47"/>
      <c r="AQ8" s="47">
        <v>590</v>
      </c>
      <c r="AR8" s="508"/>
      <c r="AS8" s="509"/>
      <c r="AT8" s="6"/>
      <c r="AU8" s="6"/>
      <c r="AV8" s="527" t="s">
        <v>895</v>
      </c>
    </row>
    <row r="9" spans="1:48" ht="76.95" customHeight="1" x14ac:dyDescent="0.35">
      <c r="A9" s="1478">
        <v>45386</v>
      </c>
      <c r="B9" s="472">
        <v>1</v>
      </c>
      <c r="C9" s="493"/>
      <c r="D9" s="494"/>
      <c r="E9" s="494"/>
      <c r="F9" s="495"/>
      <c r="G9" s="565"/>
      <c r="H9" s="514"/>
      <c r="I9" s="641"/>
      <c r="J9" s="527"/>
      <c r="K9" s="66"/>
      <c r="L9" s="470"/>
      <c r="M9" s="6"/>
      <c r="N9" s="6"/>
      <c r="O9" s="508"/>
      <c r="P9" s="469"/>
      <c r="Q9" s="6"/>
      <c r="R9" s="502"/>
      <c r="S9" s="527"/>
      <c r="T9" s="66"/>
      <c r="U9" s="470"/>
      <c r="V9" s="6"/>
      <c r="W9" s="6"/>
      <c r="X9" s="508"/>
      <c r="Y9" s="469"/>
      <c r="Z9" s="6"/>
      <c r="AA9" s="579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47"/>
      <c r="AR9" s="508"/>
      <c r="AS9" s="509"/>
      <c r="AT9" s="6"/>
      <c r="AU9" s="6"/>
      <c r="AV9" s="636"/>
    </row>
    <row r="10" spans="1:48" ht="67.2" customHeight="1" x14ac:dyDescent="0.35">
      <c r="A10" s="1477"/>
      <c r="B10" s="472">
        <v>2</v>
      </c>
      <c r="C10" s="493"/>
      <c r="D10" s="494"/>
      <c r="E10" s="494"/>
      <c r="F10" s="495">
        <v>486</v>
      </c>
      <c r="G10" s="565"/>
      <c r="H10" s="514"/>
      <c r="I10" s="641"/>
      <c r="J10" s="527" t="s">
        <v>895</v>
      </c>
      <c r="K10" s="66"/>
      <c r="L10" s="470"/>
      <c r="M10" s="6"/>
      <c r="N10" s="6"/>
      <c r="O10" s="508">
        <v>485</v>
      </c>
      <c r="P10" s="469"/>
      <c r="Q10" s="6"/>
      <c r="R10" s="502"/>
      <c r="S10" s="527" t="s">
        <v>895</v>
      </c>
      <c r="T10" s="66"/>
      <c r="U10" s="470"/>
      <c r="V10" s="6"/>
      <c r="W10" s="6"/>
      <c r="X10" s="508">
        <v>487</v>
      </c>
      <c r="Y10" s="469"/>
      <c r="Z10" s="469"/>
      <c r="AA10" s="579"/>
      <c r="AB10" s="527" t="s">
        <v>895</v>
      </c>
      <c r="AC10" s="66"/>
      <c r="AD10" s="470"/>
      <c r="AE10" s="6"/>
      <c r="AF10" s="6"/>
      <c r="AG10" s="508">
        <v>490</v>
      </c>
      <c r="AH10" s="469"/>
      <c r="AI10" s="502"/>
      <c r="AJ10" s="515"/>
      <c r="AK10" s="527" t="s">
        <v>895</v>
      </c>
      <c r="AM10" s="470"/>
      <c r="AN10" s="6"/>
      <c r="AO10" s="6"/>
      <c r="AP10" s="47"/>
      <c r="AQ10" s="47">
        <v>505</v>
      </c>
      <c r="AR10" s="508"/>
      <c r="AS10" s="509"/>
      <c r="AT10" s="6"/>
      <c r="AU10" s="502"/>
      <c r="AV10" s="527" t="s">
        <v>895</v>
      </c>
    </row>
    <row r="11" spans="1:48" ht="60" customHeight="1" x14ac:dyDescent="0.35">
      <c r="A11" s="1478">
        <v>45387</v>
      </c>
      <c r="B11" s="472">
        <v>1</v>
      </c>
      <c r="C11" s="493"/>
      <c r="D11" s="494"/>
      <c r="E11" s="494"/>
      <c r="F11" s="495"/>
      <c r="G11" s="565"/>
      <c r="H11" s="514"/>
      <c r="I11" s="641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469"/>
      <c r="Z11" s="6"/>
      <c r="AA11" s="579"/>
      <c r="AB11" s="508"/>
      <c r="AC11" s="66"/>
      <c r="AD11" s="470"/>
      <c r="AE11" s="6"/>
      <c r="AF11" s="6"/>
      <c r="AG11" s="508"/>
      <c r="AH11" s="509"/>
      <c r="AI11" s="6"/>
      <c r="AJ11" s="515"/>
      <c r="AK11" s="508"/>
      <c r="AM11" s="470"/>
      <c r="AN11" s="6"/>
      <c r="AO11" s="6"/>
      <c r="AP11" s="47"/>
      <c r="AQ11" s="508"/>
      <c r="AR11" s="509"/>
      <c r="AS11" s="6"/>
      <c r="AT11" s="6"/>
      <c r="AU11" s="47"/>
      <c r="AV11" s="526"/>
    </row>
    <row r="12" spans="1:48" ht="55.2" customHeight="1" x14ac:dyDescent="0.35">
      <c r="A12" s="1477"/>
      <c r="B12" s="472">
        <v>2</v>
      </c>
      <c r="C12" s="493"/>
      <c r="D12" s="494"/>
      <c r="E12" s="494"/>
      <c r="F12" s="495"/>
      <c r="G12" s="565"/>
      <c r="H12" s="514"/>
      <c r="I12" s="641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469"/>
      <c r="Z12" s="6"/>
      <c r="AA12" s="579"/>
      <c r="AB12" s="527"/>
      <c r="AC12" s="66"/>
      <c r="AD12" s="470"/>
      <c r="AE12" s="6"/>
      <c r="AF12" s="6"/>
      <c r="AG12" s="508"/>
      <c r="AH12" s="509"/>
      <c r="AI12" s="502"/>
      <c r="AJ12" s="502"/>
      <c r="AK12" s="527"/>
      <c r="AM12" s="470"/>
      <c r="AN12" s="6"/>
      <c r="AO12" s="6"/>
      <c r="AP12" s="47"/>
      <c r="AQ12" s="508"/>
      <c r="AR12" s="509"/>
      <c r="AS12" s="6"/>
      <c r="AT12" s="6"/>
      <c r="AU12" s="47"/>
      <c r="AV12" s="527"/>
    </row>
    <row r="13" spans="1:48" ht="34.950000000000003" customHeight="1" x14ac:dyDescent="0.35">
      <c r="A13" s="1478">
        <v>45388</v>
      </c>
      <c r="B13" s="472">
        <v>1</v>
      </c>
      <c r="C13" s="493"/>
      <c r="D13" s="494"/>
      <c r="E13" s="494"/>
      <c r="F13" s="495"/>
      <c r="G13" s="565"/>
      <c r="H13" s="514"/>
      <c r="I13" s="641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/>
      <c r="X13" s="495"/>
      <c r="Y13" s="469"/>
      <c r="Z13" s="502"/>
      <c r="AA13" s="579"/>
      <c r="AB13" s="527"/>
      <c r="AC13" s="66"/>
      <c r="AD13" s="470"/>
      <c r="AE13" s="6"/>
      <c r="AF13" s="6"/>
      <c r="AG13" s="495"/>
      <c r="AH13" s="509"/>
      <c r="AI13" s="6"/>
      <c r="AJ13" s="502"/>
      <c r="AK13" s="527"/>
      <c r="AM13" s="470"/>
      <c r="AN13" s="6"/>
      <c r="AO13" s="6"/>
      <c r="AP13" s="47"/>
      <c r="AQ13" s="495"/>
      <c r="AR13" s="509"/>
      <c r="AS13" s="6"/>
      <c r="AT13" s="6"/>
      <c r="AU13" s="47"/>
      <c r="AV13" s="527"/>
    </row>
    <row r="14" spans="1:48" ht="49.2" customHeight="1" x14ac:dyDescent="0.35">
      <c r="A14" s="1477"/>
      <c r="B14" s="472">
        <v>2</v>
      </c>
      <c r="C14" s="493"/>
      <c r="D14" s="494"/>
      <c r="E14" s="494">
        <v>42</v>
      </c>
      <c r="F14" s="495"/>
      <c r="G14" s="565"/>
      <c r="H14" s="515"/>
      <c r="I14" s="641" t="s">
        <v>191</v>
      </c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>
        <v>12</v>
      </c>
      <c r="X14" s="495"/>
      <c r="Y14" s="469"/>
      <c r="Z14" s="502"/>
      <c r="AA14" s="579" t="s">
        <v>191</v>
      </c>
      <c r="AB14" s="527"/>
      <c r="AC14" s="66"/>
      <c r="AD14" s="470"/>
      <c r="AE14" s="6"/>
      <c r="AF14" s="6">
        <v>19</v>
      </c>
      <c r="AG14" s="495"/>
      <c r="AH14" s="469"/>
      <c r="AI14" s="6"/>
      <c r="AJ14" s="579" t="s">
        <v>191</v>
      </c>
      <c r="AK14" s="527"/>
      <c r="AM14" s="470"/>
      <c r="AN14" s="6"/>
      <c r="AO14" s="6">
        <v>12</v>
      </c>
      <c r="AP14" s="47"/>
      <c r="AQ14" s="495"/>
      <c r="AR14" s="469"/>
      <c r="AS14" s="6"/>
      <c r="AT14" s="579" t="s">
        <v>191</v>
      </c>
      <c r="AU14" s="47"/>
      <c r="AV14" s="527"/>
    </row>
    <row r="15" spans="1:48" ht="48" customHeight="1" x14ac:dyDescent="0.35">
      <c r="A15" s="1478">
        <v>45389</v>
      </c>
      <c r="B15" s="472">
        <v>1</v>
      </c>
      <c r="C15" s="493"/>
      <c r="D15" s="494"/>
      <c r="E15" s="6"/>
      <c r="F15" s="495"/>
      <c r="G15" s="565"/>
      <c r="H15" s="515"/>
      <c r="I15" s="641"/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/>
      <c r="V15" s="6"/>
      <c r="W15" s="6"/>
      <c r="X15" s="495"/>
      <c r="Y15" s="566"/>
      <c r="Z15" s="515"/>
      <c r="AA15" s="579"/>
      <c r="AB15" s="527"/>
      <c r="AC15" s="66"/>
      <c r="AD15" s="470"/>
      <c r="AE15" s="6"/>
      <c r="AF15" s="66"/>
      <c r="AG15" s="495"/>
      <c r="AH15" s="566"/>
      <c r="AI15" s="515"/>
      <c r="AJ15" s="502"/>
      <c r="AK15" s="527"/>
      <c r="AM15" s="470"/>
      <c r="AN15" s="6"/>
      <c r="AO15" s="66"/>
      <c r="AP15" s="495"/>
      <c r="AQ15" s="566"/>
      <c r="AR15" s="515"/>
      <c r="AS15" s="515"/>
      <c r="AT15" s="515"/>
      <c r="AU15" s="527"/>
      <c r="AV15" s="527"/>
    </row>
    <row r="16" spans="1:48" ht="54.65" customHeight="1" x14ac:dyDescent="0.35">
      <c r="A16" s="1477"/>
      <c r="B16" s="472">
        <v>2</v>
      </c>
      <c r="C16" s="493"/>
      <c r="D16" s="494"/>
      <c r="E16" s="494"/>
      <c r="F16" s="495"/>
      <c r="G16" s="566"/>
      <c r="H16" s="638"/>
      <c r="I16" s="641"/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/>
      <c r="W16" s="6"/>
      <c r="X16" s="495"/>
      <c r="Y16" s="565"/>
      <c r="Z16" s="638"/>
      <c r="AA16" s="641"/>
      <c r="AB16" s="527"/>
      <c r="AC16" s="66"/>
      <c r="AD16" s="470"/>
      <c r="AE16" s="6"/>
      <c r="AF16" s="6"/>
      <c r="AG16" s="495"/>
      <c r="AH16" s="566"/>
      <c r="AI16" s="638"/>
      <c r="AJ16" s="502"/>
      <c r="AK16" s="527"/>
      <c r="AM16" s="470"/>
      <c r="AN16" s="6"/>
      <c r="AO16" s="6"/>
      <c r="AP16" s="495"/>
      <c r="AQ16" s="565"/>
      <c r="AR16" s="638"/>
      <c r="AS16" s="515"/>
      <c r="AT16" s="515"/>
      <c r="AU16" s="573"/>
      <c r="AV16" s="527"/>
    </row>
    <row r="17" spans="1:48" ht="66" customHeight="1" x14ac:dyDescent="0.35">
      <c r="A17" s="1478">
        <v>45390</v>
      </c>
      <c r="B17" s="534">
        <v>1</v>
      </c>
      <c r="C17" s="493"/>
      <c r="D17" s="494"/>
      <c r="E17" s="494"/>
      <c r="F17" s="495"/>
      <c r="G17" s="566"/>
      <c r="H17" s="514"/>
      <c r="I17" s="641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/>
      <c r="X17" s="495"/>
      <c r="Y17" s="565"/>
      <c r="Z17" s="514"/>
      <c r="AA17" s="641"/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495"/>
      <c r="AQ17" s="566"/>
      <c r="AR17" s="514"/>
      <c r="AS17" s="515"/>
      <c r="AT17" s="579"/>
      <c r="AU17" s="527"/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638"/>
      <c r="I18" s="641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494"/>
      <c r="X18" s="495"/>
      <c r="Y18" s="565"/>
      <c r="Z18" s="515"/>
      <c r="AA18" s="641"/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/>
      <c r="AP18" s="47"/>
      <c r="AQ18" s="495"/>
      <c r="AR18" s="565"/>
      <c r="AS18" s="515"/>
      <c r="AT18" s="579"/>
      <c r="AU18" s="638"/>
      <c r="AV18" s="527"/>
    </row>
    <row r="19" spans="1:48" ht="33.65" customHeight="1" x14ac:dyDescent="0.35">
      <c r="A19" s="1478">
        <v>45391</v>
      </c>
      <c r="B19" s="472">
        <v>1</v>
      </c>
      <c r="C19" s="66"/>
      <c r="D19" s="494"/>
      <c r="E19" s="494"/>
      <c r="F19" s="495"/>
      <c r="G19" s="465"/>
      <c r="H19" s="6"/>
      <c r="I19" s="641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641"/>
      <c r="AB19" s="527"/>
      <c r="AC19" s="66"/>
      <c r="AD19" s="470"/>
      <c r="AE19" s="6"/>
      <c r="AF19" s="6"/>
      <c r="AG19" s="495"/>
      <c r="AH19" s="470"/>
      <c r="AI19" s="6"/>
      <c r="AJ19" s="579"/>
      <c r="AK19" s="527"/>
      <c r="AM19" s="470"/>
      <c r="AN19" s="6"/>
      <c r="AO19" s="6"/>
      <c r="AP19" s="47"/>
      <c r="AQ19" s="495"/>
      <c r="AR19" s="470"/>
      <c r="AS19" s="6"/>
      <c r="AT19" s="515"/>
      <c r="AU19" s="636"/>
      <c r="AV19" s="527"/>
    </row>
    <row r="20" spans="1:48" ht="31.2" customHeight="1" x14ac:dyDescent="0.35">
      <c r="A20" s="1477"/>
      <c r="B20" s="472">
        <v>2</v>
      </c>
      <c r="C20" s="493"/>
      <c r="D20" s="494"/>
      <c r="E20" s="494"/>
      <c r="F20" s="495"/>
      <c r="G20" s="465"/>
      <c r="H20" s="663"/>
      <c r="I20" s="641"/>
      <c r="J20" s="527"/>
      <c r="K20" s="66"/>
      <c r="L20" s="470"/>
      <c r="M20" s="6"/>
      <c r="N20" s="6"/>
      <c r="O20" s="495"/>
      <c r="P20" s="470"/>
      <c r="Q20" s="6"/>
      <c r="R20" s="605"/>
      <c r="S20" s="527"/>
      <c r="T20" s="66"/>
      <c r="U20" s="470"/>
      <c r="V20" s="6"/>
      <c r="W20" s="6"/>
      <c r="X20" s="495"/>
      <c r="Y20" s="470"/>
      <c r="Z20" s="502"/>
      <c r="AA20" s="579"/>
      <c r="AB20" s="527"/>
      <c r="AC20" s="66"/>
      <c r="AD20" s="470">
        <v>17</v>
      </c>
      <c r="AE20" s="6"/>
      <c r="AF20" s="6"/>
      <c r="AG20" s="495"/>
      <c r="AH20" s="470" t="s">
        <v>897</v>
      </c>
      <c r="AI20" s="502"/>
      <c r="AJ20" s="579"/>
      <c r="AK20" s="527"/>
      <c r="AM20" s="470"/>
      <c r="AN20" s="6"/>
      <c r="AO20" s="6"/>
      <c r="AP20" s="47"/>
      <c r="AQ20" s="495"/>
      <c r="AR20" s="470"/>
      <c r="AS20" s="502"/>
      <c r="AT20" s="502"/>
      <c r="AU20" s="645"/>
      <c r="AV20" s="527"/>
    </row>
    <row r="21" spans="1:48" ht="39.65" customHeight="1" x14ac:dyDescent="0.35">
      <c r="A21" s="1478">
        <v>45392</v>
      </c>
      <c r="B21" s="472">
        <v>1</v>
      </c>
      <c r="C21" s="493"/>
      <c r="D21" s="494"/>
      <c r="E21" s="494"/>
      <c r="F21" s="495"/>
      <c r="G21" s="569"/>
      <c r="H21" s="514"/>
      <c r="I21" s="641"/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65"/>
      <c r="Z21" s="6"/>
      <c r="AA21" s="641"/>
      <c r="AB21" s="527"/>
      <c r="AC21" s="66"/>
      <c r="AD21" s="470"/>
      <c r="AE21" s="6"/>
      <c r="AF21" s="6"/>
      <c r="AG21" s="495"/>
      <c r="AH21" s="470"/>
      <c r="AI21" s="6"/>
      <c r="AJ21" s="641"/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49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641"/>
      <c r="J22" s="527"/>
      <c r="K22" s="66"/>
      <c r="L22" s="470"/>
      <c r="M22" s="6"/>
      <c r="N22" s="6"/>
      <c r="O22" s="495"/>
      <c r="P22" s="469"/>
      <c r="Q22" s="515"/>
      <c r="R22" s="6"/>
      <c r="S22" s="527"/>
      <c r="T22" s="66"/>
      <c r="U22" s="470"/>
      <c r="V22" s="6"/>
      <c r="W22" s="6">
        <v>10</v>
      </c>
      <c r="X22" s="495"/>
      <c r="Y22" s="465"/>
      <c r="Z22" s="515"/>
      <c r="AA22" s="579" t="s">
        <v>152</v>
      </c>
      <c r="AB22" s="527"/>
      <c r="AC22" s="66"/>
      <c r="AD22" s="470"/>
      <c r="AE22" s="6"/>
      <c r="AF22" s="6"/>
      <c r="AG22" s="495"/>
      <c r="AH22" s="470"/>
      <c r="AI22" s="6"/>
      <c r="AJ22" s="579"/>
      <c r="AK22" s="527"/>
      <c r="AM22" s="470"/>
      <c r="AN22" s="6"/>
      <c r="AO22" s="6"/>
      <c r="AP22" s="47"/>
      <c r="AQ22" s="495"/>
      <c r="AR22" s="470"/>
      <c r="AS22" s="515"/>
      <c r="AT22" s="47"/>
      <c r="AU22" s="527"/>
      <c r="AV22" s="527"/>
    </row>
    <row r="23" spans="1:48" ht="47.5" customHeight="1" x14ac:dyDescent="0.35">
      <c r="A23" s="1478">
        <v>45393</v>
      </c>
      <c r="B23" s="534">
        <v>1</v>
      </c>
      <c r="C23" s="493"/>
      <c r="D23" s="494"/>
      <c r="E23" s="494"/>
      <c r="F23" s="495"/>
      <c r="G23" s="566"/>
      <c r="H23" s="514"/>
      <c r="I23" s="641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465"/>
      <c r="Z23" s="515"/>
      <c r="AA23" s="641"/>
      <c r="AB23" s="527"/>
      <c r="AC23" s="66"/>
      <c r="AD23" s="470">
        <v>15</v>
      </c>
      <c r="AE23" s="6"/>
      <c r="AF23" s="509"/>
      <c r="AG23" s="495"/>
      <c r="AH23" s="470" t="s">
        <v>848</v>
      </c>
      <c r="AI23" s="514"/>
      <c r="AJ23" s="515"/>
      <c r="AK23" s="527"/>
      <c r="AM23" s="470"/>
      <c r="AN23" s="6"/>
      <c r="AO23" s="6"/>
      <c r="AP23" s="47"/>
      <c r="AQ23" s="495"/>
      <c r="AR23" s="6"/>
      <c r="AS23" s="514"/>
      <c r="AT23" s="573"/>
      <c r="AU23" s="527"/>
      <c r="AV23" s="527"/>
    </row>
    <row r="24" spans="1:48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5"/>
      <c r="I24" s="641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>
        <v>10</v>
      </c>
      <c r="X24" s="495"/>
      <c r="Y24" s="566"/>
      <c r="Z24" s="514"/>
      <c r="AA24" s="641" t="s">
        <v>842</v>
      </c>
      <c r="AB24" s="527"/>
      <c r="AC24" s="66"/>
      <c r="AD24" s="470"/>
      <c r="AE24" s="6"/>
      <c r="AF24" s="509"/>
      <c r="AG24" s="495"/>
      <c r="AH24" s="470"/>
      <c r="AI24" s="514"/>
      <c r="AJ24" s="515"/>
      <c r="AK24" s="527"/>
      <c r="AM24" s="470"/>
      <c r="AN24" s="6"/>
      <c r="AO24" s="6"/>
      <c r="AP24" s="495"/>
      <c r="AQ24" s="566"/>
      <c r="AR24" s="514"/>
      <c r="AS24" s="514"/>
      <c r="AT24" s="527"/>
      <c r="AU24" s="527"/>
      <c r="AV24" s="527"/>
    </row>
    <row r="25" spans="1:48" ht="53.5" customHeight="1" x14ac:dyDescent="0.35">
      <c r="A25" s="1478">
        <v>45394</v>
      </c>
      <c r="B25" s="472">
        <v>1</v>
      </c>
      <c r="C25" s="493"/>
      <c r="D25" s="494"/>
      <c r="E25" s="494"/>
      <c r="F25" s="495"/>
      <c r="G25" s="566"/>
      <c r="H25" s="514"/>
      <c r="I25" s="641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65"/>
      <c r="Z25" s="502"/>
      <c r="AA25" s="579"/>
      <c r="AB25" s="527"/>
      <c r="AC25" s="66"/>
      <c r="AD25" s="470"/>
      <c r="AE25" s="6"/>
      <c r="AF25" s="6"/>
      <c r="AG25" s="495"/>
      <c r="AH25" s="6"/>
      <c r="AI25" s="502"/>
      <c r="AJ25" s="515"/>
      <c r="AK25" s="607"/>
      <c r="AM25" s="470"/>
      <c r="AN25" s="6"/>
      <c r="AO25" s="6"/>
      <c r="AP25" s="47"/>
      <c r="AQ25" s="495"/>
      <c r="AR25" s="6"/>
      <c r="AS25" s="6"/>
      <c r="AT25" s="47"/>
      <c r="AU25" s="47"/>
      <c r="AV25" s="527"/>
    </row>
    <row r="26" spans="1:48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641"/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/>
      <c r="V26" s="494"/>
      <c r="W26" s="6"/>
      <c r="X26" s="495"/>
      <c r="Y26" s="566"/>
      <c r="Z26" s="515"/>
      <c r="AA26" s="579"/>
      <c r="AB26" s="527"/>
      <c r="AC26" s="66"/>
      <c r="AD26" s="470"/>
      <c r="AE26" s="494"/>
      <c r="AF26" s="6"/>
      <c r="AG26" s="495"/>
      <c r="AH26" s="566"/>
      <c r="AI26" s="515"/>
      <c r="AJ26" s="573"/>
      <c r="AK26" s="527"/>
      <c r="AM26" s="470"/>
      <c r="AN26" s="494"/>
      <c r="AO26" s="6"/>
      <c r="AP26" s="651"/>
      <c r="AQ26" s="495"/>
      <c r="AR26" s="566"/>
      <c r="AS26" s="515"/>
      <c r="AT26" s="573"/>
      <c r="AU26" s="527"/>
      <c r="AV26" s="527"/>
    </row>
    <row r="27" spans="1:48" ht="49.95" customHeight="1" x14ac:dyDescent="0.35">
      <c r="A27" s="1478">
        <v>45395</v>
      </c>
      <c r="B27" s="534">
        <v>1</v>
      </c>
      <c r="C27" s="493"/>
      <c r="D27" s="494"/>
      <c r="E27" s="494">
        <v>5</v>
      </c>
      <c r="F27" s="495"/>
      <c r="G27" s="566"/>
      <c r="H27" s="514"/>
      <c r="I27" s="573" t="s">
        <v>152</v>
      </c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>
        <v>18</v>
      </c>
      <c r="X27" s="495"/>
      <c r="Y27" s="566"/>
      <c r="Z27" s="515"/>
      <c r="AA27" s="579" t="s">
        <v>152</v>
      </c>
      <c r="AB27" s="527"/>
      <c r="AC27" s="66"/>
      <c r="AD27" s="470"/>
      <c r="AE27" s="6"/>
      <c r="AF27" s="6"/>
      <c r="AG27" s="495"/>
      <c r="AH27" s="566"/>
      <c r="AI27" s="6"/>
      <c r="AJ27" s="515"/>
      <c r="AK27" s="527"/>
      <c r="AM27" s="470"/>
      <c r="AN27" s="6"/>
      <c r="AO27" s="6"/>
      <c r="AP27" s="47"/>
      <c r="AQ27" s="495"/>
      <c r="AR27" s="502"/>
      <c r="AS27" s="6"/>
      <c r="AT27" s="573"/>
      <c r="AU27" s="527"/>
      <c r="AV27" s="527"/>
    </row>
    <row r="28" spans="1:48" ht="72" customHeight="1" x14ac:dyDescent="0.35">
      <c r="A28" s="1477"/>
      <c r="B28" s="472">
        <v>2</v>
      </c>
      <c r="C28" s="493"/>
      <c r="D28" s="494"/>
      <c r="E28" s="494">
        <v>17</v>
      </c>
      <c r="F28" s="495"/>
      <c r="G28" s="515"/>
      <c r="H28" s="515"/>
      <c r="I28" s="573" t="s">
        <v>152</v>
      </c>
      <c r="J28" s="527"/>
      <c r="K28" s="66"/>
      <c r="L28" s="470">
        <v>37</v>
      </c>
      <c r="M28" s="6"/>
      <c r="N28" s="6"/>
      <c r="O28" s="495"/>
      <c r="P28" s="515" t="s">
        <v>898</v>
      </c>
      <c r="Q28" s="515"/>
      <c r="R28" s="515"/>
      <c r="S28" s="527"/>
      <c r="T28" s="66"/>
      <c r="U28" s="470"/>
      <c r="V28" s="6"/>
      <c r="W28" s="66"/>
      <c r="X28" s="495"/>
      <c r="Y28" s="515"/>
      <c r="Z28" s="6"/>
      <c r="AA28" s="579"/>
      <c r="AB28" s="527"/>
      <c r="AC28" s="66"/>
      <c r="AD28" s="470"/>
      <c r="AE28" s="6">
        <v>60</v>
      </c>
      <c r="AF28" s="6"/>
      <c r="AG28" s="495"/>
      <c r="AH28" s="566"/>
      <c r="AI28" s="502" t="s">
        <v>899</v>
      </c>
      <c r="AJ28" s="573"/>
      <c r="AK28" s="527"/>
      <c r="AM28" s="470"/>
      <c r="AN28" s="6"/>
      <c r="AO28" s="6"/>
      <c r="AP28" s="47"/>
      <c r="AQ28" s="495"/>
      <c r="AR28" s="502"/>
      <c r="AS28" s="6"/>
      <c r="AT28" s="573"/>
      <c r="AU28" s="527"/>
      <c r="AV28" s="526"/>
    </row>
    <row r="29" spans="1:48" ht="66" customHeight="1" x14ac:dyDescent="0.35">
      <c r="A29" s="1478">
        <v>45396</v>
      </c>
      <c r="B29" s="472">
        <v>1</v>
      </c>
      <c r="C29" s="493"/>
      <c r="D29" s="494"/>
      <c r="E29" s="494"/>
      <c r="F29" s="495"/>
      <c r="G29" s="515"/>
      <c r="H29" s="514"/>
      <c r="I29" s="573"/>
      <c r="J29" s="527"/>
      <c r="K29" s="66"/>
      <c r="L29" s="470"/>
      <c r="M29" s="6"/>
      <c r="N29" s="6"/>
      <c r="O29" s="495"/>
      <c r="P29" s="566"/>
      <c r="Q29" s="515"/>
      <c r="R29" s="515"/>
      <c r="S29" s="527"/>
      <c r="T29" s="66"/>
      <c r="U29" s="470"/>
      <c r="V29" s="6"/>
      <c r="W29" s="6"/>
      <c r="X29" s="495"/>
      <c r="Y29" s="515"/>
      <c r="Z29" s="514"/>
      <c r="AA29" s="579"/>
      <c r="AB29" s="527"/>
      <c r="AC29" s="66"/>
      <c r="AD29" s="470"/>
      <c r="AE29" s="6"/>
      <c r="AF29" s="6"/>
      <c r="AG29" s="495"/>
      <c r="AH29" s="566"/>
      <c r="AI29" s="514"/>
      <c r="AJ29" s="515"/>
      <c r="AK29" s="527"/>
      <c r="AM29" s="470"/>
      <c r="AN29" s="6"/>
      <c r="AO29" s="6"/>
      <c r="AP29" s="47"/>
      <c r="AQ29" s="495"/>
      <c r="AR29" s="502"/>
      <c r="AS29" s="514"/>
      <c r="AT29" s="515"/>
      <c r="AU29" s="527"/>
      <c r="AV29" s="508"/>
    </row>
    <row r="30" spans="1:48" ht="39.65" customHeight="1" x14ac:dyDescent="0.35">
      <c r="A30" s="1477"/>
      <c r="B30" s="534">
        <v>2</v>
      </c>
      <c r="C30" s="493"/>
      <c r="D30" s="494"/>
      <c r="E30" s="494">
        <v>12</v>
      </c>
      <c r="F30" s="495"/>
      <c r="G30" s="515"/>
      <c r="H30" s="514"/>
      <c r="I30" s="573" t="s">
        <v>152</v>
      </c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>
        <v>54</v>
      </c>
      <c r="X30" s="495"/>
      <c r="Y30" s="515"/>
      <c r="Z30" s="514"/>
      <c r="AA30" s="579" t="s">
        <v>152</v>
      </c>
      <c r="AB30" s="527"/>
      <c r="AC30" s="66"/>
      <c r="AD30" s="470"/>
      <c r="AE30" s="6"/>
      <c r="AF30" s="6"/>
      <c r="AG30" s="495"/>
      <c r="AH30" s="566"/>
      <c r="AI30" s="515"/>
      <c r="AJ30" s="515"/>
      <c r="AK30" s="527"/>
      <c r="AM30" s="470"/>
      <c r="AN30" s="6"/>
      <c r="AO30" s="6"/>
      <c r="AP30" s="47"/>
      <c r="AQ30" s="495"/>
      <c r="AR30" s="469"/>
      <c r="AS30" s="502"/>
      <c r="AT30" s="636"/>
      <c r="AU30" s="527"/>
      <c r="AV30" s="508"/>
    </row>
    <row r="31" spans="1:48" ht="39.65" customHeight="1" x14ac:dyDescent="0.35">
      <c r="A31" s="1478">
        <v>45397</v>
      </c>
      <c r="B31" s="472">
        <v>1</v>
      </c>
      <c r="C31" s="493"/>
      <c r="D31" s="494"/>
      <c r="E31" s="494"/>
      <c r="F31" s="495"/>
      <c r="G31" s="566"/>
      <c r="H31" s="515"/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>
        <v>68</v>
      </c>
      <c r="W31" s="6"/>
      <c r="X31" s="495"/>
      <c r="Y31" s="469"/>
      <c r="Z31" s="6" t="s">
        <v>317</v>
      </c>
      <c r="AA31" s="579"/>
      <c r="AB31" s="527"/>
      <c r="AC31" s="66"/>
      <c r="AD31" s="470"/>
      <c r="AE31" s="6"/>
      <c r="AF31" s="6"/>
      <c r="AG31" s="495"/>
      <c r="AH31" s="566"/>
      <c r="AI31" s="6"/>
      <c r="AJ31" s="6"/>
      <c r="AK31" s="527"/>
      <c r="AM31" s="470"/>
      <c r="AN31" s="6"/>
      <c r="AO31" s="6"/>
      <c r="AP31" s="47"/>
      <c r="AQ31" s="495"/>
      <c r="AR31" s="509"/>
      <c r="AS31" s="6"/>
      <c r="AT31" s="6"/>
      <c r="AU31" s="527"/>
      <c r="AV31" s="527"/>
    </row>
    <row r="32" spans="1:48" ht="63" customHeight="1" x14ac:dyDescent="0.35">
      <c r="A32" s="1477"/>
      <c r="B32" s="472">
        <v>2</v>
      </c>
      <c r="C32" s="493"/>
      <c r="D32" s="494"/>
      <c r="E32" s="494">
        <v>10</v>
      </c>
      <c r="F32" s="495"/>
      <c r="G32" s="566"/>
      <c r="H32" s="565"/>
      <c r="I32" s="573" t="s">
        <v>152</v>
      </c>
      <c r="J32" s="527"/>
      <c r="K32" s="66"/>
      <c r="L32" s="470"/>
      <c r="M32" s="6"/>
      <c r="N32" s="6"/>
      <c r="O32" s="495"/>
      <c r="P32" s="509"/>
      <c r="Q32" s="6"/>
      <c r="R32" s="6"/>
      <c r="S32" s="527"/>
      <c r="T32" s="66"/>
      <c r="U32" s="470"/>
      <c r="V32" s="6"/>
      <c r="W32" s="494"/>
      <c r="X32" s="495"/>
      <c r="Y32" s="566"/>
      <c r="Z32" s="566"/>
      <c r="AA32" s="579"/>
      <c r="AB32" s="527"/>
      <c r="AC32" s="66"/>
      <c r="AD32" s="470"/>
      <c r="AE32" s="6"/>
      <c r="AF32" s="494"/>
      <c r="AG32" s="495"/>
      <c r="AH32" s="566"/>
      <c r="AI32" s="566"/>
      <c r="AJ32" s="579"/>
      <c r="AK32" s="527"/>
      <c r="AM32" s="470"/>
      <c r="AN32" s="6"/>
      <c r="AO32" s="6"/>
      <c r="AP32" s="47"/>
      <c r="AQ32" s="495"/>
      <c r="AR32" s="509"/>
      <c r="AS32" s="502"/>
      <c r="AT32" s="565"/>
      <c r="AU32" s="527"/>
      <c r="AV32" s="508"/>
    </row>
    <row r="33" spans="1:48" ht="43.2" customHeight="1" x14ac:dyDescent="0.35">
      <c r="A33" s="1478">
        <v>45398</v>
      </c>
      <c r="B33" s="472">
        <v>1</v>
      </c>
      <c r="C33" s="493"/>
      <c r="D33" s="494"/>
      <c r="E33" s="494"/>
      <c r="F33" s="495"/>
      <c r="G33" s="566"/>
      <c r="H33" s="515"/>
      <c r="I33" s="579"/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/>
      <c r="X33" s="495"/>
      <c r="Y33" s="509"/>
      <c r="Z33" s="6"/>
      <c r="AA33" s="579"/>
      <c r="AB33" s="527"/>
      <c r="AC33" s="66"/>
      <c r="AD33" s="470"/>
      <c r="AE33" s="6"/>
      <c r="AF33" s="6"/>
      <c r="AG33" s="495"/>
      <c r="AH33" s="509"/>
      <c r="AI33" s="502"/>
      <c r="AJ33" s="579"/>
      <c r="AK33" s="527"/>
      <c r="AM33" s="470"/>
      <c r="AN33" s="6"/>
      <c r="AO33" s="6"/>
      <c r="AP33" s="47"/>
      <c r="AQ33" s="495"/>
      <c r="AR33" s="509"/>
      <c r="AS33" s="502"/>
      <c r="AT33" s="6"/>
      <c r="AU33" s="527"/>
      <c r="AV33" s="508"/>
    </row>
    <row r="34" spans="1:48" ht="67.95" customHeight="1" x14ac:dyDescent="0.35">
      <c r="A34" s="1477"/>
      <c r="B34" s="534">
        <v>2</v>
      </c>
      <c r="C34" s="494"/>
      <c r="D34" s="494"/>
      <c r="E34" s="494"/>
      <c r="F34" s="637"/>
      <c r="G34" s="565"/>
      <c r="H34" s="515"/>
      <c r="I34" s="579"/>
      <c r="J34" s="527"/>
      <c r="K34" s="66"/>
      <c r="L34" s="470"/>
      <c r="M34" s="6">
        <v>112</v>
      </c>
      <c r="N34" s="6"/>
      <c r="O34" s="508"/>
      <c r="P34" s="509"/>
      <c r="Q34" s="515" t="s">
        <v>900</v>
      </c>
      <c r="R34" s="6"/>
      <c r="S34" s="527"/>
      <c r="T34" s="66"/>
      <c r="U34" s="470"/>
      <c r="V34" s="6"/>
      <c r="W34" s="6"/>
      <c r="X34" s="508"/>
      <c r="Y34" s="502"/>
      <c r="Z34" s="502"/>
      <c r="AA34" s="579"/>
      <c r="AB34" s="527"/>
      <c r="AC34" s="66"/>
      <c r="AD34" s="470"/>
      <c r="AE34" s="6"/>
      <c r="AF34" s="6"/>
      <c r="AG34" s="508"/>
      <c r="AH34" s="509"/>
      <c r="AI34" s="6"/>
      <c r="AJ34" s="502"/>
      <c r="AK34" s="527"/>
      <c r="AM34" s="470"/>
      <c r="AN34" s="6"/>
      <c r="AO34" s="6"/>
      <c r="AP34" s="47"/>
      <c r="AQ34" s="508"/>
      <c r="AR34" s="509"/>
      <c r="AS34" s="6"/>
      <c r="AT34" s="636"/>
      <c r="AU34" s="527"/>
      <c r="AV34" s="508"/>
    </row>
    <row r="35" spans="1:48" ht="51" customHeight="1" x14ac:dyDescent="0.35">
      <c r="A35" s="1478">
        <v>45399</v>
      </c>
      <c r="B35" s="472">
        <v>1</v>
      </c>
      <c r="C35" s="494"/>
      <c r="D35" s="494"/>
      <c r="E35" s="47">
        <v>15</v>
      </c>
      <c r="F35" s="636"/>
      <c r="G35" s="465"/>
      <c r="H35" s="509"/>
      <c r="I35" s="573" t="s">
        <v>328</v>
      </c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/>
      <c r="X35" s="526"/>
      <c r="Y35" s="465"/>
      <c r="Z35" s="6"/>
      <c r="AA35" s="579"/>
      <c r="AB35" s="508"/>
      <c r="AC35" s="66"/>
      <c r="AD35" s="470"/>
      <c r="AE35" s="6"/>
      <c r="AF35" s="6"/>
      <c r="AG35" s="469"/>
      <c r="AH35" s="465"/>
      <c r="AI35" s="6"/>
      <c r="AJ35" s="565"/>
      <c r="AK35" s="508"/>
      <c r="AM35" s="470"/>
      <c r="AN35" s="6"/>
      <c r="AO35" s="47"/>
      <c r="AP35" s="47"/>
      <c r="AQ35" s="526"/>
      <c r="AR35" s="465"/>
      <c r="AS35" s="573"/>
      <c r="AT35" s="636"/>
      <c r="AU35" s="636"/>
      <c r="AV35" s="508"/>
    </row>
    <row r="36" spans="1:48" ht="46.95" customHeight="1" x14ac:dyDescent="0.35">
      <c r="A36" s="1477"/>
      <c r="B36" s="472">
        <v>2</v>
      </c>
      <c r="C36" s="47"/>
      <c r="D36" s="6"/>
      <c r="E36" s="47"/>
      <c r="F36" s="636"/>
      <c r="G36" s="573"/>
      <c r="H36" s="515"/>
      <c r="I36" s="641"/>
      <c r="J36" s="527"/>
      <c r="K36" s="66"/>
      <c r="L36" s="465"/>
      <c r="M36" s="6"/>
      <c r="N36" s="6"/>
      <c r="O36" s="469"/>
      <c r="P36" s="465"/>
      <c r="Q36" s="515"/>
      <c r="R36" s="502"/>
      <c r="S36" s="527"/>
      <c r="T36" s="66"/>
      <c r="U36" s="470"/>
      <c r="V36" s="6"/>
      <c r="W36" s="6"/>
      <c r="X36" s="469"/>
      <c r="Y36" s="465"/>
      <c r="Z36" s="515"/>
      <c r="AA36" s="579"/>
      <c r="AB36" s="508"/>
      <c r="AC36" s="66"/>
      <c r="AD36" s="470"/>
      <c r="AE36" s="6">
        <f>178+24</f>
        <v>202</v>
      </c>
      <c r="AF36" s="47"/>
      <c r="AG36" s="526"/>
      <c r="AH36" s="465"/>
      <c r="AI36" s="502" t="s">
        <v>901</v>
      </c>
      <c r="AJ36" s="579"/>
      <c r="AK36" s="508"/>
      <c r="AM36" s="470"/>
      <c r="AN36" s="6"/>
      <c r="AO36" s="470">
        <v>145</v>
      </c>
      <c r="AP36" s="6"/>
      <c r="AQ36" s="6"/>
      <c r="AR36" s="509"/>
      <c r="AS36" s="469"/>
      <c r="AT36" s="465" t="s">
        <v>521</v>
      </c>
      <c r="AU36" s="636"/>
      <c r="AV36" s="508"/>
    </row>
    <row r="37" spans="1:48" ht="59.5" customHeight="1" x14ac:dyDescent="0.35">
      <c r="A37" s="1478">
        <v>45400</v>
      </c>
      <c r="B37" s="534">
        <v>1</v>
      </c>
      <c r="C37" s="47"/>
      <c r="D37" s="494"/>
      <c r="E37" s="47"/>
      <c r="F37" s="47"/>
      <c r="G37" s="573"/>
      <c r="H37" s="469"/>
      <c r="I37" s="641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>
        <v>18</v>
      </c>
      <c r="W37" s="6"/>
      <c r="X37" s="508"/>
      <c r="Y37" s="509"/>
      <c r="Z37" s="502" t="s">
        <v>317</v>
      </c>
      <c r="AA37" s="579"/>
      <c r="AB37" s="527"/>
      <c r="AC37" s="66"/>
      <c r="AD37" s="470"/>
      <c r="AE37" s="6"/>
      <c r="AF37" s="6"/>
      <c r="AG37" s="508"/>
      <c r="AH37" s="469"/>
      <c r="AI37" s="6"/>
      <c r="AJ37" s="579"/>
      <c r="AK37" s="508"/>
      <c r="AM37" s="470"/>
      <c r="AN37" s="6"/>
      <c r="AO37" s="6"/>
      <c r="AP37" s="47"/>
      <c r="AQ37" s="508"/>
      <c r="AR37" s="509"/>
      <c r="AS37" s="6"/>
      <c r="AT37" s="6"/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/>
      <c r="E38" s="47"/>
      <c r="F38" s="637"/>
      <c r="G38" s="573"/>
      <c r="H38" s="469"/>
      <c r="I38" s="641"/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>
        <v>73</v>
      </c>
      <c r="V38" s="6"/>
      <c r="W38" s="6"/>
      <c r="X38" s="508"/>
      <c r="Y38" s="469" t="s">
        <v>902</v>
      </c>
      <c r="Z38" s="502"/>
      <c r="AA38" s="579"/>
      <c r="AB38" s="527"/>
      <c r="AC38" s="66"/>
      <c r="AD38" s="470"/>
      <c r="AE38" s="6"/>
      <c r="AF38" s="6"/>
      <c r="AG38" s="508"/>
      <c r="AH38" s="469"/>
      <c r="AI38" s="6"/>
      <c r="AJ38" s="579"/>
      <c r="AK38" s="527"/>
      <c r="AM38" s="470"/>
      <c r="AN38" s="6"/>
      <c r="AO38" s="6">
        <v>24</v>
      </c>
      <c r="AP38" s="47"/>
      <c r="AQ38" s="508"/>
      <c r="AR38" s="469"/>
      <c r="AS38" s="6"/>
      <c r="AT38" s="465" t="s">
        <v>521</v>
      </c>
      <c r="AU38" s="636"/>
      <c r="AV38" s="527"/>
    </row>
    <row r="39" spans="1:48" ht="70.95" customHeight="1" x14ac:dyDescent="0.35">
      <c r="A39" s="1478">
        <v>45401</v>
      </c>
      <c r="B39" s="472">
        <v>1</v>
      </c>
      <c r="C39" s="47"/>
      <c r="D39" s="494"/>
      <c r="E39" s="47"/>
      <c r="F39" s="637"/>
      <c r="G39" s="573"/>
      <c r="H39" s="469"/>
      <c r="I39" s="641"/>
      <c r="J39" s="527"/>
      <c r="K39" s="66"/>
      <c r="L39" s="470"/>
      <c r="M39" s="6"/>
      <c r="N39" s="6"/>
      <c r="O39" s="495"/>
      <c r="P39" s="573"/>
      <c r="Q39" s="514"/>
      <c r="R39" s="573"/>
      <c r="S39" s="527"/>
      <c r="T39" s="66"/>
      <c r="U39" s="470"/>
      <c r="V39" s="6"/>
      <c r="W39" s="6">
        <v>18</v>
      </c>
      <c r="X39" s="495"/>
      <c r="Y39" s="509"/>
      <c r="Z39" s="514"/>
      <c r="AA39" s="579" t="s">
        <v>152</v>
      </c>
      <c r="AB39" s="527"/>
      <c r="AC39" s="66"/>
      <c r="AD39" s="470"/>
      <c r="AE39" s="6"/>
      <c r="AF39" s="6"/>
      <c r="AG39" s="495"/>
      <c r="AH39" s="573"/>
      <c r="AI39" s="514"/>
      <c r="AJ39" s="573"/>
      <c r="AK39" s="527"/>
      <c r="AM39" s="470"/>
      <c r="AN39" s="6"/>
      <c r="AO39" s="6"/>
      <c r="AP39" s="495"/>
      <c r="AQ39" s="573"/>
      <c r="AR39" s="514"/>
      <c r="AS39" s="573"/>
      <c r="AT39" s="527"/>
      <c r="AU39" s="527"/>
      <c r="AV39" s="568"/>
    </row>
    <row r="40" spans="1:48" ht="72.650000000000006" customHeight="1" x14ac:dyDescent="0.35">
      <c r="A40" s="1477"/>
      <c r="B40" s="472">
        <v>2</v>
      </c>
      <c r="C40" s="494"/>
      <c r="D40" s="494"/>
      <c r="E40" s="494"/>
      <c r="F40" s="508"/>
      <c r="G40" s="573"/>
      <c r="H40" s="515"/>
      <c r="I40" s="515"/>
      <c r="J40" s="527"/>
      <c r="K40" s="66"/>
      <c r="L40" s="470"/>
      <c r="M40" s="6"/>
      <c r="N40" s="6"/>
      <c r="O40" s="508"/>
      <c r="P40" s="566"/>
      <c r="Q40" s="514"/>
      <c r="R40" s="573"/>
      <c r="S40" s="527"/>
      <c r="T40" s="66"/>
      <c r="U40" s="470"/>
      <c r="V40" s="6"/>
      <c r="W40" s="6"/>
      <c r="X40" s="508"/>
      <c r="Y40" s="566"/>
      <c r="Z40" s="514"/>
      <c r="AA40" s="565"/>
      <c r="AB40" s="527"/>
      <c r="AC40" s="66"/>
      <c r="AD40" s="470"/>
      <c r="AE40" s="6"/>
      <c r="AF40" s="6"/>
      <c r="AG40" s="508"/>
      <c r="AH40" s="465"/>
      <c r="AI40" s="515"/>
      <c r="AJ40" s="573"/>
      <c r="AK40" s="527"/>
      <c r="AM40" s="465"/>
      <c r="AN40" s="6"/>
      <c r="AO40" s="6"/>
      <c r="AP40" s="47"/>
      <c r="AQ40" s="508"/>
      <c r="AR40" s="566"/>
      <c r="AS40" s="514"/>
      <c r="AT40" s="573"/>
      <c r="AU40" s="527"/>
      <c r="AV40" s="527"/>
    </row>
    <row r="41" spans="1:48" ht="39.65" customHeight="1" x14ac:dyDescent="0.35">
      <c r="A41" s="1478">
        <v>45402</v>
      </c>
      <c r="B41" s="472">
        <v>1</v>
      </c>
      <c r="C41" s="493"/>
      <c r="D41" s="494"/>
      <c r="E41" s="494"/>
      <c r="F41" s="508"/>
      <c r="G41" s="566"/>
      <c r="H41" s="515"/>
      <c r="I41" s="515"/>
      <c r="J41" s="527"/>
      <c r="K41" s="66"/>
      <c r="L41" s="470"/>
      <c r="M41" s="6"/>
      <c r="N41" s="6"/>
      <c r="O41" s="508"/>
      <c r="P41" s="509"/>
      <c r="Q41" s="6"/>
      <c r="R41" s="573"/>
      <c r="S41" s="527"/>
      <c r="T41" s="66"/>
      <c r="U41" s="470"/>
      <c r="V41" s="6"/>
      <c r="W41" s="6"/>
      <c r="X41" s="508"/>
      <c r="Y41" s="509"/>
      <c r="Z41" s="502"/>
      <c r="AA41" s="579"/>
      <c r="AB41" s="508"/>
      <c r="AC41" s="66"/>
      <c r="AD41" s="470"/>
      <c r="AE41" s="6"/>
      <c r="AF41" s="6"/>
      <c r="AG41" s="508"/>
      <c r="AH41" s="465"/>
      <c r="AI41" s="502"/>
      <c r="AJ41" s="6"/>
      <c r="AK41" s="508"/>
      <c r="AM41" s="470"/>
      <c r="AN41" s="6"/>
      <c r="AO41" s="6">
        <v>27</v>
      </c>
      <c r="AP41" s="47"/>
      <c r="AQ41" s="508"/>
      <c r="AR41" s="509"/>
      <c r="AS41" s="502"/>
      <c r="AT41" s="573" t="s">
        <v>693</v>
      </c>
      <c r="AU41" s="47"/>
      <c r="AV41" s="508"/>
    </row>
    <row r="42" spans="1:48" ht="52.95" customHeight="1" x14ac:dyDescent="0.35">
      <c r="A42" s="1477"/>
      <c r="B42" s="472">
        <v>2</v>
      </c>
      <c r="C42" s="494"/>
      <c r="D42" s="494"/>
      <c r="E42" s="494"/>
      <c r="F42" s="508">
        <v>122</v>
      </c>
      <c r="G42" s="566"/>
      <c r="H42" s="515"/>
      <c r="I42" s="573"/>
      <c r="J42" s="527" t="s">
        <v>895</v>
      </c>
      <c r="K42" s="66"/>
      <c r="L42" s="470"/>
      <c r="M42" s="6"/>
      <c r="N42" s="6"/>
      <c r="O42" s="508">
        <v>89</v>
      </c>
      <c r="P42" s="509"/>
      <c r="Q42" s="6"/>
      <c r="R42" s="6"/>
      <c r="S42" s="527" t="s">
        <v>895</v>
      </c>
      <c r="T42" s="66"/>
      <c r="U42" s="470"/>
      <c r="V42" s="6"/>
      <c r="W42" s="6"/>
      <c r="X42" s="508">
        <v>92</v>
      </c>
      <c r="Y42" s="469"/>
      <c r="Z42" s="6"/>
      <c r="AA42" s="579"/>
      <c r="AB42" s="527" t="s">
        <v>895</v>
      </c>
      <c r="AC42" s="66"/>
      <c r="AD42" s="470"/>
      <c r="AE42" s="6"/>
      <c r="AF42" s="6"/>
      <c r="AG42" s="508">
        <v>110</v>
      </c>
      <c r="AH42" s="509"/>
      <c r="AI42" s="502"/>
      <c r="AJ42" s="6"/>
      <c r="AK42" s="527" t="s">
        <v>895</v>
      </c>
      <c r="AM42" s="470"/>
      <c r="AN42" s="6"/>
      <c r="AO42" s="6"/>
      <c r="AP42" s="508"/>
      <c r="AQ42" s="508">
        <v>101</v>
      </c>
      <c r="AR42" s="509"/>
      <c r="AS42" s="6"/>
      <c r="AT42" s="6"/>
      <c r="AU42" s="527"/>
      <c r="AV42" s="527" t="s">
        <v>895</v>
      </c>
    </row>
    <row r="43" spans="1:48" ht="65.5" customHeight="1" x14ac:dyDescent="0.35">
      <c r="A43" s="1478">
        <v>45403</v>
      </c>
      <c r="B43" s="472">
        <v>1</v>
      </c>
      <c r="C43" s="494"/>
      <c r="D43" s="494"/>
      <c r="E43" s="494"/>
      <c r="F43" s="495"/>
      <c r="G43" s="514"/>
      <c r="H43" s="514"/>
      <c r="I43" s="641"/>
      <c r="J43" s="527"/>
      <c r="K43" s="66"/>
      <c r="L43" s="470"/>
      <c r="M43" s="6"/>
      <c r="N43" s="6"/>
      <c r="O43" s="508"/>
      <c r="P43" s="509"/>
      <c r="Q43" s="6"/>
      <c r="R43" s="6"/>
      <c r="S43" s="527"/>
      <c r="T43" s="66"/>
      <c r="U43" s="470"/>
      <c r="V43" s="6"/>
      <c r="W43" s="6"/>
      <c r="X43" s="508"/>
      <c r="Y43" s="509"/>
      <c r="Z43" s="6"/>
      <c r="AA43" s="579"/>
      <c r="AB43" s="527"/>
      <c r="AC43" s="66"/>
      <c r="AD43" s="470"/>
      <c r="AE43" s="6"/>
      <c r="AF43" s="6"/>
      <c r="AG43" s="508"/>
      <c r="AH43" s="502"/>
      <c r="AI43" s="515"/>
      <c r="AJ43" s="6"/>
      <c r="AK43" s="527"/>
      <c r="AM43" s="470"/>
      <c r="AN43" s="6"/>
      <c r="AO43" s="6"/>
      <c r="AP43" s="47"/>
      <c r="AQ43" s="508"/>
      <c r="AR43" s="502"/>
      <c r="AS43" s="515"/>
      <c r="AT43" s="6"/>
      <c r="AU43" s="527"/>
      <c r="AV43" s="508"/>
    </row>
    <row r="44" spans="1:48" ht="69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515"/>
      <c r="I44" s="641"/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/>
      <c r="W44" s="494"/>
      <c r="X44" s="495"/>
      <c r="Y44" s="514"/>
      <c r="Z44" s="515"/>
      <c r="AA44" s="579"/>
      <c r="AB44" s="527"/>
      <c r="AC44" s="66"/>
      <c r="AD44" s="470"/>
      <c r="AE44" s="6"/>
      <c r="AF44" s="6"/>
      <c r="AG44" s="508"/>
      <c r="AH44" s="509"/>
      <c r="AI44" s="502"/>
      <c r="AJ44" s="579"/>
      <c r="AK44" s="527"/>
      <c r="AM44" s="470"/>
      <c r="AN44" s="6"/>
      <c r="AO44" s="6"/>
      <c r="AP44" s="47"/>
      <c r="AQ44" s="508"/>
      <c r="AR44" s="509"/>
      <c r="AS44" s="502"/>
      <c r="AT44" s="502"/>
      <c r="AU44" s="527"/>
      <c r="AV44" s="508"/>
    </row>
    <row r="45" spans="1:48" ht="69" customHeight="1" x14ac:dyDescent="0.35">
      <c r="A45" s="1478">
        <v>45404</v>
      </c>
      <c r="B45" s="472">
        <v>1</v>
      </c>
      <c r="C45" s="494"/>
      <c r="D45" s="494"/>
      <c r="E45" s="494">
        <v>22</v>
      </c>
      <c r="F45" s="495"/>
      <c r="G45" s="514"/>
      <c r="H45" s="514"/>
      <c r="I45" s="573" t="s">
        <v>152</v>
      </c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502"/>
      <c r="W45" s="6"/>
      <c r="X45" s="508"/>
      <c r="Y45" s="514"/>
      <c r="Z45" s="502"/>
      <c r="AA45" s="502"/>
      <c r="AB45" s="508"/>
      <c r="AC45" s="66"/>
      <c r="AD45" s="470"/>
      <c r="AE45" s="6"/>
      <c r="AF45" s="6"/>
      <c r="AG45" s="508"/>
      <c r="AH45" s="509"/>
      <c r="AI45" s="502"/>
      <c r="AJ45" s="502"/>
      <c r="AK45" s="508"/>
      <c r="AM45" s="470"/>
      <c r="AN45" s="6"/>
      <c r="AO45" s="6"/>
      <c r="AP45" s="47"/>
      <c r="AQ45" s="508"/>
      <c r="AR45" s="509"/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641"/>
      <c r="J46" s="527"/>
      <c r="K46" s="66"/>
      <c r="L46" s="470">
        <v>417</v>
      </c>
      <c r="M46" s="6"/>
      <c r="N46" s="6"/>
      <c r="O46" s="633"/>
      <c r="P46" s="509" t="s">
        <v>583</v>
      </c>
      <c r="Q46" s="515"/>
      <c r="R46" s="502"/>
      <c r="S46" s="527"/>
      <c r="T46" s="66"/>
      <c r="U46" s="470"/>
      <c r="V46" s="6"/>
      <c r="W46" s="6"/>
      <c r="X46" s="508"/>
      <c r="Y46" s="469"/>
      <c r="Z46" s="6"/>
      <c r="AA46" s="502"/>
      <c r="AB46" s="527"/>
      <c r="AC46" s="66"/>
      <c r="AD46" s="470"/>
      <c r="AE46" s="6"/>
      <c r="AF46" s="6"/>
      <c r="AG46" s="508"/>
      <c r="AH46" s="469"/>
      <c r="AI46" s="502"/>
      <c r="AJ46" s="579"/>
      <c r="AK46" s="527"/>
      <c r="AM46" s="470"/>
      <c r="AN46" s="6"/>
      <c r="AO46" s="6">
        <v>35</v>
      </c>
      <c r="AP46" s="47"/>
      <c r="AQ46" s="508"/>
      <c r="AR46" s="509"/>
      <c r="AS46" s="515"/>
      <c r="AT46" s="573" t="s">
        <v>693</v>
      </c>
      <c r="AU46" s="47"/>
      <c r="AV46" s="527"/>
    </row>
    <row r="47" spans="1:48" ht="58.95" customHeight="1" x14ac:dyDescent="0.35">
      <c r="A47" s="1478">
        <v>45405</v>
      </c>
      <c r="B47" s="472">
        <v>1</v>
      </c>
      <c r="C47" s="494"/>
      <c r="D47" s="494"/>
      <c r="E47" s="494"/>
      <c r="F47" s="495"/>
      <c r="G47" s="514"/>
      <c r="H47" s="515"/>
      <c r="I47" s="641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14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579"/>
      <c r="AK47" s="508"/>
      <c r="AM47" s="470"/>
      <c r="AN47" s="6"/>
      <c r="AO47" s="6"/>
      <c r="AP47" s="47"/>
      <c r="AQ47" s="508"/>
      <c r="AR47" s="509"/>
      <c r="AS47" s="515"/>
      <c r="AT47" s="6"/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27"/>
      <c r="K48" s="66"/>
      <c r="L48" s="470"/>
      <c r="M48" s="6">
        <v>10</v>
      </c>
      <c r="N48" s="6"/>
      <c r="O48" s="495"/>
      <c r="P48" s="515"/>
      <c r="Q48" s="515" t="s">
        <v>317</v>
      </c>
      <c r="R48" s="573"/>
      <c r="S48" s="527"/>
      <c r="T48" s="66"/>
      <c r="U48" s="470"/>
      <c r="V48" s="6"/>
      <c r="W48" s="6"/>
      <c r="X48" s="495"/>
      <c r="Y48" s="515"/>
      <c r="Z48" s="515"/>
      <c r="AA48" s="573"/>
      <c r="AB48" s="527"/>
      <c r="AC48" s="66"/>
      <c r="AD48" s="470"/>
      <c r="AE48" s="6"/>
      <c r="AF48" s="6"/>
      <c r="AG48" s="495"/>
      <c r="AH48" s="515"/>
      <c r="AI48" s="515"/>
      <c r="AJ48" s="573"/>
      <c r="AK48" s="527"/>
      <c r="AM48" s="470"/>
      <c r="AN48" s="6"/>
      <c r="AO48" s="470"/>
      <c r="AP48" s="6"/>
      <c r="AQ48" s="6"/>
      <c r="AR48" s="495"/>
      <c r="AS48" s="515"/>
      <c r="AT48" s="515"/>
      <c r="AU48" s="527"/>
      <c r="AV48" s="508"/>
    </row>
    <row r="49" spans="1:48" ht="36" customHeight="1" x14ac:dyDescent="0.35">
      <c r="A49" s="1478">
        <v>45406</v>
      </c>
      <c r="B49" s="472">
        <v>1</v>
      </c>
      <c r="C49" s="494"/>
      <c r="D49" s="494"/>
      <c r="E49" s="494"/>
      <c r="F49" s="495"/>
      <c r="G49" s="515"/>
      <c r="H49" s="514"/>
      <c r="I49" s="641"/>
      <c r="J49" s="527"/>
      <c r="K49" s="66"/>
      <c r="L49" s="470"/>
      <c r="M49" s="6"/>
      <c r="N49" s="6"/>
      <c r="O49" s="495"/>
      <c r="P49" s="515"/>
      <c r="Q49" s="514"/>
      <c r="R49" s="573"/>
      <c r="S49" s="527"/>
      <c r="T49" s="66"/>
      <c r="U49" s="470"/>
      <c r="V49" s="6"/>
      <c r="W49" s="6"/>
      <c r="X49" s="495"/>
      <c r="Y49" s="515"/>
      <c r="Z49" s="502"/>
      <c r="AA49" s="502"/>
      <c r="AB49" s="527"/>
      <c r="AC49" s="66"/>
      <c r="AD49" s="470"/>
      <c r="AE49" s="6"/>
      <c r="AF49" s="6"/>
      <c r="AG49" s="495"/>
      <c r="AH49" s="515"/>
      <c r="AI49" s="514"/>
      <c r="AJ49" s="573"/>
      <c r="AK49" s="527"/>
      <c r="AM49" s="470"/>
      <c r="AN49" s="6"/>
      <c r="AO49" s="6"/>
      <c r="AP49" s="495"/>
      <c r="AQ49" s="515"/>
      <c r="AR49" s="514"/>
      <c r="AS49" s="573"/>
      <c r="AT49" s="527"/>
      <c r="AU49" s="527"/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/>
      <c r="X50" s="495"/>
      <c r="Y50" s="514"/>
      <c r="Z50" s="514"/>
      <c r="AA50" s="579"/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495"/>
      <c r="AQ50" s="514"/>
      <c r="AR50" s="514"/>
      <c r="AS50" s="573"/>
      <c r="AT50" s="527"/>
      <c r="AU50" s="527"/>
      <c r="AV50" s="527"/>
    </row>
    <row r="51" spans="1:48" ht="34.950000000000003" customHeight="1" x14ac:dyDescent="0.35">
      <c r="A51" s="1478">
        <v>45407</v>
      </c>
      <c r="B51" s="472">
        <v>1</v>
      </c>
      <c r="C51" s="494"/>
      <c r="D51" s="494"/>
      <c r="E51" s="494"/>
      <c r="F51" s="495"/>
      <c r="G51" s="514"/>
      <c r="H51" s="514"/>
      <c r="I51" s="641"/>
      <c r="J51" s="527"/>
      <c r="K51" s="66"/>
      <c r="L51" s="470"/>
      <c r="M51" s="6"/>
      <c r="N51" s="6"/>
      <c r="O51" s="495"/>
      <c r="P51" s="514"/>
      <c r="Q51" s="514"/>
      <c r="R51" s="573"/>
      <c r="S51" s="527"/>
      <c r="T51" s="66"/>
      <c r="U51" s="470"/>
      <c r="V51" s="6"/>
      <c r="W51" s="6"/>
      <c r="X51" s="495"/>
      <c r="Y51" s="514"/>
      <c r="Z51" s="514"/>
      <c r="AA51" s="579"/>
      <c r="AB51" s="527"/>
      <c r="AC51" s="66"/>
      <c r="AD51" s="470"/>
      <c r="AE51" s="6"/>
      <c r="AF51" s="6"/>
      <c r="AG51" s="495"/>
      <c r="AH51" s="514"/>
      <c r="AI51" s="514"/>
      <c r="AJ51" s="573"/>
      <c r="AK51" s="527"/>
      <c r="AM51" s="470"/>
      <c r="AN51" s="6"/>
      <c r="AO51" s="6"/>
      <c r="AP51" s="495"/>
      <c r="AQ51" s="514"/>
      <c r="AR51" s="514"/>
      <c r="AS51" s="573"/>
      <c r="AT51" s="527"/>
      <c r="AU51" s="527"/>
      <c r="AV51" s="508"/>
    </row>
    <row r="52" spans="1:48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641"/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/>
      <c r="W52" s="6"/>
      <c r="X52" s="495"/>
      <c r="Y52" s="515"/>
      <c r="Z52" s="502"/>
      <c r="AA52" s="579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8"/>
      <c r="AR52" s="509"/>
      <c r="AS52" s="6"/>
      <c r="AT52" s="527"/>
      <c r="AU52" s="527"/>
      <c r="AV52" s="508"/>
    </row>
    <row r="53" spans="1:48" ht="40.200000000000003" customHeight="1" x14ac:dyDescent="0.35">
      <c r="A53" s="1478">
        <v>45408</v>
      </c>
      <c r="B53" s="472">
        <v>1</v>
      </c>
      <c r="C53" s="494"/>
      <c r="D53" s="494"/>
      <c r="E53" s="494"/>
      <c r="F53" s="495"/>
      <c r="G53" s="514"/>
      <c r="H53" s="514"/>
      <c r="I53" s="641"/>
      <c r="J53" s="527"/>
      <c r="K53" s="66"/>
      <c r="L53" s="470"/>
      <c r="M53" s="6"/>
      <c r="N53" s="6"/>
      <c r="O53" s="508"/>
      <c r="P53" s="469"/>
      <c r="Q53" s="515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6"/>
      <c r="AJ53" s="502"/>
      <c r="AK53" s="508"/>
      <c r="AM53" s="470"/>
      <c r="AN53" s="502"/>
      <c r="AO53" s="6"/>
      <c r="AP53" s="47"/>
      <c r="AQ53" s="508"/>
      <c r="AR53" s="509"/>
      <c r="AS53" s="6"/>
      <c r="AT53" s="6"/>
      <c r="AU53" s="47"/>
      <c r="AV53" s="508"/>
    </row>
    <row r="54" spans="1:48" ht="39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5"/>
      <c r="I54" s="573"/>
      <c r="J54" s="527"/>
      <c r="K54" s="66"/>
      <c r="L54" s="470"/>
      <c r="M54" s="6"/>
      <c r="N54" s="6"/>
      <c r="O54" s="495"/>
      <c r="P54" s="514"/>
      <c r="Q54" s="515"/>
      <c r="R54" s="514"/>
      <c r="S54" s="527"/>
      <c r="T54" s="66"/>
      <c r="U54" s="470"/>
      <c r="V54" s="6"/>
      <c r="W54" s="6"/>
      <c r="X54" s="495"/>
      <c r="Y54" s="515"/>
      <c r="Z54" s="515"/>
      <c r="AA54" s="515"/>
      <c r="AB54" s="527"/>
      <c r="AC54" s="66"/>
      <c r="AD54" s="470"/>
      <c r="AE54" s="6"/>
      <c r="AF54" s="6"/>
      <c r="AG54" s="508"/>
      <c r="AH54" s="509"/>
      <c r="AI54" s="515"/>
      <c r="AJ54" s="6"/>
      <c r="AK54" s="527"/>
      <c r="AM54" s="470"/>
      <c r="AN54" s="6"/>
      <c r="AO54" s="6"/>
      <c r="AP54" s="47"/>
      <c r="AQ54" s="495"/>
      <c r="AR54" s="514"/>
      <c r="AS54" s="515"/>
      <c r="AT54" s="514"/>
      <c r="AU54" s="638"/>
      <c r="AV54" s="527"/>
    </row>
    <row r="55" spans="1:48" ht="39.65" customHeight="1" x14ac:dyDescent="0.35">
      <c r="A55" s="1478">
        <v>45409</v>
      </c>
      <c r="B55" s="472">
        <v>1</v>
      </c>
      <c r="C55" s="493"/>
      <c r="D55" s="494"/>
      <c r="E55" s="494"/>
      <c r="F55" s="495"/>
      <c r="G55" s="514"/>
      <c r="H55" s="514"/>
      <c r="I55" s="641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5"/>
      <c r="AA55" s="579"/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47"/>
      <c r="AQ55" s="508"/>
      <c r="AR55" s="509"/>
      <c r="AS55" s="515"/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641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02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7"/>
      <c r="AQ56" s="495"/>
      <c r="AR56" s="515"/>
      <c r="AS56" s="514"/>
      <c r="AT56" s="515"/>
      <c r="AU56" s="573"/>
      <c r="AV56" s="527"/>
    </row>
    <row r="57" spans="1:48" ht="52.2" customHeight="1" x14ac:dyDescent="0.35">
      <c r="A57" s="1478">
        <v>45410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02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641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/>
      <c r="X58" s="495"/>
      <c r="Y58" s="515"/>
      <c r="Z58" s="514"/>
      <c r="AA58" s="579"/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/>
      <c r="AP58" s="47"/>
      <c r="AQ58" s="495"/>
      <c r="AR58" s="515"/>
      <c r="AS58" s="514"/>
      <c r="AT58" s="515"/>
      <c r="AU58" s="573"/>
      <c r="AV58" s="527"/>
    </row>
    <row r="59" spans="1:48" ht="73.2" customHeight="1" x14ac:dyDescent="0.35">
      <c r="A59" s="1478">
        <v>45411</v>
      </c>
      <c r="B59" s="472">
        <v>1</v>
      </c>
      <c r="C59" s="493">
        <v>39</v>
      </c>
      <c r="D59" s="494"/>
      <c r="E59" s="494"/>
      <c r="F59" s="495"/>
      <c r="G59" s="515" t="s">
        <v>905</v>
      </c>
      <c r="H59" s="514"/>
      <c r="I59" s="641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6"/>
      <c r="AA59" s="579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641"/>
      <c r="J60" s="527"/>
      <c r="K60" s="66"/>
      <c r="L60" s="470"/>
      <c r="M60" s="6"/>
      <c r="N60" s="6"/>
      <c r="O60" s="508"/>
      <c r="P60" s="509"/>
      <c r="Q60" s="515"/>
      <c r="R60" s="6"/>
      <c r="S60" s="527"/>
      <c r="T60" s="66"/>
      <c r="U60" s="470"/>
      <c r="V60" s="6"/>
      <c r="W60" s="6"/>
      <c r="X60" s="508"/>
      <c r="Y60" s="469"/>
      <c r="Z60" s="515"/>
      <c r="AA60" s="502"/>
      <c r="AB60" s="527"/>
      <c r="AC60" s="66"/>
      <c r="AD60" s="470"/>
      <c r="AE60" s="6"/>
      <c r="AF60" s="6"/>
      <c r="AG60" s="508"/>
      <c r="AH60" s="509"/>
      <c r="AI60" s="515"/>
      <c r="AJ60" s="502"/>
      <c r="AK60" s="527"/>
      <c r="AM60" s="470"/>
      <c r="AN60" s="6"/>
      <c r="AO60" s="6"/>
      <c r="AP60" s="47"/>
      <c r="AQ60" s="508"/>
      <c r="AR60" s="509"/>
      <c r="AS60" s="515"/>
      <c r="AT60" s="502"/>
      <c r="AU60" s="636"/>
      <c r="AV60" s="527"/>
    </row>
    <row r="61" spans="1:48" ht="32.5" customHeight="1" x14ac:dyDescent="0.35">
      <c r="A61" s="1478">
        <v>45412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47"/>
      <c r="AQ61" s="508"/>
      <c r="AR61" s="469"/>
      <c r="AS61" s="6"/>
      <c r="AT61" s="502"/>
      <c r="AU61" s="648"/>
      <c r="AV61" s="624"/>
    </row>
    <row r="62" spans="1:48" ht="62.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>
        <v>17</v>
      </c>
      <c r="N62" s="6"/>
      <c r="O62" s="508"/>
      <c r="P62" s="623"/>
      <c r="Q62" s="665" t="s">
        <v>904</v>
      </c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>
        <v>184</v>
      </c>
      <c r="AE62" s="6">
        <v>184</v>
      </c>
      <c r="AF62" s="6">
        <v>184</v>
      </c>
      <c r="AG62" s="508"/>
      <c r="AH62" s="1491" t="s">
        <v>903</v>
      </c>
      <c r="AI62" s="1492"/>
      <c r="AJ62" s="1493"/>
      <c r="AK62" s="624"/>
      <c r="AM62" s="470"/>
      <c r="AN62" s="6"/>
      <c r="AO62" s="6"/>
      <c r="AP62" s="47"/>
      <c r="AQ62" s="508"/>
      <c r="AR62" s="509"/>
      <c r="AS62" s="6"/>
      <c r="AT62" s="502"/>
      <c r="AU62" s="648"/>
      <c r="AV62" s="624"/>
    </row>
    <row r="63" spans="1:48" ht="64.2" customHeight="1" x14ac:dyDescent="0.35">
      <c r="A63" s="1478"/>
      <c r="B63" s="472">
        <v>1</v>
      </c>
      <c r="C63" s="587"/>
      <c r="D63" s="588"/>
      <c r="E63" s="588"/>
      <c r="F63" s="589"/>
      <c r="G63" s="598"/>
      <c r="H63" s="590"/>
      <c r="I63" s="573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502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7"/>
      <c r="AQ63" s="495"/>
      <c r="AR63" s="566"/>
      <c r="AS63" s="514"/>
      <c r="AT63" s="514"/>
      <c r="AU63" s="649"/>
      <c r="AV63" s="586"/>
    </row>
    <row r="64" spans="1:48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647"/>
      <c r="AQ64" s="528"/>
      <c r="AR64" s="529"/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39</v>
      </c>
      <c r="D65" s="65">
        <f>SUM(D3:D64)</f>
        <v>0</v>
      </c>
      <c r="E65" s="631">
        <f>SUM(E3:E64)</f>
        <v>166</v>
      </c>
      <c r="F65" s="65">
        <f>SUM(F3:F64)</f>
        <v>1697</v>
      </c>
      <c r="L65" s="65">
        <f>SUM(L3:L64)</f>
        <v>454</v>
      </c>
      <c r="M65" s="65">
        <f>SUM(M3:M64)</f>
        <v>139</v>
      </c>
      <c r="N65" s="65">
        <f>SUM(N3:N64)</f>
        <v>0</v>
      </c>
      <c r="O65" s="65">
        <f>SUM(O3:O64)</f>
        <v>1700</v>
      </c>
      <c r="U65" s="65">
        <f>SUM(U3:U64)</f>
        <v>73</v>
      </c>
      <c r="V65" s="65">
        <f>SUM(V3:V64)</f>
        <v>2244</v>
      </c>
      <c r="W65" s="65">
        <f>SUM(W3:W64)</f>
        <v>122</v>
      </c>
      <c r="X65" s="65">
        <f>SUM(X3:X64)</f>
        <v>1774</v>
      </c>
      <c r="AD65" s="65">
        <f>SUM(AD3:AD64)</f>
        <v>216</v>
      </c>
      <c r="AE65" s="65">
        <f>SUM(AE3:AE64)</f>
        <v>446</v>
      </c>
      <c r="AF65" s="65">
        <f>SUM(AF3:AF64)</f>
        <v>245</v>
      </c>
      <c r="AG65" s="65">
        <f>SUM(AG3:AG64)</f>
        <v>1741</v>
      </c>
      <c r="AM65" s="65">
        <f>SUM(AM3:AM64)</f>
        <v>0</v>
      </c>
      <c r="AN65" s="65">
        <f>SUM(AN3:AN64)</f>
        <v>0</v>
      </c>
      <c r="AO65" s="65">
        <f>SUM(AO3:AO64)</f>
        <v>243</v>
      </c>
      <c r="AP65" s="65"/>
      <c r="AQ65" s="65">
        <f>SUM(AQ3:AQ64)</f>
        <v>1682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39</v>
      </c>
      <c r="D76" s="543">
        <f>C76/60</f>
        <v>0.65</v>
      </c>
      <c r="E76" s="542">
        <f>D65</f>
        <v>0</v>
      </c>
      <c r="F76" s="544">
        <f>E76/60</f>
        <v>0</v>
      </c>
      <c r="G76" s="542">
        <f>E65</f>
        <v>166</v>
      </c>
      <c r="H76" s="543">
        <f>G76/60</f>
        <v>2.7666666666666666</v>
      </c>
      <c r="I76" s="542">
        <f>F65</f>
        <v>1697</v>
      </c>
      <c r="J76" s="543">
        <f>I76/60</f>
        <v>28.283333333333335</v>
      </c>
    </row>
    <row r="77" spans="1:43" ht="19.5" customHeight="1" x14ac:dyDescent="0.4">
      <c r="B77" s="541" t="s">
        <v>219</v>
      </c>
      <c r="C77" s="545">
        <f>L65</f>
        <v>454</v>
      </c>
      <c r="D77" s="546">
        <f>C77/60</f>
        <v>7.5666666666666664</v>
      </c>
      <c r="E77" s="545">
        <f>M65</f>
        <v>139</v>
      </c>
      <c r="F77" s="547">
        <f>E77/60</f>
        <v>2.3166666666666669</v>
      </c>
      <c r="G77" s="545">
        <f>N65</f>
        <v>0</v>
      </c>
      <c r="H77" s="546">
        <f>G77/60</f>
        <v>0</v>
      </c>
      <c r="I77" s="545">
        <f>O65</f>
        <v>1700</v>
      </c>
      <c r="J77" s="546">
        <f>I77/60</f>
        <v>28.333333333333332</v>
      </c>
    </row>
    <row r="78" spans="1:43" ht="20.25" customHeight="1" x14ac:dyDescent="0.4">
      <c r="B78" s="541" t="s">
        <v>220</v>
      </c>
      <c r="C78" s="545">
        <f>U65</f>
        <v>73</v>
      </c>
      <c r="D78" s="546">
        <f>C78/60</f>
        <v>1.2166666666666666</v>
      </c>
      <c r="E78" s="545">
        <f>V65</f>
        <v>2244</v>
      </c>
      <c r="F78" s="547">
        <f>E78/60</f>
        <v>37.4</v>
      </c>
      <c r="G78" s="545">
        <f>W65</f>
        <v>122</v>
      </c>
      <c r="H78" s="546">
        <f>G78/60</f>
        <v>2.0333333333333332</v>
      </c>
      <c r="I78" s="545">
        <f>X65</f>
        <v>1774</v>
      </c>
      <c r="J78" s="546">
        <f>I78/60</f>
        <v>29.566666666666666</v>
      </c>
    </row>
    <row r="79" spans="1:43" ht="22.5" customHeight="1" thickBot="1" x14ac:dyDescent="0.45">
      <c r="B79" s="541" t="s">
        <v>221</v>
      </c>
      <c r="C79" s="548">
        <f>AD65</f>
        <v>216</v>
      </c>
      <c r="D79" s="549">
        <f>C79/60</f>
        <v>3.6</v>
      </c>
      <c r="E79" s="548">
        <f>AE65</f>
        <v>446</v>
      </c>
      <c r="F79" s="550">
        <f>E79/60</f>
        <v>7.4333333333333336</v>
      </c>
      <c r="G79" s="548">
        <f>AF65</f>
        <v>245</v>
      </c>
      <c r="H79" s="549">
        <f>G79/60</f>
        <v>4.083333333333333</v>
      </c>
      <c r="I79" s="548">
        <f>AG65</f>
        <v>1741</v>
      </c>
      <c r="J79" s="549">
        <f>I79/60</f>
        <v>29.016666666666666</v>
      </c>
    </row>
    <row r="80" spans="1:43" ht="22.5" customHeight="1" thickBot="1" x14ac:dyDescent="0.45">
      <c r="B80" s="541" t="s">
        <v>488</v>
      </c>
      <c r="C80" s="643">
        <f>AM65</f>
        <v>0</v>
      </c>
      <c r="D80" s="642">
        <f>C80/60</f>
        <v>0</v>
      </c>
      <c r="E80" s="643">
        <f>AN65</f>
        <v>0</v>
      </c>
      <c r="F80" s="644">
        <f>E80/60</f>
        <v>0</v>
      </c>
      <c r="G80" s="643">
        <f>AO65</f>
        <v>243</v>
      </c>
      <c r="H80" s="642">
        <f>G80/60</f>
        <v>4.05</v>
      </c>
      <c r="I80" s="643">
        <f>AQ65</f>
        <v>1682</v>
      </c>
      <c r="J80" s="642">
        <f>I80/60</f>
        <v>28.033333333333335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13.033333333333333</v>
      </c>
      <c r="E82" s="556"/>
      <c r="F82" s="557">
        <f>SUM(F76:F80)</f>
        <v>47.150000000000006</v>
      </c>
      <c r="G82" s="556"/>
      <c r="H82" s="557">
        <f>SUM(H76:H80)</f>
        <v>12.933333333333334</v>
      </c>
      <c r="I82" s="556"/>
      <c r="J82" s="558">
        <f>AVERAGE(J76:J80)</f>
        <v>28.646666666666668</v>
      </c>
    </row>
  </sheetData>
  <mergeCells count="46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M1:AQ1"/>
    <mergeCell ref="AR1:AV1"/>
    <mergeCell ref="A3:A4"/>
    <mergeCell ref="U1:X1"/>
    <mergeCell ref="Y1:AB1"/>
    <mergeCell ref="AH62:AJ62"/>
    <mergeCell ref="A5:A6"/>
    <mergeCell ref="C1:F1"/>
    <mergeCell ref="G1:J1"/>
    <mergeCell ref="L1:O1"/>
    <mergeCell ref="P1:S1"/>
    <mergeCell ref="AD1:AG1"/>
    <mergeCell ref="AH1:AK1"/>
    <mergeCell ref="A29:A30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paperSize="9" orientation="portrait" horizontalDpi="180" verticalDpi="18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V82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61" sqref="I61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7.304687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3" width="10.69140625" style="423" customWidth="1"/>
    <col min="44" max="44" width="21.15234375" style="423" customWidth="1"/>
    <col min="45" max="45" width="26.3046875" style="423" customWidth="1"/>
    <col min="46" max="46" width="27.15234375" style="423" customWidth="1"/>
    <col min="47" max="47" width="24.3828125" style="423" customWidth="1"/>
    <col min="48" max="48" width="26.53515625" style="423" customWidth="1"/>
    <col min="49" max="16384" width="8.84375" style="423"/>
  </cols>
  <sheetData>
    <row r="1" spans="1:48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3"/>
      <c r="AR1" s="1354" t="s">
        <v>206</v>
      </c>
      <c r="AS1" s="1354"/>
      <c r="AT1" s="1354"/>
      <c r="AU1" s="1354"/>
      <c r="AV1" s="1355"/>
    </row>
    <row r="2" spans="1:48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5" t="s">
        <v>204</v>
      </c>
      <c r="AR2" s="657" t="s">
        <v>199</v>
      </c>
      <c r="AS2" s="655" t="s">
        <v>200</v>
      </c>
      <c r="AT2" s="655" t="s">
        <v>201</v>
      </c>
      <c r="AU2" s="655" t="s">
        <v>204</v>
      </c>
      <c r="AV2" s="655" t="s">
        <v>204</v>
      </c>
    </row>
    <row r="3" spans="1:48" ht="78" customHeight="1" x14ac:dyDescent="0.35">
      <c r="A3" s="1478">
        <v>45413</v>
      </c>
      <c r="B3" s="501">
        <v>1</v>
      </c>
      <c r="C3" s="490">
        <v>163.5</v>
      </c>
      <c r="D3" s="491">
        <v>163.5</v>
      </c>
      <c r="E3" s="6"/>
      <c r="F3" s="492"/>
      <c r="G3" s="566" t="s">
        <v>906</v>
      </c>
      <c r="H3" s="514" t="s">
        <v>907</v>
      </c>
      <c r="I3" s="515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6"/>
      <c r="X3" s="508"/>
      <c r="Y3" s="469"/>
      <c r="Z3" s="521"/>
      <c r="AA3" s="515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>
        <v>150</v>
      </c>
      <c r="AP3" s="80"/>
      <c r="AQ3" s="520"/>
      <c r="AR3" s="521"/>
      <c r="AS3" s="538"/>
      <c r="AT3" s="502" t="s">
        <v>768</v>
      </c>
      <c r="AU3" s="80"/>
      <c r="AV3" s="520"/>
    </row>
    <row r="4" spans="1:48" ht="70.2" customHeight="1" x14ac:dyDescent="0.35">
      <c r="A4" s="1477"/>
      <c r="B4" s="472">
        <v>2</v>
      </c>
      <c r="C4" s="493"/>
      <c r="D4" s="494"/>
      <c r="E4" s="494"/>
      <c r="F4" s="495"/>
      <c r="G4" s="566"/>
      <c r="H4" s="514"/>
      <c r="I4" s="641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>
        <v>11</v>
      </c>
      <c r="W4" s="6">
        <v>38</v>
      </c>
      <c r="X4" s="508"/>
      <c r="Y4" s="469"/>
      <c r="Z4" s="515" t="s">
        <v>909</v>
      </c>
      <c r="AA4" s="579" t="s">
        <v>908</v>
      </c>
      <c r="AB4" s="603"/>
      <c r="AC4" s="66"/>
      <c r="AD4" s="470"/>
      <c r="AE4" s="6"/>
      <c r="AF4" s="6"/>
      <c r="AG4" s="508"/>
      <c r="AH4" s="509"/>
      <c r="AI4" s="515"/>
      <c r="AJ4" s="6"/>
      <c r="AK4" s="508"/>
      <c r="AM4" s="470">
        <v>720</v>
      </c>
      <c r="AN4" s="6"/>
      <c r="AO4" s="6"/>
      <c r="AP4" s="47"/>
      <c r="AQ4" s="508"/>
      <c r="AR4" s="509" t="s">
        <v>45</v>
      </c>
      <c r="AS4" s="515"/>
      <c r="AT4" s="6"/>
      <c r="AU4" s="47"/>
      <c r="AV4" s="508"/>
    </row>
    <row r="5" spans="1:48" ht="60" customHeight="1" x14ac:dyDescent="0.35">
      <c r="A5" s="1478">
        <v>45414</v>
      </c>
      <c r="B5" s="472">
        <v>1</v>
      </c>
      <c r="C5" s="493"/>
      <c r="D5" s="494"/>
      <c r="E5" s="494"/>
      <c r="F5" s="495"/>
      <c r="G5" s="565"/>
      <c r="H5" s="565"/>
      <c r="I5" s="641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514"/>
      <c r="AA5" s="579"/>
      <c r="AB5" s="604"/>
      <c r="AC5" s="66"/>
      <c r="AD5" s="470"/>
      <c r="AE5" s="6"/>
      <c r="AF5" s="6"/>
      <c r="AG5" s="508"/>
      <c r="AH5" s="509"/>
      <c r="AI5" s="6"/>
      <c r="AJ5" s="661"/>
      <c r="AK5" s="508"/>
      <c r="AM5" s="470">
        <v>390</v>
      </c>
      <c r="AN5" s="6"/>
      <c r="AO5" s="6">
        <v>330</v>
      </c>
      <c r="AP5" s="47"/>
      <c r="AQ5" s="508"/>
      <c r="AR5" s="509" t="s">
        <v>45</v>
      </c>
      <c r="AS5" s="6"/>
      <c r="AT5" s="502" t="s">
        <v>239</v>
      </c>
      <c r="AU5" s="636"/>
      <c r="AV5" s="526"/>
    </row>
    <row r="6" spans="1:48" ht="80.5" customHeight="1" x14ac:dyDescent="0.35">
      <c r="A6" s="1477"/>
      <c r="B6" s="472">
        <v>2</v>
      </c>
      <c r="C6" s="493"/>
      <c r="D6" s="494"/>
      <c r="E6" s="494"/>
      <c r="F6" s="495"/>
      <c r="G6" s="566"/>
      <c r="H6" s="515"/>
      <c r="I6" s="641"/>
      <c r="J6" s="527"/>
      <c r="K6" s="66"/>
      <c r="L6" s="470"/>
      <c r="M6" s="6"/>
      <c r="N6" s="6"/>
      <c r="O6" s="508"/>
      <c r="P6" s="509"/>
      <c r="Q6" s="514"/>
      <c r="R6" s="6"/>
      <c r="S6" s="527"/>
      <c r="T6" s="66"/>
      <c r="U6" s="470"/>
      <c r="V6" s="6"/>
      <c r="W6" s="6"/>
      <c r="X6" s="508"/>
      <c r="Y6" s="469"/>
      <c r="Z6" s="514"/>
      <c r="AA6" s="579"/>
      <c r="AB6" s="527"/>
      <c r="AC6" s="66"/>
      <c r="AD6" s="470"/>
      <c r="AE6" s="6"/>
      <c r="AF6" s="6"/>
      <c r="AG6" s="508"/>
      <c r="AH6" s="509"/>
      <c r="AI6" s="6"/>
      <c r="AJ6" s="6"/>
      <c r="AK6" s="527"/>
      <c r="AM6" s="470"/>
      <c r="AN6" s="6">
        <v>33</v>
      </c>
      <c r="AO6" s="6">
        <v>524</v>
      </c>
      <c r="AP6" s="47"/>
      <c r="AQ6" s="47"/>
      <c r="AR6" s="508"/>
      <c r="AS6" s="509" t="s">
        <v>317</v>
      </c>
      <c r="AT6" s="502" t="s">
        <v>910</v>
      </c>
      <c r="AU6" s="502"/>
      <c r="AV6" s="527"/>
    </row>
    <row r="7" spans="1:48" ht="71.5" customHeight="1" x14ac:dyDescent="0.35">
      <c r="A7" s="1478">
        <v>45415</v>
      </c>
      <c r="B7" s="472">
        <v>1</v>
      </c>
      <c r="C7" s="493"/>
      <c r="D7" s="494"/>
      <c r="E7" s="494"/>
      <c r="F7" s="495"/>
      <c r="G7" s="566"/>
      <c r="H7" s="515"/>
      <c r="I7" s="527"/>
      <c r="J7" s="527"/>
      <c r="K7" s="66"/>
      <c r="L7" s="470"/>
      <c r="M7" s="509"/>
      <c r="N7" s="6"/>
      <c r="O7" s="508"/>
      <c r="P7" s="509"/>
      <c r="Q7" s="660"/>
      <c r="R7" s="6"/>
      <c r="S7" s="508"/>
      <c r="T7" s="66"/>
      <c r="U7" s="470"/>
      <c r="V7" s="6"/>
      <c r="W7" s="6">
        <v>30</v>
      </c>
      <c r="X7" s="508"/>
      <c r="Y7" s="469"/>
      <c r="Z7" s="514"/>
      <c r="AA7" s="579" t="s">
        <v>562</v>
      </c>
      <c r="AB7" s="508"/>
      <c r="AC7" s="66"/>
      <c r="AD7" s="470"/>
      <c r="AE7" s="6"/>
      <c r="AF7" s="6"/>
      <c r="AG7" s="508"/>
      <c r="AH7" s="509"/>
      <c r="AI7" s="660"/>
      <c r="AJ7" s="527"/>
      <c r="AK7" s="508"/>
      <c r="AM7" s="470"/>
      <c r="AN7" s="6">
        <v>10</v>
      </c>
      <c r="AO7" s="6"/>
      <c r="AP7" s="47"/>
      <c r="AQ7" s="47"/>
      <c r="AR7" s="508"/>
      <c r="AS7" s="509" t="s">
        <v>317</v>
      </c>
      <c r="AT7" s="660"/>
      <c r="AU7" s="515"/>
      <c r="AV7" s="573"/>
    </row>
    <row r="8" spans="1:48" ht="69.650000000000006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641"/>
      <c r="J8" s="527"/>
      <c r="K8" s="66"/>
      <c r="L8" s="470"/>
      <c r="M8" s="6"/>
      <c r="N8" s="6"/>
      <c r="O8" s="508"/>
      <c r="P8" s="469"/>
      <c r="Q8" s="6"/>
      <c r="R8" s="502"/>
      <c r="S8" s="527"/>
      <c r="T8" s="66"/>
      <c r="U8" s="470">
        <v>296</v>
      </c>
      <c r="V8" s="470">
        <v>296</v>
      </c>
      <c r="W8" s="470">
        <v>296</v>
      </c>
      <c r="X8" s="508"/>
      <c r="Y8" s="1491" t="s">
        <v>583</v>
      </c>
      <c r="Z8" s="1492"/>
      <c r="AA8" s="1493"/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/>
      <c r="AN8" s="6"/>
      <c r="AO8" s="6"/>
      <c r="AP8" s="47"/>
      <c r="AQ8" s="47"/>
      <c r="AR8" s="508"/>
      <c r="AS8" s="509"/>
      <c r="AT8" s="6"/>
      <c r="AU8" s="6"/>
      <c r="AV8" s="527"/>
    </row>
    <row r="9" spans="1:48" ht="76.95" customHeight="1" x14ac:dyDescent="0.35">
      <c r="A9" s="1478">
        <v>45416</v>
      </c>
      <c r="B9" s="472">
        <v>1</v>
      </c>
      <c r="C9" s="493"/>
      <c r="D9" s="494"/>
      <c r="E9" s="494">
        <v>10</v>
      </c>
      <c r="F9" s="495"/>
      <c r="G9" s="565"/>
      <c r="H9" s="514"/>
      <c r="I9" s="641" t="s">
        <v>562</v>
      </c>
      <c r="J9" s="527"/>
      <c r="K9" s="66"/>
      <c r="L9" s="470"/>
      <c r="M9" s="6"/>
      <c r="N9" s="6"/>
      <c r="O9" s="508"/>
      <c r="P9" s="469"/>
      <c r="Q9" s="6"/>
      <c r="R9" s="502"/>
      <c r="S9" s="527"/>
      <c r="T9" s="66"/>
      <c r="U9" s="470"/>
      <c r="V9" s="6"/>
      <c r="W9" s="6"/>
      <c r="X9" s="508"/>
      <c r="Y9" s="469"/>
      <c r="Z9" s="6"/>
      <c r="AA9" s="579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47"/>
      <c r="AR9" s="508"/>
      <c r="AS9" s="509"/>
      <c r="AT9" s="6"/>
      <c r="AU9" s="6"/>
      <c r="AV9" s="636"/>
    </row>
    <row r="10" spans="1:48" ht="67.2" customHeight="1" x14ac:dyDescent="0.35">
      <c r="A10" s="1477"/>
      <c r="B10" s="472">
        <v>2</v>
      </c>
      <c r="C10" s="493">
        <v>233</v>
      </c>
      <c r="D10" s="493">
        <v>233</v>
      </c>
      <c r="E10" s="493">
        <v>233</v>
      </c>
      <c r="F10" s="495"/>
      <c r="G10" s="1508" t="s">
        <v>583</v>
      </c>
      <c r="H10" s="1509"/>
      <c r="I10" s="1510"/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/>
      <c r="V10" s="6"/>
      <c r="W10" s="6"/>
      <c r="X10" s="508"/>
      <c r="Y10" s="469"/>
      <c r="Z10" s="469"/>
      <c r="AA10" s="579"/>
      <c r="AB10" s="527"/>
      <c r="AC10" s="66"/>
      <c r="AD10" s="470"/>
      <c r="AE10" s="6"/>
      <c r="AF10" s="6"/>
      <c r="AG10" s="508"/>
      <c r="AH10" s="469"/>
      <c r="AI10" s="502"/>
      <c r="AJ10" s="515"/>
      <c r="AK10" s="527"/>
      <c r="AM10" s="470"/>
      <c r="AN10" s="6"/>
      <c r="AO10" s="6"/>
      <c r="AP10" s="47"/>
      <c r="AQ10" s="47"/>
      <c r="AR10" s="508"/>
      <c r="AS10" s="509"/>
      <c r="AT10" s="6"/>
      <c r="AU10" s="502"/>
      <c r="AV10" s="527"/>
    </row>
    <row r="11" spans="1:48" ht="60" customHeight="1" x14ac:dyDescent="0.35">
      <c r="A11" s="1478">
        <v>45417</v>
      </c>
      <c r="B11" s="472">
        <v>1</v>
      </c>
      <c r="C11" s="493">
        <v>60</v>
      </c>
      <c r="D11" s="493">
        <v>60</v>
      </c>
      <c r="E11" s="493">
        <v>60</v>
      </c>
      <c r="F11" s="495"/>
      <c r="G11" s="1508" t="s">
        <v>583</v>
      </c>
      <c r="H11" s="1509"/>
      <c r="I11" s="1510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>
        <v>10</v>
      </c>
      <c r="W11" s="6"/>
      <c r="X11" s="508"/>
      <c r="Y11" s="469"/>
      <c r="Z11" s="6" t="s">
        <v>317</v>
      </c>
      <c r="AA11" s="579"/>
      <c r="AB11" s="508"/>
      <c r="AC11" s="66"/>
      <c r="AD11" s="470"/>
      <c r="AE11" s="6"/>
      <c r="AF11" s="6"/>
      <c r="AG11" s="508"/>
      <c r="AH11" s="509"/>
      <c r="AI11" s="6"/>
      <c r="AJ11" s="515"/>
      <c r="AK11" s="508"/>
      <c r="AM11" s="470"/>
      <c r="AN11" s="6">
        <v>49</v>
      </c>
      <c r="AO11" s="6"/>
      <c r="AP11" s="47"/>
      <c r="AQ11" s="508"/>
      <c r="AR11" s="509"/>
      <c r="AS11" s="6" t="s">
        <v>317</v>
      </c>
      <c r="AT11" s="6"/>
      <c r="AU11" s="47"/>
      <c r="AV11" s="526"/>
    </row>
    <row r="12" spans="1:48" ht="55.2" customHeight="1" x14ac:dyDescent="0.35">
      <c r="A12" s="1477"/>
      <c r="B12" s="472">
        <v>2</v>
      </c>
      <c r="C12" s="493"/>
      <c r="D12" s="494"/>
      <c r="E12" s="494"/>
      <c r="F12" s="495"/>
      <c r="G12" s="565"/>
      <c r="H12" s="514"/>
      <c r="I12" s="641"/>
      <c r="J12" s="527"/>
      <c r="K12" s="66"/>
      <c r="L12" s="470">
        <v>100</v>
      </c>
      <c r="M12" s="6"/>
      <c r="N12" s="6"/>
      <c r="O12" s="508"/>
      <c r="P12" s="469" t="s">
        <v>911</v>
      </c>
      <c r="Q12" s="6"/>
      <c r="R12" s="502"/>
      <c r="S12" s="527"/>
      <c r="T12" s="66"/>
      <c r="U12" s="470"/>
      <c r="V12" s="6"/>
      <c r="W12" s="6"/>
      <c r="X12" s="508"/>
      <c r="Y12" s="469"/>
      <c r="Z12" s="6"/>
      <c r="AA12" s="579"/>
      <c r="AB12" s="527"/>
      <c r="AC12" s="66"/>
      <c r="AD12" s="470"/>
      <c r="AE12" s="6">
        <v>55</v>
      </c>
      <c r="AF12" s="6"/>
      <c r="AG12" s="508"/>
      <c r="AH12" s="509"/>
      <c r="AI12" s="502" t="s">
        <v>912</v>
      </c>
      <c r="AJ12" s="502"/>
      <c r="AK12" s="527"/>
      <c r="AM12" s="470"/>
      <c r="AN12" s="6"/>
      <c r="AO12" s="6">
        <v>97</v>
      </c>
      <c r="AP12" s="47"/>
      <c r="AQ12" s="508"/>
      <c r="AR12" s="509"/>
      <c r="AS12" s="6"/>
      <c r="AT12" s="502" t="s">
        <v>693</v>
      </c>
      <c r="AU12" s="47"/>
      <c r="AV12" s="527"/>
    </row>
    <row r="13" spans="1:48" ht="34.950000000000003" customHeight="1" x14ac:dyDescent="0.35">
      <c r="A13" s="1478">
        <v>45418</v>
      </c>
      <c r="B13" s="472">
        <v>1</v>
      </c>
      <c r="C13" s="493"/>
      <c r="D13" s="494"/>
      <c r="E13" s="494"/>
      <c r="F13" s="495"/>
      <c r="G13" s="565"/>
      <c r="H13" s="514"/>
      <c r="I13" s="641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/>
      <c r="X13" s="495"/>
      <c r="Y13" s="469"/>
      <c r="Z13" s="502"/>
      <c r="AA13" s="579"/>
      <c r="AB13" s="527"/>
      <c r="AC13" s="66"/>
      <c r="AD13" s="470"/>
      <c r="AE13" s="6"/>
      <c r="AF13" s="6"/>
      <c r="AG13" s="495"/>
      <c r="AH13" s="509"/>
      <c r="AI13" s="6"/>
      <c r="AJ13" s="502"/>
      <c r="AK13" s="527"/>
      <c r="AM13" s="470"/>
      <c r="AN13" s="6"/>
      <c r="AO13" s="6"/>
      <c r="AP13" s="47"/>
      <c r="AQ13" s="495"/>
      <c r="AR13" s="509"/>
      <c r="AS13" s="6"/>
      <c r="AT13" s="6"/>
      <c r="AU13" s="47"/>
      <c r="AV13" s="527"/>
    </row>
    <row r="14" spans="1:48" ht="49.2" customHeight="1" x14ac:dyDescent="0.35">
      <c r="A14" s="1477"/>
      <c r="B14" s="472">
        <v>2</v>
      </c>
      <c r="C14" s="493"/>
      <c r="D14" s="494"/>
      <c r="E14" s="494"/>
      <c r="F14" s="495"/>
      <c r="G14" s="565"/>
      <c r="H14" s="515"/>
      <c r="I14" s="641"/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79"/>
      <c r="AB14" s="527"/>
      <c r="AC14" s="66"/>
      <c r="AD14" s="470"/>
      <c r="AE14" s="6"/>
      <c r="AF14" s="6"/>
      <c r="AG14" s="495"/>
      <c r="AH14" s="469"/>
      <c r="AI14" s="6"/>
      <c r="AJ14" s="579"/>
      <c r="AK14" s="527"/>
      <c r="AM14" s="470"/>
      <c r="AN14" s="6"/>
      <c r="AO14" s="6"/>
      <c r="AP14" s="47"/>
      <c r="AQ14" s="495"/>
      <c r="AR14" s="469"/>
      <c r="AS14" s="6"/>
      <c r="AT14" s="579"/>
      <c r="AU14" s="47"/>
      <c r="AV14" s="527"/>
    </row>
    <row r="15" spans="1:48" ht="48" customHeight="1" x14ac:dyDescent="0.35">
      <c r="A15" s="1478">
        <v>45419</v>
      </c>
      <c r="B15" s="472">
        <v>1</v>
      </c>
      <c r="C15" s="493"/>
      <c r="D15" s="494"/>
      <c r="E15" s="6"/>
      <c r="F15" s="495"/>
      <c r="G15" s="565"/>
      <c r="H15" s="515"/>
      <c r="I15" s="641"/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/>
      <c r="V15" s="6"/>
      <c r="W15" s="6"/>
      <c r="X15" s="495"/>
      <c r="Y15" s="566"/>
      <c r="Z15" s="515"/>
      <c r="AA15" s="579"/>
      <c r="AB15" s="527"/>
      <c r="AC15" s="66"/>
      <c r="AD15" s="470"/>
      <c r="AE15" s="6"/>
      <c r="AF15" s="66"/>
      <c r="AG15" s="495"/>
      <c r="AH15" s="566"/>
      <c r="AI15" s="515"/>
      <c r="AJ15" s="502"/>
      <c r="AK15" s="527"/>
      <c r="AM15" s="470"/>
      <c r="AN15" s="6"/>
      <c r="AO15" s="66"/>
      <c r="AP15" s="495"/>
      <c r="AQ15" s="566"/>
      <c r="AR15" s="515"/>
      <c r="AS15" s="515"/>
      <c r="AT15" s="515"/>
      <c r="AU15" s="527"/>
      <c r="AV15" s="527"/>
    </row>
    <row r="16" spans="1:48" ht="54.65" customHeight="1" x14ac:dyDescent="0.35">
      <c r="A16" s="1477"/>
      <c r="B16" s="472">
        <v>2</v>
      </c>
      <c r="C16" s="493"/>
      <c r="D16" s="494"/>
      <c r="E16" s="494"/>
      <c r="F16" s="495"/>
      <c r="G16" s="566"/>
      <c r="H16" s="638"/>
      <c r="I16" s="641"/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>
        <v>15</v>
      </c>
      <c r="W16" s="6"/>
      <c r="X16" s="495"/>
      <c r="Y16" s="565"/>
      <c r="Z16" s="6" t="s">
        <v>317</v>
      </c>
      <c r="AA16" s="641"/>
      <c r="AB16" s="527"/>
      <c r="AC16" s="66"/>
      <c r="AD16" s="470"/>
      <c r="AE16" s="6"/>
      <c r="AF16" s="6"/>
      <c r="AG16" s="495"/>
      <c r="AH16" s="566"/>
      <c r="AI16" s="638"/>
      <c r="AJ16" s="502"/>
      <c r="AK16" s="527"/>
      <c r="AM16" s="470"/>
      <c r="AN16" s="6"/>
      <c r="AO16" s="6"/>
      <c r="AP16" s="495"/>
      <c r="AQ16" s="565"/>
      <c r="AR16" s="638"/>
      <c r="AS16" s="515"/>
      <c r="AT16" s="515"/>
      <c r="AU16" s="573"/>
      <c r="AV16" s="527"/>
    </row>
    <row r="17" spans="1:48" ht="66" customHeight="1" x14ac:dyDescent="0.35">
      <c r="A17" s="1478">
        <v>45420</v>
      </c>
      <c r="B17" s="534">
        <v>1</v>
      </c>
      <c r="C17" s="493"/>
      <c r="D17" s="494"/>
      <c r="E17" s="494"/>
      <c r="F17" s="495"/>
      <c r="G17" s="566"/>
      <c r="H17" s="514"/>
      <c r="I17" s="641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/>
      <c r="X17" s="495"/>
      <c r="Y17" s="565"/>
      <c r="Z17" s="514"/>
      <c r="AA17" s="641"/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495"/>
      <c r="AQ17" s="566"/>
      <c r="AR17" s="514"/>
      <c r="AS17" s="515"/>
      <c r="AT17" s="579"/>
      <c r="AU17" s="527"/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638"/>
      <c r="I18" s="641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494"/>
      <c r="X18" s="495"/>
      <c r="Y18" s="565"/>
      <c r="Z18" s="515"/>
      <c r="AA18" s="641"/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/>
      <c r="AP18" s="47"/>
      <c r="AQ18" s="495"/>
      <c r="AR18" s="565"/>
      <c r="AS18" s="515"/>
      <c r="AT18" s="579"/>
      <c r="AU18" s="638"/>
      <c r="AV18" s="527"/>
    </row>
    <row r="19" spans="1:48" ht="33.65" customHeight="1" x14ac:dyDescent="0.35">
      <c r="A19" s="1478">
        <v>45421</v>
      </c>
      <c r="B19" s="472">
        <v>1</v>
      </c>
      <c r="C19" s="66"/>
      <c r="D19" s="494"/>
      <c r="E19" s="494"/>
      <c r="F19" s="495"/>
      <c r="G19" s="465"/>
      <c r="H19" s="6"/>
      <c r="I19" s="641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641"/>
      <c r="AB19" s="527"/>
      <c r="AC19" s="66"/>
      <c r="AD19" s="470"/>
      <c r="AE19" s="6"/>
      <c r="AF19" s="6"/>
      <c r="AG19" s="495"/>
      <c r="AH19" s="470"/>
      <c r="AI19" s="6"/>
      <c r="AJ19" s="579"/>
      <c r="AK19" s="527"/>
      <c r="AM19" s="470"/>
      <c r="AN19" s="6"/>
      <c r="AO19" s="6"/>
      <c r="AP19" s="47"/>
      <c r="AQ19" s="495"/>
      <c r="AR19" s="470"/>
      <c r="AS19" s="6"/>
      <c r="AT19" s="515"/>
      <c r="AU19" s="636"/>
      <c r="AV19" s="527"/>
    </row>
    <row r="20" spans="1:48" ht="31.2" customHeight="1" x14ac:dyDescent="0.35">
      <c r="A20" s="1477"/>
      <c r="B20" s="472">
        <v>2</v>
      </c>
      <c r="C20" s="493"/>
      <c r="D20" s="494"/>
      <c r="E20" s="494"/>
      <c r="F20" s="495"/>
      <c r="G20" s="465"/>
      <c r="H20" s="663"/>
      <c r="I20" s="641"/>
      <c r="J20" s="527"/>
      <c r="K20" s="66"/>
      <c r="L20" s="470"/>
      <c r="M20" s="6"/>
      <c r="N20" s="6"/>
      <c r="O20" s="495"/>
      <c r="P20" s="470"/>
      <c r="Q20" s="6"/>
      <c r="R20" s="605"/>
      <c r="S20" s="527"/>
      <c r="T20" s="66"/>
      <c r="U20" s="470">
        <v>15</v>
      </c>
      <c r="V20" s="6"/>
      <c r="W20" s="6"/>
      <c r="X20" s="495"/>
      <c r="Y20" s="470" t="s">
        <v>913</v>
      </c>
      <c r="Z20" s="502"/>
      <c r="AA20" s="579"/>
      <c r="AB20" s="527"/>
      <c r="AC20" s="66"/>
      <c r="AD20" s="470">
        <v>6</v>
      </c>
      <c r="AE20" s="6"/>
      <c r="AF20" s="6"/>
      <c r="AG20" s="495"/>
      <c r="AH20" s="470" t="s">
        <v>913</v>
      </c>
      <c r="AI20" s="502"/>
      <c r="AJ20" s="579"/>
      <c r="AK20" s="527"/>
      <c r="AM20" s="470"/>
      <c r="AN20" s="6"/>
      <c r="AO20" s="6"/>
      <c r="AP20" s="47"/>
      <c r="AQ20" s="495"/>
      <c r="AR20" s="470"/>
      <c r="AS20" s="502"/>
      <c r="AT20" s="502"/>
      <c r="AU20" s="645"/>
      <c r="AV20" s="527"/>
    </row>
    <row r="21" spans="1:48" ht="39.65" customHeight="1" x14ac:dyDescent="0.35">
      <c r="A21" s="1478">
        <v>45422</v>
      </c>
      <c r="B21" s="472">
        <v>1</v>
      </c>
      <c r="C21" s="493"/>
      <c r="D21" s="494"/>
      <c r="E21" s="494"/>
      <c r="F21" s="495"/>
      <c r="G21" s="569"/>
      <c r="H21" s="514"/>
      <c r="I21" s="641"/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65"/>
      <c r="Z21" s="6"/>
      <c r="AA21" s="641"/>
      <c r="AB21" s="527"/>
      <c r="AC21" s="66"/>
      <c r="AD21" s="470"/>
      <c r="AE21" s="6"/>
      <c r="AF21" s="6"/>
      <c r="AG21" s="495"/>
      <c r="AH21" s="470"/>
      <c r="AI21" s="6"/>
      <c r="AJ21" s="641"/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49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641"/>
      <c r="J22" s="527"/>
      <c r="K22" s="66"/>
      <c r="L22" s="470"/>
      <c r="M22" s="6"/>
      <c r="N22" s="6"/>
      <c r="O22" s="495"/>
      <c r="P22" s="469"/>
      <c r="Q22" s="515"/>
      <c r="R22" s="6"/>
      <c r="S22" s="527"/>
      <c r="T22" s="66"/>
      <c r="U22" s="470"/>
      <c r="V22" s="6"/>
      <c r="W22" s="6"/>
      <c r="X22" s="495"/>
      <c r="Y22" s="465"/>
      <c r="Z22" s="515"/>
      <c r="AA22" s="579"/>
      <c r="AB22" s="527"/>
      <c r="AC22" s="66"/>
      <c r="AD22" s="470"/>
      <c r="AE22" s="6"/>
      <c r="AF22" s="6"/>
      <c r="AG22" s="495"/>
      <c r="AH22" s="470"/>
      <c r="AI22" s="6"/>
      <c r="AJ22" s="579"/>
      <c r="AK22" s="527"/>
      <c r="AM22" s="470"/>
      <c r="AN22" s="6"/>
      <c r="AO22" s="6"/>
      <c r="AP22" s="47"/>
      <c r="AQ22" s="495"/>
      <c r="AR22" s="470"/>
      <c r="AS22" s="515"/>
      <c r="AT22" s="47"/>
      <c r="AU22" s="527"/>
      <c r="AV22" s="527"/>
    </row>
    <row r="23" spans="1:48" ht="47.5" customHeight="1" x14ac:dyDescent="0.35">
      <c r="A23" s="1478">
        <v>45423</v>
      </c>
      <c r="B23" s="534">
        <v>1</v>
      </c>
      <c r="C23" s="493"/>
      <c r="D23" s="494"/>
      <c r="E23" s="494"/>
      <c r="F23" s="495"/>
      <c r="G23" s="566"/>
      <c r="H23" s="514"/>
      <c r="I23" s="641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465"/>
      <c r="Z23" s="515"/>
      <c r="AA23" s="641"/>
      <c r="AB23" s="527"/>
      <c r="AC23" s="66"/>
      <c r="AD23" s="470"/>
      <c r="AE23" s="6"/>
      <c r="AF23" s="509"/>
      <c r="AG23" s="495"/>
      <c r="AH23" s="470"/>
      <c r="AI23" s="514"/>
      <c r="AJ23" s="515"/>
      <c r="AK23" s="527"/>
      <c r="AM23" s="470"/>
      <c r="AN23" s="6"/>
      <c r="AO23" s="6"/>
      <c r="AP23" s="47"/>
      <c r="AQ23" s="495"/>
      <c r="AR23" s="6"/>
      <c r="AS23" s="514"/>
      <c r="AT23" s="573"/>
      <c r="AU23" s="527"/>
      <c r="AV23" s="527"/>
    </row>
    <row r="24" spans="1:48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5"/>
      <c r="I24" s="641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470"/>
      <c r="V24" s="6"/>
      <c r="W24" s="6"/>
      <c r="X24" s="495"/>
      <c r="Y24" s="566"/>
      <c r="Z24" s="514"/>
      <c r="AA24" s="641"/>
      <c r="AB24" s="527"/>
      <c r="AC24" s="66"/>
      <c r="AD24" s="470"/>
      <c r="AE24" s="6"/>
      <c r="AF24" s="509"/>
      <c r="AG24" s="495"/>
      <c r="AH24" s="470"/>
      <c r="AI24" s="514"/>
      <c r="AJ24" s="515"/>
      <c r="AK24" s="527"/>
      <c r="AM24" s="470"/>
      <c r="AN24" s="6"/>
      <c r="AO24" s="6">
        <v>23</v>
      </c>
      <c r="AP24" s="495"/>
      <c r="AQ24" s="566"/>
      <c r="AR24" s="514"/>
      <c r="AS24" s="514"/>
      <c r="AT24" s="527" t="s">
        <v>97</v>
      </c>
      <c r="AU24" s="527"/>
      <c r="AV24" s="527"/>
    </row>
    <row r="25" spans="1:48" ht="53.5" customHeight="1" x14ac:dyDescent="0.35">
      <c r="A25" s="1478">
        <v>45424</v>
      </c>
      <c r="B25" s="472">
        <v>1</v>
      </c>
      <c r="C25" s="493"/>
      <c r="D25" s="494"/>
      <c r="E25" s="494"/>
      <c r="F25" s="495"/>
      <c r="G25" s="566"/>
      <c r="H25" s="514"/>
      <c r="I25" s="641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65"/>
      <c r="Z25" s="502"/>
      <c r="AA25" s="579"/>
      <c r="AB25" s="527"/>
      <c r="AC25" s="66"/>
      <c r="AD25" s="470"/>
      <c r="AE25" s="6"/>
      <c r="AF25" s="6"/>
      <c r="AG25" s="495"/>
      <c r="AH25" s="6"/>
      <c r="AI25" s="502"/>
      <c r="AJ25" s="515"/>
      <c r="AK25" s="607"/>
      <c r="AM25" s="470"/>
      <c r="AN25" s="6"/>
      <c r="AO25" s="6"/>
      <c r="AP25" s="47"/>
      <c r="AQ25" s="495"/>
      <c r="AR25" s="6"/>
      <c r="AS25" s="6"/>
      <c r="AT25" s="47"/>
      <c r="AU25" s="47"/>
      <c r="AV25" s="527"/>
    </row>
    <row r="26" spans="1:48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641"/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/>
      <c r="V26" s="494"/>
      <c r="W26" s="6">
        <v>50</v>
      </c>
      <c r="X26" s="495"/>
      <c r="Y26" s="566"/>
      <c r="Z26" s="515"/>
      <c r="AA26" s="579" t="s">
        <v>693</v>
      </c>
      <c r="AB26" s="527"/>
      <c r="AC26" s="66"/>
      <c r="AD26" s="470"/>
      <c r="AE26" s="494"/>
      <c r="AF26" s="6"/>
      <c r="AG26" s="495"/>
      <c r="AH26" s="566"/>
      <c r="AI26" s="515"/>
      <c r="AJ26" s="573"/>
      <c r="AK26" s="527"/>
      <c r="AM26" s="470"/>
      <c r="AN26" s="494"/>
      <c r="AO26" s="6"/>
      <c r="AP26" s="651"/>
      <c r="AQ26" s="495"/>
      <c r="AR26" s="566"/>
      <c r="AS26" s="515"/>
      <c r="AT26" s="573"/>
      <c r="AU26" s="527"/>
      <c r="AV26" s="527"/>
    </row>
    <row r="27" spans="1:48" ht="49.95" customHeight="1" x14ac:dyDescent="0.35">
      <c r="A27" s="1478">
        <v>45425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/>
      <c r="X27" s="495"/>
      <c r="Y27" s="566"/>
      <c r="Z27" s="515"/>
      <c r="AA27" s="579"/>
      <c r="AB27" s="527"/>
      <c r="AC27" s="66"/>
      <c r="AD27" s="470"/>
      <c r="AE27" s="6"/>
      <c r="AF27" s="6"/>
      <c r="AG27" s="495"/>
      <c r="AH27" s="566"/>
      <c r="AI27" s="6"/>
      <c r="AJ27" s="515"/>
      <c r="AK27" s="527"/>
      <c r="AM27" s="470"/>
      <c r="AN27" s="6"/>
      <c r="AO27" s="6"/>
      <c r="AP27" s="47"/>
      <c r="AQ27" s="495"/>
      <c r="AR27" s="502"/>
      <c r="AS27" s="6"/>
      <c r="AT27" s="573"/>
      <c r="AU27" s="527"/>
      <c r="AV27" s="527"/>
    </row>
    <row r="28" spans="1:48" ht="72" customHeight="1" x14ac:dyDescent="0.35">
      <c r="A28" s="1477"/>
      <c r="B28" s="472">
        <v>2</v>
      </c>
      <c r="C28" s="493"/>
      <c r="D28" s="494"/>
      <c r="E28" s="494"/>
      <c r="F28" s="495"/>
      <c r="G28" s="515"/>
      <c r="H28" s="515"/>
      <c r="I28" s="573"/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/>
      <c r="V28" s="6"/>
      <c r="W28" s="66"/>
      <c r="X28" s="495"/>
      <c r="Y28" s="515"/>
      <c r="Z28" s="6"/>
      <c r="AA28" s="579"/>
      <c r="AB28" s="527"/>
      <c r="AC28" s="66"/>
      <c r="AD28" s="470"/>
      <c r="AE28" s="6"/>
      <c r="AF28" s="6"/>
      <c r="AG28" s="495"/>
      <c r="AH28" s="566"/>
      <c r="AI28" s="502"/>
      <c r="AJ28" s="573"/>
      <c r="AK28" s="527"/>
      <c r="AM28" s="470"/>
      <c r="AN28" s="6"/>
      <c r="AO28" s="6"/>
      <c r="AP28" s="47"/>
      <c r="AQ28" s="495"/>
      <c r="AR28" s="502"/>
      <c r="AS28" s="6"/>
      <c r="AT28" s="573"/>
      <c r="AU28" s="527"/>
      <c r="AV28" s="526"/>
    </row>
    <row r="29" spans="1:48" ht="66" customHeight="1" x14ac:dyDescent="0.35">
      <c r="A29" s="1478">
        <v>45426</v>
      </c>
      <c r="B29" s="472">
        <v>1</v>
      </c>
      <c r="C29" s="493"/>
      <c r="D29" s="494"/>
      <c r="E29" s="494"/>
      <c r="F29" s="495"/>
      <c r="G29" s="515"/>
      <c r="H29" s="514"/>
      <c r="I29" s="573"/>
      <c r="J29" s="527"/>
      <c r="K29" s="66"/>
      <c r="L29" s="470"/>
      <c r="M29" s="6"/>
      <c r="N29" s="6"/>
      <c r="O29" s="495"/>
      <c r="P29" s="566"/>
      <c r="Q29" s="515"/>
      <c r="R29" s="515"/>
      <c r="S29" s="527"/>
      <c r="T29" s="66"/>
      <c r="U29" s="470"/>
      <c r="V29" s="6"/>
      <c r="W29" s="6"/>
      <c r="X29" s="495"/>
      <c r="Y29" s="515"/>
      <c r="Z29" s="514"/>
      <c r="AA29" s="579"/>
      <c r="AB29" s="527"/>
      <c r="AC29" s="66"/>
      <c r="AD29" s="470"/>
      <c r="AE29" s="6"/>
      <c r="AF29" s="6"/>
      <c r="AG29" s="495"/>
      <c r="AH29" s="566"/>
      <c r="AI29" s="514"/>
      <c r="AJ29" s="515"/>
      <c r="AK29" s="527"/>
      <c r="AM29" s="470"/>
      <c r="AN29" s="6"/>
      <c r="AO29" s="6"/>
      <c r="AP29" s="47"/>
      <c r="AQ29" s="495"/>
      <c r="AR29" s="502"/>
      <c r="AS29" s="514"/>
      <c r="AT29" s="515"/>
      <c r="AU29" s="527"/>
      <c r="AV29" s="508"/>
    </row>
    <row r="30" spans="1:48" ht="39.65" customHeight="1" x14ac:dyDescent="0.35">
      <c r="A30" s="1477"/>
      <c r="B30" s="534">
        <v>2</v>
      </c>
      <c r="C30" s="493"/>
      <c r="D30" s="494"/>
      <c r="E30" s="494"/>
      <c r="F30" s="495"/>
      <c r="G30" s="515"/>
      <c r="H30" s="514"/>
      <c r="I30" s="573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/>
      <c r="X30" s="495"/>
      <c r="Y30" s="515"/>
      <c r="Z30" s="514"/>
      <c r="AA30" s="579"/>
      <c r="AB30" s="527"/>
      <c r="AC30" s="66"/>
      <c r="AD30" s="470"/>
      <c r="AE30" s="6"/>
      <c r="AF30" s="6"/>
      <c r="AG30" s="495"/>
      <c r="AH30" s="566"/>
      <c r="AI30" s="515"/>
      <c r="AJ30" s="515"/>
      <c r="AK30" s="527"/>
      <c r="AM30" s="470"/>
      <c r="AN30" s="6"/>
      <c r="AO30" s="6"/>
      <c r="AP30" s="47"/>
      <c r="AQ30" s="495"/>
      <c r="AR30" s="469"/>
      <c r="AS30" s="502"/>
      <c r="AT30" s="636"/>
      <c r="AU30" s="527"/>
      <c r="AV30" s="508"/>
    </row>
    <row r="31" spans="1:48" ht="39.65" customHeight="1" x14ac:dyDescent="0.35">
      <c r="A31" s="1478">
        <v>45427</v>
      </c>
      <c r="B31" s="472">
        <v>1</v>
      </c>
      <c r="C31" s="493"/>
      <c r="D31" s="494"/>
      <c r="E31" s="494"/>
      <c r="F31" s="495"/>
      <c r="G31" s="566"/>
      <c r="H31" s="515"/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469"/>
      <c r="Z31" s="6"/>
      <c r="AA31" s="579"/>
      <c r="AB31" s="527"/>
      <c r="AC31" s="66"/>
      <c r="AD31" s="470"/>
      <c r="AE31" s="6"/>
      <c r="AF31" s="6"/>
      <c r="AG31" s="495"/>
      <c r="AH31" s="566"/>
      <c r="AI31" s="6"/>
      <c r="AJ31" s="6"/>
      <c r="AK31" s="527"/>
      <c r="AM31" s="470"/>
      <c r="AN31" s="6"/>
      <c r="AO31" s="6">
        <v>25</v>
      </c>
      <c r="AP31" s="47"/>
      <c r="AQ31" s="495"/>
      <c r="AR31" s="509"/>
      <c r="AS31" s="6"/>
      <c r="AT31" s="6" t="s">
        <v>336</v>
      </c>
      <c r="AU31" s="527"/>
      <c r="AV31" s="527"/>
    </row>
    <row r="32" spans="1:48" ht="63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65"/>
      <c r="I32" s="573"/>
      <c r="J32" s="527"/>
      <c r="K32" s="66"/>
      <c r="L32" s="470"/>
      <c r="M32" s="6"/>
      <c r="N32" s="6"/>
      <c r="O32" s="495"/>
      <c r="P32" s="509"/>
      <c r="Q32" s="6"/>
      <c r="R32" s="6"/>
      <c r="S32" s="527"/>
      <c r="T32" s="66"/>
      <c r="U32" s="470"/>
      <c r="V32" s="6"/>
      <c r="W32" s="494"/>
      <c r="X32" s="495"/>
      <c r="Y32" s="566"/>
      <c r="Z32" s="566"/>
      <c r="AA32" s="579"/>
      <c r="AB32" s="527"/>
      <c r="AC32" s="66"/>
      <c r="AD32" s="470"/>
      <c r="AE32" s="6"/>
      <c r="AF32" s="494"/>
      <c r="AG32" s="495"/>
      <c r="AH32" s="566"/>
      <c r="AI32" s="566"/>
      <c r="AJ32" s="579"/>
      <c r="AK32" s="527"/>
      <c r="AM32" s="470"/>
      <c r="AN32" s="6"/>
      <c r="AO32" s="6"/>
      <c r="AP32" s="47"/>
      <c r="AQ32" s="495"/>
      <c r="AR32" s="509"/>
      <c r="AS32" s="502"/>
      <c r="AT32" s="565"/>
      <c r="AU32" s="527"/>
      <c r="AV32" s="508"/>
    </row>
    <row r="33" spans="1:48" ht="43.2" customHeight="1" x14ac:dyDescent="0.35">
      <c r="A33" s="1478">
        <v>45428</v>
      </c>
      <c r="B33" s="472">
        <v>1</v>
      </c>
      <c r="C33" s="493"/>
      <c r="D33" s="494"/>
      <c r="E33" s="494"/>
      <c r="F33" s="495"/>
      <c r="G33" s="566"/>
      <c r="H33" s="515"/>
      <c r="I33" s="579"/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/>
      <c r="X33" s="495"/>
      <c r="Y33" s="509"/>
      <c r="Z33" s="6"/>
      <c r="AA33" s="579"/>
      <c r="AB33" s="527"/>
      <c r="AC33" s="66"/>
      <c r="AD33" s="470"/>
      <c r="AE33" s="6"/>
      <c r="AF33" s="6"/>
      <c r="AG33" s="495"/>
      <c r="AH33" s="509"/>
      <c r="AI33" s="502"/>
      <c r="AJ33" s="579"/>
      <c r="AK33" s="527"/>
      <c r="AM33" s="470"/>
      <c r="AN33" s="6"/>
      <c r="AO33" s="6">
        <v>25</v>
      </c>
      <c r="AP33" s="47"/>
      <c r="AQ33" s="495"/>
      <c r="AR33" s="509"/>
      <c r="AS33" s="502"/>
      <c r="AT33" s="6" t="s">
        <v>97</v>
      </c>
      <c r="AU33" s="527"/>
      <c r="AV33" s="508"/>
    </row>
    <row r="34" spans="1:48" ht="67.95" customHeight="1" x14ac:dyDescent="0.35">
      <c r="A34" s="1477"/>
      <c r="B34" s="534">
        <v>2</v>
      </c>
      <c r="C34" s="494"/>
      <c r="D34" s="494"/>
      <c r="E34" s="494"/>
      <c r="F34" s="637"/>
      <c r="G34" s="565"/>
      <c r="H34" s="515"/>
      <c r="I34" s="579"/>
      <c r="J34" s="527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/>
      <c r="X34" s="508"/>
      <c r="Y34" s="502"/>
      <c r="Z34" s="502"/>
      <c r="AA34" s="579"/>
      <c r="AB34" s="527"/>
      <c r="AC34" s="66"/>
      <c r="AD34" s="470"/>
      <c r="AE34" s="6"/>
      <c r="AF34" s="6"/>
      <c r="AG34" s="508"/>
      <c r="AH34" s="509"/>
      <c r="AI34" s="6"/>
      <c r="AJ34" s="502"/>
      <c r="AK34" s="527"/>
      <c r="AM34" s="470"/>
      <c r="AN34" s="6"/>
      <c r="AO34" s="6"/>
      <c r="AP34" s="47"/>
      <c r="AQ34" s="508"/>
      <c r="AR34" s="509"/>
      <c r="AS34" s="6"/>
      <c r="AT34" s="636"/>
      <c r="AU34" s="527"/>
      <c r="AV34" s="508"/>
    </row>
    <row r="35" spans="1:48" ht="51" customHeight="1" x14ac:dyDescent="0.35">
      <c r="A35" s="1478">
        <v>45429</v>
      </c>
      <c r="B35" s="472">
        <v>1</v>
      </c>
      <c r="C35" s="494"/>
      <c r="D35" s="494"/>
      <c r="E35" s="47"/>
      <c r="F35" s="636"/>
      <c r="G35" s="465"/>
      <c r="H35" s="509"/>
      <c r="I35" s="573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/>
      <c r="W35" s="47"/>
      <c r="X35" s="526"/>
      <c r="Y35" s="465"/>
      <c r="Z35" s="6"/>
      <c r="AA35" s="579"/>
      <c r="AB35" s="508"/>
      <c r="AC35" s="66"/>
      <c r="AD35" s="470"/>
      <c r="AE35" s="6"/>
      <c r="AF35" s="6"/>
      <c r="AG35" s="469"/>
      <c r="AH35" s="465"/>
      <c r="AI35" s="6"/>
      <c r="AJ35" s="565"/>
      <c r="AK35" s="508"/>
      <c r="AM35" s="470"/>
      <c r="AN35" s="6"/>
      <c r="AO35" s="47"/>
      <c r="AP35" s="47"/>
      <c r="AQ35" s="526"/>
      <c r="AR35" s="465"/>
      <c r="AS35" s="573"/>
      <c r="AT35" s="636"/>
      <c r="AU35" s="636"/>
      <c r="AV35" s="508"/>
    </row>
    <row r="36" spans="1:48" ht="46.95" customHeight="1" x14ac:dyDescent="0.35">
      <c r="A36" s="1477"/>
      <c r="B36" s="472">
        <v>2</v>
      </c>
      <c r="C36" s="47"/>
      <c r="D36" s="6"/>
      <c r="E36" s="47"/>
      <c r="F36" s="636"/>
      <c r="G36" s="573"/>
      <c r="H36" s="515"/>
      <c r="I36" s="641"/>
      <c r="J36" s="527"/>
      <c r="K36" s="66"/>
      <c r="L36" s="465"/>
      <c r="M36" s="6"/>
      <c r="N36" s="6"/>
      <c r="O36" s="469"/>
      <c r="P36" s="465"/>
      <c r="Q36" s="515"/>
      <c r="R36" s="502"/>
      <c r="S36" s="527"/>
      <c r="T36" s="66"/>
      <c r="U36" s="470">
        <v>90</v>
      </c>
      <c r="V36" s="6"/>
      <c r="W36" s="6"/>
      <c r="X36" s="469"/>
      <c r="Y36" s="465" t="s">
        <v>789</v>
      </c>
      <c r="Z36" s="515"/>
      <c r="AA36" s="579"/>
      <c r="AB36" s="508"/>
      <c r="AC36" s="66"/>
      <c r="AD36" s="470"/>
      <c r="AE36" s="6"/>
      <c r="AF36" s="47"/>
      <c r="AG36" s="526"/>
      <c r="AH36" s="465"/>
      <c r="AI36" s="502"/>
      <c r="AJ36" s="579"/>
      <c r="AK36" s="508"/>
      <c r="AM36" s="470"/>
      <c r="AN36" s="6"/>
      <c r="AO36" s="470"/>
      <c r="AP36" s="6"/>
      <c r="AQ36" s="6"/>
      <c r="AR36" s="509"/>
      <c r="AS36" s="469"/>
      <c r="AT36" s="465"/>
      <c r="AU36" s="636"/>
      <c r="AV36" s="508"/>
    </row>
    <row r="37" spans="1:48" ht="59.5" customHeight="1" x14ac:dyDescent="0.35">
      <c r="A37" s="1478">
        <v>45430</v>
      </c>
      <c r="B37" s="534">
        <v>1</v>
      </c>
      <c r="C37" s="47"/>
      <c r="D37" s="494"/>
      <c r="E37" s="47">
        <v>6</v>
      </c>
      <c r="F37" s="47"/>
      <c r="G37" s="573"/>
      <c r="H37" s="469"/>
      <c r="I37" s="641" t="s">
        <v>152</v>
      </c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/>
      <c r="X37" s="508"/>
      <c r="Y37" s="509"/>
      <c r="Z37" s="502"/>
      <c r="AA37" s="579"/>
      <c r="AB37" s="527"/>
      <c r="AC37" s="66"/>
      <c r="AD37" s="470"/>
      <c r="AE37" s="6"/>
      <c r="AF37" s="6"/>
      <c r="AG37" s="508"/>
      <c r="AH37" s="469"/>
      <c r="AI37" s="6"/>
      <c r="AJ37" s="579"/>
      <c r="AK37" s="508"/>
      <c r="AM37" s="470"/>
      <c r="AN37" s="6"/>
      <c r="AO37" s="6"/>
      <c r="AP37" s="47"/>
      <c r="AQ37" s="508"/>
      <c r="AR37" s="509"/>
      <c r="AS37" s="6"/>
      <c r="AT37" s="6"/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/>
      <c r="E38" s="47"/>
      <c r="F38" s="637"/>
      <c r="G38" s="573"/>
      <c r="H38" s="469"/>
      <c r="I38" s="641"/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/>
      <c r="V38" s="6"/>
      <c r="W38" s="6"/>
      <c r="X38" s="508"/>
      <c r="Y38" s="469"/>
      <c r="Z38" s="502"/>
      <c r="AA38" s="579"/>
      <c r="AB38" s="527"/>
      <c r="AC38" s="66"/>
      <c r="AD38" s="470"/>
      <c r="AE38" s="6"/>
      <c r="AF38" s="6"/>
      <c r="AG38" s="508"/>
      <c r="AH38" s="469"/>
      <c r="AI38" s="6"/>
      <c r="AJ38" s="579"/>
      <c r="AK38" s="527"/>
      <c r="AM38" s="470"/>
      <c r="AN38" s="6"/>
      <c r="AO38" s="6"/>
      <c r="AP38" s="47"/>
      <c r="AQ38" s="508"/>
      <c r="AR38" s="469"/>
      <c r="AS38" s="6"/>
      <c r="AT38" s="465"/>
      <c r="AU38" s="636"/>
      <c r="AV38" s="527"/>
    </row>
    <row r="39" spans="1:48" ht="70.95" customHeight="1" x14ac:dyDescent="0.35">
      <c r="A39" s="1478">
        <v>45431</v>
      </c>
      <c r="B39" s="472">
        <v>1</v>
      </c>
      <c r="C39" s="47"/>
      <c r="D39" s="494"/>
      <c r="E39" s="47"/>
      <c r="F39" s="637"/>
      <c r="G39" s="573"/>
      <c r="H39" s="469"/>
      <c r="I39" s="641"/>
      <c r="J39" s="527"/>
      <c r="K39" s="66"/>
      <c r="L39" s="470"/>
      <c r="M39" s="6"/>
      <c r="N39" s="6"/>
      <c r="O39" s="495"/>
      <c r="P39" s="573"/>
      <c r="Q39" s="514"/>
      <c r="R39" s="573"/>
      <c r="S39" s="527"/>
      <c r="T39" s="66"/>
      <c r="U39" s="470"/>
      <c r="V39" s="6"/>
      <c r="W39" s="6"/>
      <c r="X39" s="495"/>
      <c r="Y39" s="509"/>
      <c r="Z39" s="514"/>
      <c r="AA39" s="579"/>
      <c r="AB39" s="527"/>
      <c r="AC39" s="66"/>
      <c r="AD39" s="470"/>
      <c r="AE39" s="6"/>
      <c r="AF39" s="6"/>
      <c r="AG39" s="495"/>
      <c r="AH39" s="573"/>
      <c r="AI39" s="514"/>
      <c r="AJ39" s="573"/>
      <c r="AK39" s="527"/>
      <c r="AM39" s="470"/>
      <c r="AN39" s="6"/>
      <c r="AO39" s="6"/>
      <c r="AP39" s="495"/>
      <c r="AQ39" s="573"/>
      <c r="AR39" s="514"/>
      <c r="AS39" s="573"/>
      <c r="AT39" s="527"/>
      <c r="AU39" s="527"/>
      <c r="AV39" s="568"/>
    </row>
    <row r="40" spans="1:48" ht="72.650000000000006" customHeight="1" x14ac:dyDescent="0.35">
      <c r="A40" s="1477"/>
      <c r="B40" s="472">
        <v>2</v>
      </c>
      <c r="C40" s="494"/>
      <c r="D40" s="494"/>
      <c r="E40" s="494">
        <v>26</v>
      </c>
      <c r="F40" s="508"/>
      <c r="G40" s="573"/>
      <c r="H40" s="515"/>
      <c r="I40" s="641" t="s">
        <v>152</v>
      </c>
      <c r="J40" s="527"/>
      <c r="K40" s="66"/>
      <c r="L40" s="470"/>
      <c r="M40" s="6"/>
      <c r="N40" s="6"/>
      <c r="O40" s="508"/>
      <c r="P40" s="566"/>
      <c r="Q40" s="514"/>
      <c r="R40" s="573"/>
      <c r="S40" s="527"/>
      <c r="T40" s="66"/>
      <c r="U40" s="470"/>
      <c r="V40" s="6"/>
      <c r="W40" s="6"/>
      <c r="X40" s="508"/>
      <c r="Y40" s="566"/>
      <c r="Z40" s="514"/>
      <c r="AA40" s="565"/>
      <c r="AB40" s="527"/>
      <c r="AC40" s="66"/>
      <c r="AD40" s="470"/>
      <c r="AE40" s="6"/>
      <c r="AF40" s="6"/>
      <c r="AG40" s="508"/>
      <c r="AH40" s="465"/>
      <c r="AI40" s="515"/>
      <c r="AJ40" s="573"/>
      <c r="AK40" s="527"/>
      <c r="AM40" s="465"/>
      <c r="AN40" s="6"/>
      <c r="AO40" s="6"/>
      <c r="AP40" s="47"/>
      <c r="AQ40" s="508"/>
      <c r="AR40" s="566"/>
      <c r="AS40" s="514"/>
      <c r="AT40" s="573"/>
      <c r="AU40" s="527"/>
      <c r="AV40" s="527"/>
    </row>
    <row r="41" spans="1:48" ht="39.65" customHeight="1" x14ac:dyDescent="0.35">
      <c r="A41" s="1478">
        <v>45432</v>
      </c>
      <c r="B41" s="472">
        <v>1</v>
      </c>
      <c r="C41" s="493"/>
      <c r="D41" s="494"/>
      <c r="E41" s="494"/>
      <c r="F41" s="508"/>
      <c r="G41" s="566"/>
      <c r="H41" s="515"/>
      <c r="I41" s="515"/>
      <c r="J41" s="527"/>
      <c r="K41" s="66"/>
      <c r="L41" s="470"/>
      <c r="M41" s="6"/>
      <c r="N41" s="6"/>
      <c r="O41" s="508"/>
      <c r="P41" s="509"/>
      <c r="Q41" s="6"/>
      <c r="R41" s="573"/>
      <c r="S41" s="527"/>
      <c r="T41" s="66"/>
      <c r="U41" s="470"/>
      <c r="V41" s="6"/>
      <c r="W41" s="6"/>
      <c r="X41" s="508"/>
      <c r="Y41" s="509"/>
      <c r="Z41" s="502"/>
      <c r="AA41" s="579"/>
      <c r="AB41" s="508"/>
      <c r="AC41" s="66"/>
      <c r="AD41" s="470"/>
      <c r="AE41" s="6"/>
      <c r="AF41" s="6"/>
      <c r="AG41" s="508"/>
      <c r="AH41" s="465"/>
      <c r="AI41" s="502"/>
      <c r="AJ41" s="6"/>
      <c r="AK41" s="508"/>
      <c r="AM41" s="470"/>
      <c r="AN41" s="6"/>
      <c r="AO41" s="6"/>
      <c r="AP41" s="47"/>
      <c r="AQ41" s="508"/>
      <c r="AR41" s="509"/>
      <c r="AS41" s="502"/>
      <c r="AT41" s="573"/>
      <c r="AU41" s="47"/>
      <c r="AV41" s="508"/>
    </row>
    <row r="42" spans="1:48" ht="52.95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5"/>
      <c r="I42" s="573"/>
      <c r="J42" s="527"/>
      <c r="K42" s="66"/>
      <c r="L42" s="470"/>
      <c r="M42" s="6"/>
      <c r="N42" s="6"/>
      <c r="O42" s="508"/>
      <c r="P42" s="509"/>
      <c r="Q42" s="6"/>
      <c r="R42" s="6"/>
      <c r="S42" s="527"/>
      <c r="T42" s="66"/>
      <c r="U42" s="470"/>
      <c r="V42" s="6"/>
      <c r="W42" s="6"/>
      <c r="X42" s="508"/>
      <c r="Y42" s="469"/>
      <c r="Z42" s="6"/>
      <c r="AA42" s="579"/>
      <c r="AB42" s="527"/>
      <c r="AC42" s="66"/>
      <c r="AD42" s="470"/>
      <c r="AE42" s="6"/>
      <c r="AF42" s="6"/>
      <c r="AG42" s="508"/>
      <c r="AH42" s="509"/>
      <c r="AI42" s="502"/>
      <c r="AJ42" s="6"/>
      <c r="AK42" s="527"/>
      <c r="AM42" s="470"/>
      <c r="AN42" s="6"/>
      <c r="AO42" s="6"/>
      <c r="AP42" s="508"/>
      <c r="AQ42" s="508"/>
      <c r="AR42" s="509"/>
      <c r="AS42" s="6"/>
      <c r="AT42" s="6"/>
      <c r="AU42" s="527"/>
      <c r="AV42" s="527"/>
    </row>
    <row r="43" spans="1:48" ht="65.5" customHeight="1" x14ac:dyDescent="0.35">
      <c r="A43" s="1478">
        <v>45433</v>
      </c>
      <c r="B43" s="472">
        <v>1</v>
      </c>
      <c r="C43" s="494"/>
      <c r="D43" s="494"/>
      <c r="E43" s="494"/>
      <c r="F43" s="495"/>
      <c r="G43" s="514"/>
      <c r="H43" s="514"/>
      <c r="I43" s="641"/>
      <c r="J43" s="527"/>
      <c r="K43" s="66"/>
      <c r="L43" s="470"/>
      <c r="M43" s="6"/>
      <c r="N43" s="6"/>
      <c r="O43" s="508"/>
      <c r="P43" s="509"/>
      <c r="Q43" s="6"/>
      <c r="R43" s="6"/>
      <c r="S43" s="527"/>
      <c r="T43" s="66"/>
      <c r="U43" s="470"/>
      <c r="V43" s="6"/>
      <c r="W43" s="6"/>
      <c r="X43" s="508"/>
      <c r="Y43" s="509"/>
      <c r="Z43" s="6"/>
      <c r="AA43" s="579"/>
      <c r="AB43" s="527"/>
      <c r="AC43" s="66"/>
      <c r="AD43" s="470"/>
      <c r="AE43" s="6"/>
      <c r="AF43" s="6"/>
      <c r="AG43" s="508"/>
      <c r="AH43" s="502"/>
      <c r="AI43" s="515"/>
      <c r="AJ43" s="6"/>
      <c r="AK43" s="527"/>
      <c r="AM43" s="470"/>
      <c r="AN43" s="6"/>
      <c r="AO43" s="6"/>
      <c r="AP43" s="47"/>
      <c r="AQ43" s="508"/>
      <c r="AR43" s="502"/>
      <c r="AS43" s="515"/>
      <c r="AT43" s="6"/>
      <c r="AU43" s="527"/>
      <c r="AV43" s="508"/>
    </row>
    <row r="44" spans="1:48" ht="69" customHeight="1" x14ac:dyDescent="0.35">
      <c r="A44" s="1477"/>
      <c r="B44" s="472">
        <v>2</v>
      </c>
      <c r="C44" s="494"/>
      <c r="D44" s="494"/>
      <c r="E44" s="494">
        <v>10</v>
      </c>
      <c r="F44" s="495"/>
      <c r="G44" s="514"/>
      <c r="H44" s="515"/>
      <c r="I44" s="641" t="s">
        <v>152</v>
      </c>
      <c r="J44" s="527"/>
      <c r="K44" s="66"/>
      <c r="L44" s="470"/>
      <c r="M44" s="6">
        <v>120</v>
      </c>
      <c r="N44" s="6"/>
      <c r="O44" s="508"/>
      <c r="P44" s="469"/>
      <c r="Q44" s="6" t="s">
        <v>96</v>
      </c>
      <c r="R44" s="502"/>
      <c r="S44" s="527"/>
      <c r="T44" s="66"/>
      <c r="U44" s="470"/>
      <c r="V44" s="6"/>
      <c r="W44" s="494"/>
      <c r="X44" s="495"/>
      <c r="Y44" s="514"/>
      <c r="Z44" s="515"/>
      <c r="AA44" s="579"/>
      <c r="AB44" s="527"/>
      <c r="AC44" s="66"/>
      <c r="AD44" s="470"/>
      <c r="AE44" s="6"/>
      <c r="AF44" s="6"/>
      <c r="AG44" s="508"/>
      <c r="AH44" s="509"/>
      <c r="AI44" s="502"/>
      <c r="AJ44" s="579"/>
      <c r="AK44" s="527"/>
      <c r="AM44" s="470"/>
      <c r="AN44" s="6">
        <v>91</v>
      </c>
      <c r="AO44" s="6"/>
      <c r="AP44" s="47"/>
      <c r="AQ44" s="508"/>
      <c r="AR44" s="509"/>
      <c r="AS44" s="502" t="s">
        <v>811</v>
      </c>
      <c r="AT44" s="502"/>
      <c r="AU44" s="527"/>
      <c r="AV44" s="508"/>
    </row>
    <row r="45" spans="1:48" ht="69" customHeight="1" x14ac:dyDescent="0.35">
      <c r="A45" s="1478">
        <v>45434</v>
      </c>
      <c r="B45" s="472">
        <v>1</v>
      </c>
      <c r="C45" s="494"/>
      <c r="D45" s="494"/>
      <c r="E45" s="494"/>
      <c r="F45" s="495"/>
      <c r="G45" s="514"/>
      <c r="H45" s="514"/>
      <c r="I45" s="573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502"/>
      <c r="W45" s="6"/>
      <c r="X45" s="508"/>
      <c r="Y45" s="514"/>
      <c r="Z45" s="502"/>
      <c r="AA45" s="502"/>
      <c r="AB45" s="508"/>
      <c r="AC45" s="66"/>
      <c r="AD45" s="470"/>
      <c r="AE45" s="6"/>
      <c r="AF45" s="6"/>
      <c r="AG45" s="508"/>
      <c r="AH45" s="509"/>
      <c r="AI45" s="502"/>
      <c r="AJ45" s="502"/>
      <c r="AK45" s="508"/>
      <c r="AM45" s="470"/>
      <c r="AN45" s="6"/>
      <c r="AO45" s="6"/>
      <c r="AP45" s="47"/>
      <c r="AQ45" s="508"/>
      <c r="AR45" s="509"/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641"/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/>
      <c r="W46" s="6"/>
      <c r="X46" s="508"/>
      <c r="Y46" s="469"/>
      <c r="Z46" s="6"/>
      <c r="AA46" s="502"/>
      <c r="AB46" s="527"/>
      <c r="AC46" s="66"/>
      <c r="AD46" s="470">
        <v>82</v>
      </c>
      <c r="AE46" s="6"/>
      <c r="AF46" s="6"/>
      <c r="AG46" s="508"/>
      <c r="AH46" s="469" t="s">
        <v>914</v>
      </c>
      <c r="AI46" s="502"/>
      <c r="AJ46" s="579"/>
      <c r="AK46" s="527"/>
      <c r="AM46" s="470"/>
      <c r="AN46" s="6"/>
      <c r="AO46" s="6"/>
      <c r="AP46" s="47"/>
      <c r="AQ46" s="508"/>
      <c r="AR46" s="509"/>
      <c r="AS46" s="515"/>
      <c r="AT46" s="573"/>
      <c r="AU46" s="47"/>
      <c r="AV46" s="527"/>
    </row>
    <row r="47" spans="1:48" ht="58.95" customHeight="1" x14ac:dyDescent="0.35">
      <c r="A47" s="1478">
        <v>45435</v>
      </c>
      <c r="B47" s="472">
        <v>1</v>
      </c>
      <c r="C47" s="494"/>
      <c r="D47" s="494"/>
      <c r="E47" s="494"/>
      <c r="F47" s="495"/>
      <c r="G47" s="514"/>
      <c r="H47" s="515"/>
      <c r="I47" s="641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14"/>
      <c r="Z47" s="502"/>
      <c r="AA47" s="502"/>
      <c r="AB47" s="527"/>
      <c r="AC47" s="66"/>
      <c r="AD47" s="470"/>
      <c r="AE47" s="6">
        <v>48</v>
      </c>
      <c r="AF47" s="6"/>
      <c r="AG47" s="508"/>
      <c r="AH47" s="469" t="s">
        <v>915</v>
      </c>
      <c r="AI47" s="515"/>
      <c r="AJ47" s="579"/>
      <c r="AK47" s="508"/>
      <c r="AM47" s="470"/>
      <c r="AN47" s="6"/>
      <c r="AO47" s="6"/>
      <c r="AP47" s="47"/>
      <c r="AQ47" s="508"/>
      <c r="AR47" s="509"/>
      <c r="AS47" s="515"/>
      <c r="AT47" s="6"/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27"/>
      <c r="K48" s="66"/>
      <c r="L48" s="470"/>
      <c r="M48" s="6"/>
      <c r="N48" s="6"/>
      <c r="O48" s="495"/>
      <c r="P48" s="515"/>
      <c r="Q48" s="515"/>
      <c r="R48" s="573"/>
      <c r="S48" s="527"/>
      <c r="T48" s="66"/>
      <c r="U48" s="470"/>
      <c r="V48" s="6"/>
      <c r="W48" s="6"/>
      <c r="X48" s="495"/>
      <c r="Y48" s="515"/>
      <c r="Z48" s="515"/>
      <c r="AA48" s="573"/>
      <c r="AB48" s="527"/>
      <c r="AC48" s="66"/>
      <c r="AD48" s="470"/>
      <c r="AE48" s="6"/>
      <c r="AF48" s="6"/>
      <c r="AG48" s="495"/>
      <c r="AH48" s="515"/>
      <c r="AI48" s="515"/>
      <c r="AJ48" s="573"/>
      <c r="AK48" s="527"/>
      <c r="AM48" s="470"/>
      <c r="AN48" s="6"/>
      <c r="AO48" s="470"/>
      <c r="AP48" s="6"/>
      <c r="AQ48" s="6"/>
      <c r="AR48" s="495"/>
      <c r="AS48" s="515"/>
      <c r="AT48" s="515"/>
      <c r="AU48" s="527"/>
      <c r="AV48" s="508"/>
    </row>
    <row r="49" spans="1:48" ht="36" customHeight="1" x14ac:dyDescent="0.35">
      <c r="A49" s="1478">
        <v>45436</v>
      </c>
      <c r="B49" s="472">
        <v>1</v>
      </c>
      <c r="C49" s="494"/>
      <c r="D49" s="494"/>
      <c r="E49" s="494"/>
      <c r="F49" s="495"/>
      <c r="G49" s="515"/>
      <c r="H49" s="514"/>
      <c r="I49" s="641"/>
      <c r="J49" s="527"/>
      <c r="K49" s="66"/>
      <c r="L49" s="470"/>
      <c r="M49" s="6"/>
      <c r="N49" s="6"/>
      <c r="O49" s="495"/>
      <c r="P49" s="515"/>
      <c r="Q49" s="514"/>
      <c r="R49" s="573"/>
      <c r="S49" s="527"/>
      <c r="T49" s="66"/>
      <c r="U49" s="470"/>
      <c r="V49" s="6"/>
      <c r="W49" s="6"/>
      <c r="X49" s="495"/>
      <c r="Y49" s="515"/>
      <c r="Z49" s="502"/>
      <c r="AA49" s="502"/>
      <c r="AB49" s="527"/>
      <c r="AC49" s="66"/>
      <c r="AD49" s="470"/>
      <c r="AE49" s="6"/>
      <c r="AF49" s="6"/>
      <c r="AG49" s="495"/>
      <c r="AH49" s="515"/>
      <c r="AI49" s="514"/>
      <c r="AJ49" s="573"/>
      <c r="AK49" s="527"/>
      <c r="AM49" s="470"/>
      <c r="AN49" s="6"/>
      <c r="AO49" s="6"/>
      <c r="AP49" s="495"/>
      <c r="AQ49" s="515"/>
      <c r="AR49" s="514"/>
      <c r="AS49" s="573"/>
      <c r="AT49" s="527"/>
      <c r="AU49" s="527"/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/>
      <c r="X50" s="495"/>
      <c r="Y50" s="514"/>
      <c r="Z50" s="514"/>
      <c r="AA50" s="579"/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495"/>
      <c r="AQ50" s="514"/>
      <c r="AR50" s="514"/>
      <c r="AS50" s="573"/>
      <c r="AT50" s="527"/>
      <c r="AU50" s="527"/>
      <c r="AV50" s="527"/>
    </row>
    <row r="51" spans="1:48" ht="34.950000000000003" customHeight="1" x14ac:dyDescent="0.35">
      <c r="A51" s="1478">
        <v>45437</v>
      </c>
      <c r="B51" s="472">
        <v>1</v>
      </c>
      <c r="C51" s="494"/>
      <c r="D51" s="494"/>
      <c r="E51" s="494"/>
      <c r="F51" s="495"/>
      <c r="G51" s="514"/>
      <c r="H51" s="514"/>
      <c r="I51" s="641"/>
      <c r="J51" s="527"/>
      <c r="K51" s="66"/>
      <c r="L51" s="470"/>
      <c r="M51" s="6"/>
      <c r="N51" s="6"/>
      <c r="O51" s="495"/>
      <c r="P51" s="514"/>
      <c r="Q51" s="514"/>
      <c r="R51" s="573"/>
      <c r="S51" s="527"/>
      <c r="T51" s="66"/>
      <c r="U51" s="470"/>
      <c r="V51" s="6"/>
      <c r="W51" s="6"/>
      <c r="X51" s="495"/>
      <c r="Y51" s="514"/>
      <c r="Z51" s="514"/>
      <c r="AA51" s="579"/>
      <c r="AB51" s="527"/>
      <c r="AC51" s="66"/>
      <c r="AD51" s="470"/>
      <c r="AE51" s="6"/>
      <c r="AF51" s="6"/>
      <c r="AG51" s="495"/>
      <c r="AH51" s="514"/>
      <c r="AI51" s="514"/>
      <c r="AJ51" s="573"/>
      <c r="AK51" s="527"/>
      <c r="AM51" s="470"/>
      <c r="AN51" s="6"/>
      <c r="AO51" s="6"/>
      <c r="AP51" s="495"/>
      <c r="AQ51" s="514"/>
      <c r="AR51" s="514"/>
      <c r="AS51" s="573"/>
      <c r="AT51" s="527"/>
      <c r="AU51" s="527"/>
      <c r="AV51" s="508"/>
    </row>
    <row r="52" spans="1:48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641"/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>
        <v>66</v>
      </c>
      <c r="V52" s="6">
        <v>18</v>
      </c>
      <c r="W52" s="6"/>
      <c r="X52" s="495"/>
      <c r="Y52" s="515" t="s">
        <v>916</v>
      </c>
      <c r="Z52" s="514" t="s">
        <v>520</v>
      </c>
      <c r="AA52" s="579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8"/>
      <c r="AR52" s="509"/>
      <c r="AS52" s="6"/>
      <c r="AT52" s="527"/>
      <c r="AU52" s="527"/>
      <c r="AV52" s="508"/>
    </row>
    <row r="53" spans="1:48" ht="48" customHeight="1" x14ac:dyDescent="0.35">
      <c r="A53" s="1478">
        <v>45438</v>
      </c>
      <c r="B53" s="472">
        <v>1</v>
      </c>
      <c r="C53" s="494"/>
      <c r="D53" s="494"/>
      <c r="E53" s="494"/>
      <c r="F53" s="495"/>
      <c r="G53" s="514"/>
      <c r="H53" s="514"/>
      <c r="I53" s="641"/>
      <c r="J53" s="527"/>
      <c r="K53" s="66"/>
      <c r="L53" s="470"/>
      <c r="M53" s="6"/>
      <c r="N53" s="6"/>
      <c r="O53" s="508"/>
      <c r="P53" s="469"/>
      <c r="Q53" s="515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6"/>
      <c r="AJ53" s="502"/>
      <c r="AK53" s="508"/>
      <c r="AM53" s="470">
        <v>80</v>
      </c>
      <c r="AN53" s="502"/>
      <c r="AO53" s="6"/>
      <c r="AP53" s="47"/>
      <c r="AQ53" s="508"/>
      <c r="AR53" s="469" t="s">
        <v>917</v>
      </c>
      <c r="AS53" s="6"/>
      <c r="AT53" s="6"/>
      <c r="AU53" s="47"/>
      <c r="AV53" s="508"/>
    </row>
    <row r="54" spans="1:48" ht="45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5"/>
      <c r="I54" s="573"/>
      <c r="J54" s="527"/>
      <c r="K54" s="66"/>
      <c r="L54" s="470"/>
      <c r="M54" s="6"/>
      <c r="N54" s="6"/>
      <c r="O54" s="495"/>
      <c r="P54" s="514"/>
      <c r="Q54" s="515"/>
      <c r="R54" s="514"/>
      <c r="S54" s="527"/>
      <c r="T54" s="66"/>
      <c r="U54" s="470">
        <v>138</v>
      </c>
      <c r="V54" s="6"/>
      <c r="W54" s="6">
        <v>12</v>
      </c>
      <c r="X54" s="495"/>
      <c r="Y54" s="515" t="s">
        <v>919</v>
      </c>
      <c r="Z54" s="515"/>
      <c r="AA54" s="515" t="s">
        <v>152</v>
      </c>
      <c r="AB54" s="527"/>
      <c r="AC54" s="66"/>
      <c r="AD54" s="470"/>
      <c r="AE54" s="6"/>
      <c r="AF54" s="6"/>
      <c r="AG54" s="508"/>
      <c r="AH54" s="509"/>
      <c r="AI54" s="515"/>
      <c r="AJ54" s="6"/>
      <c r="AK54" s="527"/>
      <c r="AM54" s="470">
        <v>92</v>
      </c>
      <c r="AN54" s="6"/>
      <c r="AO54" s="6"/>
      <c r="AP54" s="47"/>
      <c r="AQ54" s="495"/>
      <c r="AR54" s="469" t="s">
        <v>918</v>
      </c>
      <c r="AS54" s="515"/>
      <c r="AT54" s="514"/>
      <c r="AU54" s="638"/>
      <c r="AV54" s="527"/>
    </row>
    <row r="55" spans="1:48" ht="39.65" customHeight="1" x14ac:dyDescent="0.35">
      <c r="A55" s="1478">
        <v>45439</v>
      </c>
      <c r="B55" s="472">
        <v>1</v>
      </c>
      <c r="C55" s="493"/>
      <c r="D55" s="494"/>
      <c r="E55" s="494"/>
      <c r="F55" s="495"/>
      <c r="G55" s="514"/>
      <c r="H55" s="514"/>
      <c r="I55" s="641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>
        <v>128</v>
      </c>
      <c r="W55" s="6"/>
      <c r="X55" s="508"/>
      <c r="Y55" s="509"/>
      <c r="Z55" s="514" t="s">
        <v>96</v>
      </c>
      <c r="AA55" s="579"/>
      <c r="AB55" s="508"/>
      <c r="AC55" s="66"/>
      <c r="AD55" s="470"/>
      <c r="AE55" s="6"/>
      <c r="AF55" s="6"/>
      <c r="AG55" s="508"/>
      <c r="AH55" s="509"/>
      <c r="AI55" s="515"/>
      <c r="AJ55" s="6"/>
      <c r="AK55" s="508"/>
      <c r="AM55" s="470"/>
      <c r="AN55" s="6"/>
      <c r="AO55" s="6"/>
      <c r="AP55" s="47"/>
      <c r="AQ55" s="508"/>
      <c r="AR55" s="509"/>
      <c r="AS55" s="515"/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641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>
        <v>44</v>
      </c>
      <c r="W56" s="6"/>
      <c r="X56" s="495"/>
      <c r="Y56" s="469"/>
      <c r="Z56" s="514" t="s">
        <v>920</v>
      </c>
      <c r="AA56" s="502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7"/>
      <c r="AQ56" s="495"/>
      <c r="AR56" s="515"/>
      <c r="AS56" s="514"/>
      <c r="AT56" s="515"/>
      <c r="AU56" s="573"/>
      <c r="AV56" s="527"/>
    </row>
    <row r="57" spans="1:48" ht="52.2" customHeight="1" x14ac:dyDescent="0.35">
      <c r="A57" s="1478">
        <v>45440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02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4"/>
      <c r="I58" s="641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>
        <v>197</v>
      </c>
      <c r="V58" s="6">
        <v>9</v>
      </c>
      <c r="W58" s="6"/>
      <c r="X58" s="495"/>
      <c r="Y58" s="515" t="s">
        <v>921</v>
      </c>
      <c r="Z58" s="514" t="s">
        <v>922</v>
      </c>
      <c r="AA58" s="579"/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/>
      <c r="AP58" s="47"/>
      <c r="AQ58" s="495"/>
      <c r="AR58" s="515"/>
      <c r="AS58" s="514"/>
      <c r="AT58" s="515"/>
      <c r="AU58" s="573"/>
      <c r="AV58" s="527"/>
    </row>
    <row r="59" spans="1:48" ht="73.2" customHeight="1" x14ac:dyDescent="0.35">
      <c r="A59" s="1478">
        <v>45441</v>
      </c>
      <c r="B59" s="472">
        <v>1</v>
      </c>
      <c r="C59" s="493"/>
      <c r="D59" s="494"/>
      <c r="E59" s="494"/>
      <c r="F59" s="495"/>
      <c r="G59" s="515"/>
      <c r="H59" s="514"/>
      <c r="I59" s="641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>
        <v>10</v>
      </c>
      <c r="W59" s="6"/>
      <c r="X59" s="508"/>
      <c r="Y59" s="509"/>
      <c r="Z59" s="514" t="s">
        <v>922</v>
      </c>
      <c r="AA59" s="579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641"/>
      <c r="J60" s="527"/>
      <c r="K60" s="66"/>
      <c r="L60" s="470"/>
      <c r="M60" s="6"/>
      <c r="N60" s="6"/>
      <c r="O60" s="508"/>
      <c r="P60" s="509"/>
      <c r="Q60" s="515"/>
      <c r="R60" s="6"/>
      <c r="S60" s="527"/>
      <c r="T60" s="66"/>
      <c r="U60" s="470"/>
      <c r="V60" s="6"/>
      <c r="W60" s="6">
        <v>15</v>
      </c>
      <c r="X60" s="508"/>
      <c r="Y60" s="469"/>
      <c r="Z60" s="515" t="s">
        <v>336</v>
      </c>
      <c r="AA60" s="502"/>
      <c r="AB60" s="527"/>
      <c r="AC60" s="66"/>
      <c r="AD60" s="470"/>
      <c r="AE60" s="6"/>
      <c r="AF60" s="6"/>
      <c r="AG60" s="508"/>
      <c r="AH60" s="509"/>
      <c r="AI60" s="515"/>
      <c r="AJ60" s="502"/>
      <c r="AK60" s="527"/>
      <c r="AM60" s="470"/>
      <c r="AN60" s="6"/>
      <c r="AO60" s="6"/>
      <c r="AP60" s="47"/>
      <c r="AQ60" s="508"/>
      <c r="AR60" s="509"/>
      <c r="AS60" s="515"/>
      <c r="AT60" s="502"/>
      <c r="AU60" s="636"/>
      <c r="AV60" s="527"/>
    </row>
    <row r="61" spans="1:48" ht="32.5" customHeight="1" x14ac:dyDescent="0.35">
      <c r="A61" s="1478">
        <v>45442</v>
      </c>
      <c r="B61" s="472">
        <v>1</v>
      </c>
      <c r="C61" s="618"/>
      <c r="D61" s="619"/>
      <c r="E61" s="494">
        <v>10</v>
      </c>
      <c r="F61" s="620"/>
      <c r="G61" s="514"/>
      <c r="H61" s="576"/>
      <c r="I61" s="573" t="s">
        <v>152</v>
      </c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>
        <v>10</v>
      </c>
      <c r="X61" s="508"/>
      <c r="Y61" s="469"/>
      <c r="Z61" s="502" t="s">
        <v>923</v>
      </c>
      <c r="AA61" s="502"/>
      <c r="AB61" s="624"/>
      <c r="AC61" s="66"/>
      <c r="AD61" s="470"/>
      <c r="AE61" s="6"/>
      <c r="AF61" s="6"/>
      <c r="AG61" s="508"/>
      <c r="AH61" s="509"/>
      <c r="AI61" s="6"/>
      <c r="AJ61" s="502"/>
      <c r="AK61" s="624"/>
      <c r="AM61" s="470"/>
      <c r="AN61" s="6"/>
      <c r="AO61" s="6"/>
      <c r="AP61" s="47"/>
      <c r="AQ61" s="508"/>
      <c r="AR61" s="469"/>
      <c r="AS61" s="6"/>
      <c r="AT61" s="502"/>
      <c r="AU61" s="648"/>
      <c r="AV61" s="624"/>
    </row>
    <row r="62" spans="1:48" ht="62.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665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1491"/>
      <c r="AI62" s="1492"/>
      <c r="AJ62" s="1493"/>
      <c r="AK62" s="624"/>
      <c r="AM62" s="470"/>
      <c r="AN62" s="6"/>
      <c r="AO62" s="6"/>
      <c r="AP62" s="47"/>
      <c r="AQ62" s="508"/>
      <c r="AR62" s="509"/>
      <c r="AS62" s="6"/>
      <c r="AT62" s="502"/>
      <c r="AU62" s="648"/>
      <c r="AV62" s="624"/>
    </row>
    <row r="63" spans="1:48" ht="64.2" customHeight="1" x14ac:dyDescent="0.35">
      <c r="A63" s="1478">
        <v>45443</v>
      </c>
      <c r="B63" s="472">
        <v>1</v>
      </c>
      <c r="C63" s="587"/>
      <c r="D63" s="588"/>
      <c r="E63" s="588"/>
      <c r="F63" s="589"/>
      <c r="G63" s="598"/>
      <c r="H63" s="590"/>
      <c r="I63" s="573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502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7"/>
      <c r="AQ63" s="495"/>
      <c r="AR63" s="566"/>
      <c r="AS63" s="514"/>
      <c r="AT63" s="514"/>
      <c r="AU63" s="649"/>
      <c r="AV63" s="586"/>
    </row>
    <row r="64" spans="1:48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647"/>
      <c r="AQ64" s="528"/>
      <c r="AR64" s="529"/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456.5</v>
      </c>
      <c r="D65" s="65">
        <f>SUM(D3:D64)</f>
        <v>456.5</v>
      </c>
      <c r="E65" s="631">
        <f>SUM(E3:E64)</f>
        <v>355</v>
      </c>
      <c r="F65" s="65">
        <f>SUM(F3:F64)</f>
        <v>0</v>
      </c>
      <c r="L65" s="65">
        <f>SUM(L3:L64)</f>
        <v>100</v>
      </c>
      <c r="M65" s="65">
        <f>SUM(M3:M64)</f>
        <v>120</v>
      </c>
      <c r="N65" s="65">
        <f>SUM(N3:N64)</f>
        <v>0</v>
      </c>
      <c r="O65" s="65">
        <f>SUM(O3:O64)</f>
        <v>0</v>
      </c>
      <c r="U65" s="65">
        <f>SUM(U3:U64)</f>
        <v>802</v>
      </c>
      <c r="V65" s="65">
        <f>SUM(V3:V64)</f>
        <v>541</v>
      </c>
      <c r="W65" s="65">
        <f>SUM(W3:W64)</f>
        <v>451</v>
      </c>
      <c r="X65" s="65">
        <f>SUM(X3:X64)</f>
        <v>0</v>
      </c>
      <c r="AD65" s="65">
        <f>SUM(AD3:AD64)</f>
        <v>88</v>
      </c>
      <c r="AE65" s="65">
        <f>SUM(AE3:AE64)</f>
        <v>103</v>
      </c>
      <c r="AF65" s="65">
        <f>SUM(AF3:AF64)</f>
        <v>0</v>
      </c>
      <c r="AG65" s="65">
        <f>SUM(AG3:AG64)</f>
        <v>0</v>
      </c>
      <c r="AM65" s="65">
        <f>SUM(AM3:AM64)</f>
        <v>1282</v>
      </c>
      <c r="AN65" s="65">
        <f>SUM(AN3:AN64)</f>
        <v>183</v>
      </c>
      <c r="AO65" s="65">
        <f>SUM(AO3:AO64)</f>
        <v>1174</v>
      </c>
      <c r="AP65" s="65"/>
      <c r="AQ65" s="65">
        <f>SUM(AQ3:AQ64)</f>
        <v>0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456.5</v>
      </c>
      <c r="D76" s="543">
        <f>C76/60</f>
        <v>7.6083333333333334</v>
      </c>
      <c r="E76" s="542">
        <f>D65</f>
        <v>456.5</v>
      </c>
      <c r="F76" s="544">
        <f>E76/60</f>
        <v>7.6083333333333334</v>
      </c>
      <c r="G76" s="542">
        <f>E65</f>
        <v>355</v>
      </c>
      <c r="H76" s="543">
        <f>G76/60</f>
        <v>5.916666666666667</v>
      </c>
      <c r="I76" s="542">
        <f>F65</f>
        <v>0</v>
      </c>
      <c r="J76" s="543">
        <f>I76/60</f>
        <v>0</v>
      </c>
    </row>
    <row r="77" spans="1:43" ht="19.5" customHeight="1" x14ac:dyDescent="0.4">
      <c r="B77" s="541" t="s">
        <v>219</v>
      </c>
      <c r="C77" s="545">
        <f>L65</f>
        <v>100</v>
      </c>
      <c r="D77" s="546">
        <f>C77/60</f>
        <v>1.6666666666666667</v>
      </c>
      <c r="E77" s="545">
        <f>M65</f>
        <v>120</v>
      </c>
      <c r="F77" s="547">
        <f>E77/60</f>
        <v>2</v>
      </c>
      <c r="G77" s="545">
        <f>N65</f>
        <v>0</v>
      </c>
      <c r="H77" s="546">
        <f>G77/60</f>
        <v>0</v>
      </c>
      <c r="I77" s="545">
        <f>O65</f>
        <v>0</v>
      </c>
      <c r="J77" s="546">
        <f>I77/60</f>
        <v>0</v>
      </c>
    </row>
    <row r="78" spans="1:43" ht="20.25" customHeight="1" x14ac:dyDescent="0.4">
      <c r="B78" s="541" t="s">
        <v>220</v>
      </c>
      <c r="C78" s="545">
        <f>U65</f>
        <v>802</v>
      </c>
      <c r="D78" s="546">
        <f>C78/60</f>
        <v>13.366666666666667</v>
      </c>
      <c r="E78" s="545">
        <f>V65</f>
        <v>541</v>
      </c>
      <c r="F78" s="547">
        <f>E78/60</f>
        <v>9.0166666666666675</v>
      </c>
      <c r="G78" s="545">
        <f>W65</f>
        <v>451</v>
      </c>
      <c r="H78" s="546">
        <f>G78/60</f>
        <v>7.5166666666666666</v>
      </c>
      <c r="I78" s="545">
        <f>X65</f>
        <v>0</v>
      </c>
      <c r="J78" s="546">
        <f>I78/60</f>
        <v>0</v>
      </c>
    </row>
    <row r="79" spans="1:43" ht="22.5" customHeight="1" thickBot="1" x14ac:dyDescent="0.45">
      <c r="B79" s="541" t="s">
        <v>221</v>
      </c>
      <c r="C79" s="548">
        <f>AD65</f>
        <v>88</v>
      </c>
      <c r="D79" s="549">
        <f>C79/60</f>
        <v>1.4666666666666666</v>
      </c>
      <c r="E79" s="548">
        <f>AE65</f>
        <v>103</v>
      </c>
      <c r="F79" s="550">
        <f>E79/60</f>
        <v>1.7166666666666666</v>
      </c>
      <c r="G79" s="548">
        <f>AF65</f>
        <v>0</v>
      </c>
      <c r="H79" s="549">
        <f>G79/60</f>
        <v>0</v>
      </c>
      <c r="I79" s="548">
        <f>AG65</f>
        <v>0</v>
      </c>
      <c r="J79" s="549">
        <f>I79/60</f>
        <v>0</v>
      </c>
    </row>
    <row r="80" spans="1:43" ht="22.5" customHeight="1" thickBot="1" x14ac:dyDescent="0.45">
      <c r="B80" s="541" t="s">
        <v>488</v>
      </c>
      <c r="C80" s="643">
        <f>AM65</f>
        <v>1282</v>
      </c>
      <c r="D80" s="642">
        <f>C80/60</f>
        <v>21.366666666666667</v>
      </c>
      <c r="E80" s="643">
        <f>AN65</f>
        <v>183</v>
      </c>
      <c r="F80" s="644">
        <f>E80/60</f>
        <v>3.05</v>
      </c>
      <c r="G80" s="643">
        <f>AO65</f>
        <v>1174</v>
      </c>
      <c r="H80" s="642">
        <f>G80/60</f>
        <v>19.566666666666666</v>
      </c>
      <c r="I80" s="643">
        <f>AQ65</f>
        <v>0</v>
      </c>
      <c r="J80" s="642">
        <f>I80/60</f>
        <v>0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45.474999999999994</v>
      </c>
      <c r="E82" s="556"/>
      <c r="F82" s="557">
        <f>SUM(F76:F80)</f>
        <v>23.391666666666666</v>
      </c>
      <c r="G82" s="556"/>
      <c r="H82" s="557">
        <f>SUM(H76:H80)</f>
        <v>33</v>
      </c>
      <c r="I82" s="556"/>
      <c r="J82" s="558">
        <f>AVERAGE(J76:J80)</f>
        <v>0</v>
      </c>
    </row>
  </sheetData>
  <mergeCells count="49">
    <mergeCell ref="AH62:AJ62"/>
    <mergeCell ref="Y8:AA8"/>
    <mergeCell ref="G10:I10"/>
    <mergeCell ref="G11:I11"/>
    <mergeCell ref="C74:D74"/>
    <mergeCell ref="E74:F74"/>
    <mergeCell ref="G74:H74"/>
    <mergeCell ref="I74:J74"/>
    <mergeCell ref="A63:A64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13:A14"/>
    <mergeCell ref="A15:A16"/>
    <mergeCell ref="A41:A42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17:A18"/>
    <mergeCell ref="AM1:AQ1"/>
    <mergeCell ref="AR1:AV1"/>
    <mergeCell ref="A3:A4"/>
    <mergeCell ref="U1:X1"/>
    <mergeCell ref="Y1:AB1"/>
    <mergeCell ref="G1:J1"/>
    <mergeCell ref="L1:O1"/>
    <mergeCell ref="P1:S1"/>
    <mergeCell ref="AD1:AG1"/>
    <mergeCell ref="AH1:AK1"/>
    <mergeCell ref="A7:A8"/>
    <mergeCell ref="A9:A10"/>
    <mergeCell ref="A11:A12"/>
    <mergeCell ref="A5:A6"/>
    <mergeCell ref="C1:F1"/>
  </mergeCells>
  <pageMargins left="0.7" right="0.7" top="0.75" bottom="0.75" header="0.3" footer="0.3"/>
  <pageSetup paperSize="9" orientation="portrait" horizontalDpi="180" verticalDpi="18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V82"/>
  <sheetViews>
    <sheetView zoomScale="50" zoomScaleNormal="50" workbookViewId="0">
      <pane xSplit="2" ySplit="2" topLeftCell="C43" activePane="bottomRight" state="frozen"/>
      <selection pane="topRight" activeCell="C1" sqref="C1"/>
      <selection pane="bottomLeft" activeCell="A3" sqref="A3"/>
      <selection pane="bottomRight" activeCell="H79" activeCellId="2" sqref="H76 H78 H79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7.304687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3" width="10.69140625" style="423" customWidth="1"/>
    <col min="44" max="44" width="21.15234375" style="423" customWidth="1"/>
    <col min="45" max="45" width="26.3046875" style="423" customWidth="1"/>
    <col min="46" max="46" width="27.15234375" style="423" customWidth="1"/>
    <col min="47" max="47" width="24.3828125" style="423" customWidth="1"/>
    <col min="48" max="48" width="26.53515625" style="423" customWidth="1"/>
    <col min="49" max="16384" width="8.84375" style="423"/>
  </cols>
  <sheetData>
    <row r="1" spans="1:48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3"/>
      <c r="AR1" s="1354" t="s">
        <v>206</v>
      </c>
      <c r="AS1" s="1354"/>
      <c r="AT1" s="1354"/>
      <c r="AU1" s="1354"/>
      <c r="AV1" s="1355"/>
    </row>
    <row r="2" spans="1:48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5" t="s">
        <v>204</v>
      </c>
      <c r="AR2" s="657" t="s">
        <v>199</v>
      </c>
      <c r="AS2" s="655" t="s">
        <v>200</v>
      </c>
      <c r="AT2" s="655" t="s">
        <v>201</v>
      </c>
      <c r="AU2" s="655" t="s">
        <v>204</v>
      </c>
      <c r="AV2" s="655" t="s">
        <v>204</v>
      </c>
    </row>
    <row r="3" spans="1:48" ht="78" customHeight="1" x14ac:dyDescent="0.35">
      <c r="A3" s="1478">
        <v>45444</v>
      </c>
      <c r="B3" s="501">
        <v>1</v>
      </c>
      <c r="C3" s="490"/>
      <c r="D3" s="491"/>
      <c r="E3" s="6"/>
      <c r="F3" s="492"/>
      <c r="G3" s="566"/>
      <c r="H3" s="514"/>
      <c r="I3" s="515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6"/>
      <c r="X3" s="508"/>
      <c r="Y3" s="469"/>
      <c r="Z3" s="521"/>
      <c r="AA3" s="515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80"/>
      <c r="AQ3" s="520"/>
      <c r="AR3" s="521"/>
      <c r="AS3" s="538"/>
      <c r="AT3" s="502"/>
      <c r="AU3" s="80"/>
      <c r="AV3" s="520"/>
    </row>
    <row r="4" spans="1:48" ht="70.2" customHeight="1" x14ac:dyDescent="0.35">
      <c r="A4" s="1477"/>
      <c r="B4" s="472">
        <v>2</v>
      </c>
      <c r="C4" s="493"/>
      <c r="D4" s="494"/>
      <c r="E4" s="494"/>
      <c r="F4" s="495"/>
      <c r="G4" s="566"/>
      <c r="H4" s="514"/>
      <c r="I4" s="641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/>
      <c r="X4" s="508"/>
      <c r="Y4" s="469"/>
      <c r="Z4" s="515"/>
      <c r="AA4" s="579"/>
      <c r="AB4" s="603"/>
      <c r="AC4" s="66"/>
      <c r="AD4" s="470"/>
      <c r="AE4" s="6"/>
      <c r="AF4" s="6"/>
      <c r="AG4" s="508"/>
      <c r="AH4" s="509"/>
      <c r="AI4" s="515"/>
      <c r="AJ4" s="6"/>
      <c r="AK4" s="508"/>
      <c r="AM4" s="470"/>
      <c r="AN4" s="6"/>
      <c r="AO4" s="6"/>
      <c r="AP4" s="47"/>
      <c r="AQ4" s="508"/>
      <c r="AR4" s="509"/>
      <c r="AS4" s="515"/>
      <c r="AT4" s="6"/>
      <c r="AU4" s="47"/>
      <c r="AV4" s="508"/>
    </row>
    <row r="5" spans="1:48" ht="60" customHeight="1" x14ac:dyDescent="0.35">
      <c r="A5" s="1478">
        <v>45445</v>
      </c>
      <c r="B5" s="472">
        <v>1</v>
      </c>
      <c r="C5" s="493"/>
      <c r="D5" s="494"/>
      <c r="E5" s="494"/>
      <c r="F5" s="495"/>
      <c r="G5" s="565"/>
      <c r="H5" s="565"/>
      <c r="I5" s="641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>
        <v>120</v>
      </c>
      <c r="X5" s="508"/>
      <c r="Y5" s="469"/>
      <c r="Z5" s="514"/>
      <c r="AA5" s="579" t="s">
        <v>924</v>
      </c>
      <c r="AB5" s="604"/>
      <c r="AC5" s="66"/>
      <c r="AD5" s="470"/>
      <c r="AE5" s="6"/>
      <c r="AF5" s="6"/>
      <c r="AG5" s="508"/>
      <c r="AH5" s="509"/>
      <c r="AI5" s="6"/>
      <c r="AJ5" s="661"/>
      <c r="AK5" s="508"/>
      <c r="AM5" s="470"/>
      <c r="AN5" s="6"/>
      <c r="AO5" s="6"/>
      <c r="AP5" s="47"/>
      <c r="AQ5" s="508"/>
      <c r="AR5" s="509"/>
      <c r="AS5" s="6"/>
      <c r="AT5" s="502"/>
      <c r="AU5" s="636"/>
      <c r="AV5" s="526"/>
    </row>
    <row r="6" spans="1:48" ht="80.5" customHeight="1" x14ac:dyDescent="0.35">
      <c r="A6" s="1477"/>
      <c r="B6" s="472">
        <v>2</v>
      </c>
      <c r="C6" s="493"/>
      <c r="D6" s="494"/>
      <c r="E6" s="494"/>
      <c r="F6" s="495"/>
      <c r="G6" s="566"/>
      <c r="H6" s="515"/>
      <c r="I6" s="641"/>
      <c r="J6" s="527"/>
      <c r="K6" s="66"/>
      <c r="L6" s="470"/>
      <c r="M6" s="6"/>
      <c r="N6" s="6"/>
      <c r="O6" s="508"/>
      <c r="P6" s="509"/>
      <c r="Q6" s="514"/>
      <c r="R6" s="6"/>
      <c r="S6" s="527"/>
      <c r="T6" s="66"/>
      <c r="U6" s="470">
        <v>720</v>
      </c>
      <c r="V6" s="6"/>
      <c r="W6" s="6"/>
      <c r="X6" s="508"/>
      <c r="Y6" s="469" t="s">
        <v>925</v>
      </c>
      <c r="Z6" s="514"/>
      <c r="AA6" s="579"/>
      <c r="AB6" s="527"/>
      <c r="AC6" s="66"/>
      <c r="AD6" s="470"/>
      <c r="AE6" s="6"/>
      <c r="AF6" s="6"/>
      <c r="AG6" s="508"/>
      <c r="AH6" s="509"/>
      <c r="AI6" s="6"/>
      <c r="AJ6" s="6"/>
      <c r="AK6" s="527"/>
      <c r="AM6" s="470"/>
      <c r="AN6" s="6"/>
      <c r="AO6" s="6"/>
      <c r="AP6" s="47"/>
      <c r="AQ6" s="47"/>
      <c r="AR6" s="508"/>
      <c r="AS6" s="509"/>
      <c r="AT6" s="502"/>
      <c r="AU6" s="502"/>
      <c r="AV6" s="527"/>
    </row>
    <row r="7" spans="1:48" ht="71.5" customHeight="1" x14ac:dyDescent="0.35">
      <c r="A7" s="1478">
        <v>45446</v>
      </c>
      <c r="B7" s="472">
        <v>1</v>
      </c>
      <c r="C7" s="493"/>
      <c r="D7" s="494"/>
      <c r="E7" s="494"/>
      <c r="F7" s="495"/>
      <c r="G7" s="566"/>
      <c r="H7" s="515"/>
      <c r="I7" s="527"/>
      <c r="J7" s="527"/>
      <c r="K7" s="66"/>
      <c r="L7" s="470"/>
      <c r="M7" s="509"/>
      <c r="N7" s="6"/>
      <c r="O7" s="508"/>
      <c r="P7" s="509"/>
      <c r="Q7" s="660"/>
      <c r="R7" s="6"/>
      <c r="S7" s="508"/>
      <c r="T7" s="66"/>
      <c r="U7" s="470">
        <v>720</v>
      </c>
      <c r="V7" s="6"/>
      <c r="W7" s="6"/>
      <c r="X7" s="508"/>
      <c r="Y7" s="469" t="s">
        <v>925</v>
      </c>
      <c r="Z7" s="514"/>
      <c r="AA7" s="579"/>
      <c r="AB7" s="508"/>
      <c r="AC7" s="66"/>
      <c r="AD7" s="470"/>
      <c r="AE7" s="6"/>
      <c r="AF7" s="6"/>
      <c r="AG7" s="508"/>
      <c r="AH7" s="509"/>
      <c r="AI7" s="660"/>
      <c r="AJ7" s="527"/>
      <c r="AK7" s="508"/>
      <c r="AM7" s="470"/>
      <c r="AN7" s="6"/>
      <c r="AO7" s="6"/>
      <c r="AP7" s="47"/>
      <c r="AQ7" s="47"/>
      <c r="AR7" s="508"/>
      <c r="AS7" s="509"/>
      <c r="AT7" s="660"/>
      <c r="AU7" s="515"/>
      <c r="AV7" s="573"/>
    </row>
    <row r="8" spans="1:48" ht="69.650000000000006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641"/>
      <c r="J8" s="527"/>
      <c r="K8" s="66"/>
      <c r="L8" s="470">
        <v>50</v>
      </c>
      <c r="M8" s="6"/>
      <c r="N8" s="6">
        <v>50</v>
      </c>
      <c r="O8" s="508"/>
      <c r="P8" s="469" t="s">
        <v>400</v>
      </c>
      <c r="Q8" s="6"/>
      <c r="R8" s="502" t="s">
        <v>926</v>
      </c>
      <c r="S8" s="527"/>
      <c r="T8" s="66"/>
      <c r="U8" s="470">
        <v>720</v>
      </c>
      <c r="V8" s="470"/>
      <c r="W8" s="470"/>
      <c r="X8" s="508"/>
      <c r="Y8" s="469" t="s">
        <v>925</v>
      </c>
      <c r="Z8" s="666"/>
      <c r="AA8" s="504"/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/>
      <c r="AN8" s="6"/>
      <c r="AO8" s="6"/>
      <c r="AP8" s="47"/>
      <c r="AQ8" s="47"/>
      <c r="AR8" s="508"/>
      <c r="AS8" s="509"/>
      <c r="AT8" s="6"/>
      <c r="AU8" s="6"/>
      <c r="AV8" s="527"/>
    </row>
    <row r="9" spans="1:48" ht="76.95" customHeight="1" x14ac:dyDescent="0.35">
      <c r="A9" s="1478">
        <v>45447</v>
      </c>
      <c r="B9" s="472">
        <v>1</v>
      </c>
      <c r="C9" s="493"/>
      <c r="D9" s="494"/>
      <c r="E9" s="494"/>
      <c r="F9" s="495"/>
      <c r="G9" s="565"/>
      <c r="H9" s="514"/>
      <c r="I9" s="641"/>
      <c r="J9" s="527"/>
      <c r="K9" s="66"/>
      <c r="L9" s="470"/>
      <c r="M9" s="6"/>
      <c r="N9" s="6"/>
      <c r="O9" s="508"/>
      <c r="P9" s="469"/>
      <c r="Q9" s="6"/>
      <c r="R9" s="502"/>
      <c r="S9" s="527"/>
      <c r="T9" s="66"/>
      <c r="U9" s="470">
        <v>720</v>
      </c>
      <c r="V9" s="6"/>
      <c r="W9" s="6"/>
      <c r="X9" s="508"/>
      <c r="Y9" s="469" t="s">
        <v>925</v>
      </c>
      <c r="Z9" s="6"/>
      <c r="AA9" s="579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47"/>
      <c r="AR9" s="508"/>
      <c r="AS9" s="509"/>
      <c r="AT9" s="6"/>
      <c r="AU9" s="6"/>
      <c r="AV9" s="636"/>
    </row>
    <row r="10" spans="1:48" ht="67.2" customHeight="1" x14ac:dyDescent="0.35">
      <c r="A10" s="1477"/>
      <c r="B10" s="472">
        <v>2</v>
      </c>
      <c r="C10" s="493"/>
      <c r="D10" s="493"/>
      <c r="E10" s="493"/>
      <c r="F10" s="495"/>
      <c r="G10" s="1508"/>
      <c r="H10" s="1509"/>
      <c r="I10" s="1510"/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>
        <v>343</v>
      </c>
      <c r="V10" s="6"/>
      <c r="W10" s="6">
        <v>377</v>
      </c>
      <c r="X10" s="508"/>
      <c r="Y10" s="469" t="s">
        <v>925</v>
      </c>
      <c r="Z10" s="469"/>
      <c r="AA10" s="579" t="s">
        <v>239</v>
      </c>
      <c r="AB10" s="527"/>
      <c r="AC10" s="66"/>
      <c r="AD10" s="470"/>
      <c r="AE10" s="6"/>
      <c r="AF10" s="6"/>
      <c r="AG10" s="508"/>
      <c r="AH10" s="469"/>
      <c r="AI10" s="502"/>
      <c r="AJ10" s="515"/>
      <c r="AK10" s="527"/>
      <c r="AM10" s="470"/>
      <c r="AN10" s="6"/>
      <c r="AO10" s="6"/>
      <c r="AP10" s="47"/>
      <c r="AQ10" s="47"/>
      <c r="AR10" s="508"/>
      <c r="AS10" s="509"/>
      <c r="AT10" s="6"/>
      <c r="AU10" s="502"/>
      <c r="AV10" s="527"/>
    </row>
    <row r="11" spans="1:48" ht="60" customHeight="1" x14ac:dyDescent="0.35">
      <c r="A11" s="1478">
        <v>45448</v>
      </c>
      <c r="B11" s="472">
        <v>1</v>
      </c>
      <c r="C11" s="493"/>
      <c r="D11" s="493">
        <v>20</v>
      </c>
      <c r="E11" s="493"/>
      <c r="F11" s="495"/>
      <c r="G11" s="667"/>
      <c r="H11" s="668" t="s">
        <v>553</v>
      </c>
      <c r="I11" s="669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>
        <v>720</v>
      </c>
      <c r="X11" s="508"/>
      <c r="Y11" s="469"/>
      <c r="Z11" s="6"/>
      <c r="AA11" s="579" t="s">
        <v>239</v>
      </c>
      <c r="AB11" s="508"/>
      <c r="AC11" s="66"/>
      <c r="AD11" s="470"/>
      <c r="AE11" s="6"/>
      <c r="AF11" s="6"/>
      <c r="AG11" s="508"/>
      <c r="AH11" s="509"/>
      <c r="AI11" s="6"/>
      <c r="AJ11" s="515"/>
      <c r="AK11" s="508"/>
      <c r="AM11" s="470"/>
      <c r="AN11" s="6"/>
      <c r="AO11" s="6"/>
      <c r="AP11" s="47"/>
      <c r="AQ11" s="508"/>
      <c r="AR11" s="509"/>
      <c r="AS11" s="6"/>
      <c r="AT11" s="6"/>
      <c r="AU11" s="47"/>
      <c r="AV11" s="526"/>
    </row>
    <row r="12" spans="1:48" ht="55.2" customHeight="1" x14ac:dyDescent="0.35">
      <c r="A12" s="1477"/>
      <c r="B12" s="472">
        <v>2</v>
      </c>
      <c r="C12" s="493"/>
      <c r="D12" s="494"/>
      <c r="E12" s="494"/>
      <c r="F12" s="495"/>
      <c r="G12" s="565"/>
      <c r="H12" s="514"/>
      <c r="I12" s="641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>
        <v>70</v>
      </c>
      <c r="X12" s="508"/>
      <c r="Y12" s="469"/>
      <c r="Z12" s="6"/>
      <c r="AA12" s="579" t="s">
        <v>927</v>
      </c>
      <c r="AB12" s="527"/>
      <c r="AC12" s="66"/>
      <c r="AD12" s="470"/>
      <c r="AE12" s="6"/>
      <c r="AF12" s="6"/>
      <c r="AG12" s="508"/>
      <c r="AH12" s="509"/>
      <c r="AI12" s="502"/>
      <c r="AJ12" s="502"/>
      <c r="AK12" s="527"/>
      <c r="AM12" s="470"/>
      <c r="AN12" s="6"/>
      <c r="AO12" s="6"/>
      <c r="AP12" s="47"/>
      <c r="AQ12" s="508"/>
      <c r="AR12" s="509"/>
      <c r="AS12" s="6"/>
      <c r="AT12" s="502"/>
      <c r="AU12" s="47"/>
      <c r="AV12" s="527"/>
    </row>
    <row r="13" spans="1:48" ht="34.950000000000003" customHeight="1" x14ac:dyDescent="0.35">
      <c r="A13" s="1478">
        <v>45449</v>
      </c>
      <c r="B13" s="472">
        <v>1</v>
      </c>
      <c r="C13" s="493"/>
      <c r="D13" s="494"/>
      <c r="E13" s="494"/>
      <c r="F13" s="495"/>
      <c r="G13" s="565"/>
      <c r="H13" s="514"/>
      <c r="I13" s="641"/>
      <c r="J13" s="527"/>
      <c r="K13" s="66"/>
      <c r="L13" s="470"/>
      <c r="M13" s="6"/>
      <c r="N13" s="6"/>
      <c r="O13" s="495"/>
      <c r="P13" s="469"/>
      <c r="Q13" s="6"/>
      <c r="R13" s="502"/>
      <c r="S13" s="527"/>
      <c r="T13" s="66"/>
      <c r="U13" s="470"/>
      <c r="V13" s="6"/>
      <c r="W13" s="6"/>
      <c r="X13" s="495"/>
      <c r="Y13" s="469"/>
      <c r="Z13" s="502"/>
      <c r="AA13" s="579"/>
      <c r="AB13" s="527"/>
      <c r="AC13" s="66"/>
      <c r="AD13" s="470"/>
      <c r="AE13" s="6"/>
      <c r="AF13" s="6"/>
      <c r="AG13" s="495"/>
      <c r="AH13" s="509"/>
      <c r="AI13" s="6"/>
      <c r="AJ13" s="502"/>
      <c r="AK13" s="527"/>
      <c r="AM13" s="470"/>
      <c r="AN13" s="6"/>
      <c r="AO13" s="6"/>
      <c r="AP13" s="47"/>
      <c r="AQ13" s="495"/>
      <c r="AR13" s="509"/>
      <c r="AS13" s="6"/>
      <c r="AT13" s="6"/>
      <c r="AU13" s="47"/>
      <c r="AV13" s="527"/>
    </row>
    <row r="14" spans="1:48" ht="49.2" customHeight="1" x14ac:dyDescent="0.35">
      <c r="A14" s="1477"/>
      <c r="B14" s="472">
        <v>2</v>
      </c>
      <c r="C14" s="493"/>
      <c r="D14" s="494"/>
      <c r="E14" s="494"/>
      <c r="F14" s="495"/>
      <c r="G14" s="565"/>
      <c r="H14" s="515"/>
      <c r="I14" s="641"/>
      <c r="J14" s="527"/>
      <c r="K14" s="66"/>
      <c r="L14" s="470"/>
      <c r="M14" s="6"/>
      <c r="N14" s="6"/>
      <c r="O14" s="495"/>
      <c r="P14" s="509"/>
      <c r="Q14" s="6"/>
      <c r="R14" s="6"/>
      <c r="S14" s="527"/>
      <c r="T14" s="66"/>
      <c r="U14" s="470"/>
      <c r="V14" s="6"/>
      <c r="W14" s="6">
        <v>41</v>
      </c>
      <c r="X14" s="495"/>
      <c r="Y14" s="469"/>
      <c r="Z14" s="502"/>
      <c r="AA14" s="579" t="s">
        <v>97</v>
      </c>
      <c r="AB14" s="527"/>
      <c r="AC14" s="66"/>
      <c r="AD14" s="470">
        <v>129</v>
      </c>
      <c r="AE14" s="6">
        <v>129</v>
      </c>
      <c r="AF14" s="6">
        <v>129</v>
      </c>
      <c r="AG14" s="495"/>
      <c r="AH14" s="1491" t="s">
        <v>583</v>
      </c>
      <c r="AI14" s="1492"/>
      <c r="AJ14" s="1493"/>
      <c r="AK14" s="527"/>
      <c r="AM14" s="470"/>
      <c r="AN14" s="6"/>
      <c r="AO14" s="6"/>
      <c r="AP14" s="47"/>
      <c r="AQ14" s="495"/>
      <c r="AR14" s="469"/>
      <c r="AS14" s="6"/>
      <c r="AT14" s="579"/>
      <c r="AU14" s="47"/>
      <c r="AV14" s="527"/>
    </row>
    <row r="15" spans="1:48" ht="48" customHeight="1" x14ac:dyDescent="0.35">
      <c r="A15" s="1478">
        <v>45450</v>
      </c>
      <c r="B15" s="472">
        <v>1</v>
      </c>
      <c r="C15" s="493"/>
      <c r="D15" s="494"/>
      <c r="E15" s="6"/>
      <c r="F15" s="495"/>
      <c r="G15" s="565"/>
      <c r="H15" s="515"/>
      <c r="I15" s="641"/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/>
      <c r="V15" s="6"/>
      <c r="W15" s="6"/>
      <c r="X15" s="495"/>
      <c r="Y15" s="566"/>
      <c r="Z15" s="515"/>
      <c r="AA15" s="579"/>
      <c r="AB15" s="527"/>
      <c r="AC15" s="66"/>
      <c r="AD15" s="470"/>
      <c r="AE15" s="6"/>
      <c r="AF15" s="66"/>
      <c r="AG15" s="495"/>
      <c r="AH15" s="566"/>
      <c r="AI15" s="515"/>
      <c r="AJ15" s="502"/>
      <c r="AK15" s="527"/>
      <c r="AM15" s="470"/>
      <c r="AN15" s="6"/>
      <c r="AO15" s="66"/>
      <c r="AP15" s="495"/>
      <c r="AQ15" s="566"/>
      <c r="AR15" s="515"/>
      <c r="AS15" s="515"/>
      <c r="AT15" s="515"/>
      <c r="AU15" s="527"/>
      <c r="AV15" s="527"/>
    </row>
    <row r="16" spans="1:48" ht="54.65" customHeight="1" x14ac:dyDescent="0.35">
      <c r="A16" s="1477"/>
      <c r="B16" s="472">
        <v>2</v>
      </c>
      <c r="C16" s="493">
        <v>68</v>
      </c>
      <c r="D16" s="493">
        <v>68</v>
      </c>
      <c r="E16" s="493">
        <v>88</v>
      </c>
      <c r="F16" s="495"/>
      <c r="G16" s="1511" t="s">
        <v>583</v>
      </c>
      <c r="H16" s="1512"/>
      <c r="I16" s="1513"/>
      <c r="J16" s="527"/>
      <c r="K16" s="66"/>
      <c r="L16" s="470"/>
      <c r="M16" s="6"/>
      <c r="N16" s="6"/>
      <c r="O16" s="495"/>
      <c r="P16" s="565"/>
      <c r="Q16" s="638"/>
      <c r="R16" s="515"/>
      <c r="S16" s="527"/>
      <c r="T16" s="66"/>
      <c r="U16" s="470"/>
      <c r="V16" s="6"/>
      <c r="W16" s="6"/>
      <c r="X16" s="495"/>
      <c r="Y16" s="565"/>
      <c r="Z16" s="6"/>
      <c r="AA16" s="641"/>
      <c r="AB16" s="527"/>
      <c r="AC16" s="66"/>
      <c r="AD16" s="470"/>
      <c r="AE16" s="6"/>
      <c r="AF16" s="6"/>
      <c r="AG16" s="495"/>
      <c r="AH16" s="566"/>
      <c r="AI16" s="638"/>
      <c r="AJ16" s="502"/>
      <c r="AK16" s="527"/>
      <c r="AM16" s="470"/>
      <c r="AN16" s="6"/>
      <c r="AO16" s="6"/>
      <c r="AP16" s="495"/>
      <c r="AQ16" s="565"/>
      <c r="AR16" s="638"/>
      <c r="AS16" s="515"/>
      <c r="AT16" s="515"/>
      <c r="AU16" s="573"/>
      <c r="AV16" s="527"/>
    </row>
    <row r="17" spans="1:48" ht="66" customHeight="1" x14ac:dyDescent="0.35">
      <c r="A17" s="1478">
        <v>45451</v>
      </c>
      <c r="B17" s="534">
        <v>1</v>
      </c>
      <c r="C17" s="493"/>
      <c r="D17" s="494"/>
      <c r="E17" s="494"/>
      <c r="F17" s="495"/>
      <c r="G17" s="566"/>
      <c r="H17" s="514"/>
      <c r="I17" s="641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>
        <v>20</v>
      </c>
      <c r="X17" s="495"/>
      <c r="Y17" s="565"/>
      <c r="Z17" s="514"/>
      <c r="AA17" s="641" t="s">
        <v>152</v>
      </c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495"/>
      <c r="AQ17" s="566"/>
      <c r="AR17" s="514"/>
      <c r="AS17" s="515"/>
      <c r="AT17" s="579"/>
      <c r="AU17" s="527"/>
      <c r="AV17" s="527"/>
    </row>
    <row r="18" spans="1:48" ht="49.9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638"/>
      <c r="I18" s="641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494"/>
      <c r="X18" s="495"/>
      <c r="Y18" s="565"/>
      <c r="Z18" s="515"/>
      <c r="AA18" s="641"/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>
        <v>115</v>
      </c>
      <c r="AN18" s="6">
        <v>115</v>
      </c>
      <c r="AO18" s="6">
        <v>115</v>
      </c>
      <c r="AP18" s="47"/>
      <c r="AQ18" s="495"/>
      <c r="AR18" s="1508" t="s">
        <v>583</v>
      </c>
      <c r="AS18" s="1509"/>
      <c r="AT18" s="1510"/>
      <c r="AU18" s="638"/>
      <c r="AV18" s="527"/>
    </row>
    <row r="19" spans="1:48" ht="33.65" customHeight="1" x14ac:dyDescent="0.35">
      <c r="A19" s="1478">
        <v>45452</v>
      </c>
      <c r="B19" s="472">
        <v>1</v>
      </c>
      <c r="C19" s="66"/>
      <c r="D19" s="494"/>
      <c r="E19" s="494"/>
      <c r="F19" s="495"/>
      <c r="G19" s="465"/>
      <c r="H19" s="6"/>
      <c r="I19" s="641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641"/>
      <c r="AB19" s="527"/>
      <c r="AC19" s="66"/>
      <c r="AD19" s="470"/>
      <c r="AE19" s="6"/>
      <c r="AF19" s="6"/>
      <c r="AG19" s="495"/>
      <c r="AH19" s="470"/>
      <c r="AI19" s="6"/>
      <c r="AJ19" s="579"/>
      <c r="AK19" s="527"/>
      <c r="AM19" s="470"/>
      <c r="AN19" s="6"/>
      <c r="AO19" s="6"/>
      <c r="AP19" s="47"/>
      <c r="AQ19" s="495"/>
      <c r="AR19" s="470"/>
      <c r="AS19" s="6"/>
      <c r="AT19" s="515"/>
      <c r="AU19" s="636"/>
      <c r="AV19" s="527"/>
    </row>
    <row r="20" spans="1:48" ht="44.5" customHeight="1" x14ac:dyDescent="0.35">
      <c r="A20" s="1477"/>
      <c r="B20" s="472">
        <v>2</v>
      </c>
      <c r="C20" s="493"/>
      <c r="D20" s="494"/>
      <c r="E20" s="494"/>
      <c r="F20" s="495"/>
      <c r="G20" s="465"/>
      <c r="H20" s="663"/>
      <c r="I20" s="641"/>
      <c r="J20" s="527"/>
      <c r="K20" s="66"/>
      <c r="L20" s="470"/>
      <c r="M20" s="6"/>
      <c r="N20" s="6"/>
      <c r="O20" s="495"/>
      <c r="P20" s="470"/>
      <c r="Q20" s="6"/>
      <c r="R20" s="605"/>
      <c r="S20" s="527"/>
      <c r="T20" s="66"/>
      <c r="U20" s="470">
        <v>75</v>
      </c>
      <c r="V20" s="6"/>
      <c r="W20" s="6"/>
      <c r="X20" s="495"/>
      <c r="Y20" s="465" t="s">
        <v>928</v>
      </c>
      <c r="Z20" s="502"/>
      <c r="AA20" s="579"/>
      <c r="AB20" s="527"/>
      <c r="AC20" s="66"/>
      <c r="AD20" s="470"/>
      <c r="AE20" s="6"/>
      <c r="AF20" s="6"/>
      <c r="AG20" s="495"/>
      <c r="AH20" s="470"/>
      <c r="AI20" s="502"/>
      <c r="AJ20" s="579"/>
      <c r="AK20" s="527"/>
      <c r="AM20" s="470"/>
      <c r="AN20" s="6"/>
      <c r="AO20" s="6"/>
      <c r="AP20" s="47"/>
      <c r="AQ20" s="495"/>
      <c r="AR20" s="470"/>
      <c r="AS20" s="502"/>
      <c r="AT20" s="502"/>
      <c r="AU20" s="645"/>
      <c r="AV20" s="527"/>
    </row>
    <row r="21" spans="1:48" ht="39.65" customHeight="1" x14ac:dyDescent="0.35">
      <c r="A21" s="1478">
        <v>45453</v>
      </c>
      <c r="B21" s="472">
        <v>1</v>
      </c>
      <c r="C21" s="493"/>
      <c r="D21" s="494"/>
      <c r="E21" s="494"/>
      <c r="F21" s="495"/>
      <c r="G21" s="569"/>
      <c r="H21" s="514"/>
      <c r="I21" s="641"/>
      <c r="J21" s="527"/>
      <c r="K21" s="66"/>
      <c r="L21" s="470"/>
      <c r="M21" s="6"/>
      <c r="N21" s="6"/>
      <c r="O21" s="495"/>
      <c r="P21" s="470"/>
      <c r="Q21" s="6"/>
      <c r="R21" s="6"/>
      <c r="S21" s="527"/>
      <c r="T21" s="66"/>
      <c r="U21" s="470"/>
      <c r="V21" s="6"/>
      <c r="W21" s="6"/>
      <c r="X21" s="495"/>
      <c r="Y21" s="465"/>
      <c r="Z21" s="6"/>
      <c r="AA21" s="641"/>
      <c r="AB21" s="527"/>
      <c r="AC21" s="66"/>
      <c r="AD21" s="470"/>
      <c r="AE21" s="6"/>
      <c r="AF21" s="6"/>
      <c r="AG21" s="495"/>
      <c r="AH21" s="470"/>
      <c r="AI21" s="6"/>
      <c r="AJ21" s="641"/>
      <c r="AK21" s="607"/>
      <c r="AM21" s="470"/>
      <c r="AN21" s="6"/>
      <c r="AO21" s="6"/>
      <c r="AP21" s="47"/>
      <c r="AQ21" s="495"/>
      <c r="AR21" s="470"/>
      <c r="AS21" s="502"/>
      <c r="AT21" s="47"/>
      <c r="AU21" s="47"/>
      <c r="AV21" s="527"/>
    </row>
    <row r="22" spans="1:48" ht="49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641"/>
      <c r="J22" s="527"/>
      <c r="K22" s="66"/>
      <c r="L22" s="470"/>
      <c r="M22" s="6"/>
      <c r="N22" s="6"/>
      <c r="O22" s="495"/>
      <c r="P22" s="469"/>
      <c r="Q22" s="515"/>
      <c r="R22" s="6"/>
      <c r="S22" s="527"/>
      <c r="T22" s="66"/>
      <c r="U22" s="470"/>
      <c r="V22" s="6"/>
      <c r="W22" s="6"/>
      <c r="X22" s="495"/>
      <c r="Y22" s="465"/>
      <c r="Z22" s="515"/>
      <c r="AA22" s="579"/>
      <c r="AB22" s="527"/>
      <c r="AC22" s="66"/>
      <c r="AD22" s="470"/>
      <c r="AE22" s="6"/>
      <c r="AF22" s="6"/>
      <c r="AG22" s="495"/>
      <c r="AH22" s="470"/>
      <c r="AI22" s="6"/>
      <c r="AJ22" s="579"/>
      <c r="AK22" s="527"/>
      <c r="AM22" s="470"/>
      <c r="AN22" s="6"/>
      <c r="AO22" s="6"/>
      <c r="AP22" s="47"/>
      <c r="AQ22" s="495"/>
      <c r="AR22" s="470"/>
      <c r="AS22" s="515"/>
      <c r="AT22" s="47"/>
      <c r="AU22" s="527"/>
      <c r="AV22" s="527"/>
    </row>
    <row r="23" spans="1:48" ht="47.5" customHeight="1" x14ac:dyDescent="0.35">
      <c r="A23" s="1478">
        <v>45454</v>
      </c>
      <c r="B23" s="534">
        <v>1</v>
      </c>
      <c r="C23" s="493"/>
      <c r="D23" s="494"/>
      <c r="E23" s="494"/>
      <c r="F23" s="495"/>
      <c r="G23" s="566"/>
      <c r="H23" s="514"/>
      <c r="I23" s="641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465"/>
      <c r="Z23" s="515"/>
      <c r="AA23" s="641"/>
      <c r="AB23" s="527"/>
      <c r="AC23" s="66"/>
      <c r="AD23" s="470"/>
      <c r="AE23" s="6"/>
      <c r="AF23" s="509"/>
      <c r="AG23" s="495"/>
      <c r="AH23" s="470"/>
      <c r="AI23" s="514"/>
      <c r="AJ23" s="515"/>
      <c r="AK23" s="527"/>
      <c r="AM23" s="470"/>
      <c r="AN23" s="6"/>
      <c r="AO23" s="6"/>
      <c r="AP23" s="47"/>
      <c r="AQ23" s="495"/>
      <c r="AR23" s="6"/>
      <c r="AS23" s="514"/>
      <c r="AT23" s="573"/>
      <c r="AU23" s="527"/>
      <c r="AV23" s="527"/>
    </row>
    <row r="24" spans="1:48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5"/>
      <c r="I24" s="641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6">
        <v>81</v>
      </c>
      <c r="V24" s="495"/>
      <c r="W24" s="566"/>
      <c r="X24" s="514"/>
      <c r="Y24" s="641" t="s">
        <v>933</v>
      </c>
      <c r="Z24" s="514"/>
      <c r="AA24" s="641"/>
      <c r="AB24" s="527"/>
      <c r="AC24" s="66"/>
      <c r="AD24" s="470">
        <v>80</v>
      </c>
      <c r="AE24" s="6"/>
      <c r="AF24" s="509"/>
      <c r="AG24" s="495"/>
      <c r="AH24" s="641" t="s">
        <v>929</v>
      </c>
      <c r="AI24" s="514"/>
      <c r="AJ24" s="515"/>
      <c r="AK24" s="527"/>
      <c r="AM24" s="470"/>
      <c r="AN24" s="6"/>
      <c r="AO24" s="6">
        <v>15</v>
      </c>
      <c r="AP24" s="495"/>
      <c r="AQ24" s="566"/>
      <c r="AR24" s="514"/>
      <c r="AS24" s="514"/>
      <c r="AT24" s="527" t="s">
        <v>97</v>
      </c>
      <c r="AU24" s="527"/>
      <c r="AV24" s="527"/>
    </row>
    <row r="25" spans="1:48" ht="53.5" customHeight="1" x14ac:dyDescent="0.35">
      <c r="A25" s="1478">
        <v>45455</v>
      </c>
      <c r="B25" s="472">
        <v>1</v>
      </c>
      <c r="C25" s="493"/>
      <c r="D25" s="494"/>
      <c r="E25" s="494"/>
      <c r="F25" s="495"/>
      <c r="G25" s="566"/>
      <c r="H25" s="514"/>
      <c r="I25" s="641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65"/>
      <c r="Z25" s="502"/>
      <c r="AA25" s="579"/>
      <c r="AB25" s="527"/>
      <c r="AC25" s="66"/>
      <c r="AD25" s="470"/>
      <c r="AE25" s="6"/>
      <c r="AF25" s="6"/>
      <c r="AG25" s="495"/>
      <c r="AH25" s="6"/>
      <c r="AI25" s="502"/>
      <c r="AJ25" s="515"/>
      <c r="AK25" s="607"/>
      <c r="AM25" s="470"/>
      <c r="AN25" s="6"/>
      <c r="AO25" s="6"/>
      <c r="AP25" s="47"/>
      <c r="AQ25" s="495"/>
      <c r="AR25" s="6"/>
      <c r="AS25" s="6"/>
      <c r="AT25" s="47"/>
      <c r="AU25" s="47"/>
      <c r="AV25" s="527"/>
    </row>
    <row r="26" spans="1:48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641"/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>
        <v>78</v>
      </c>
      <c r="V26" s="494"/>
      <c r="W26" s="6"/>
      <c r="X26" s="495"/>
      <c r="Y26" s="641" t="s">
        <v>930</v>
      </c>
      <c r="Z26" s="515"/>
      <c r="AA26" s="579"/>
      <c r="AB26" s="527"/>
      <c r="AC26" s="66"/>
      <c r="AD26" s="470">
        <v>296</v>
      </c>
      <c r="AE26" s="494"/>
      <c r="AF26" s="6"/>
      <c r="AG26" s="495"/>
      <c r="AH26" s="641" t="s">
        <v>929</v>
      </c>
      <c r="AI26" s="515"/>
      <c r="AJ26" s="573"/>
      <c r="AK26" s="527"/>
      <c r="AM26" s="470"/>
      <c r="AN26" s="494"/>
      <c r="AO26" s="6"/>
      <c r="AP26" s="651"/>
      <c r="AQ26" s="495"/>
      <c r="AR26" s="566"/>
      <c r="AS26" s="515"/>
      <c r="AT26" s="573"/>
      <c r="AU26" s="527"/>
      <c r="AV26" s="527"/>
    </row>
    <row r="27" spans="1:48" ht="49.95" customHeight="1" x14ac:dyDescent="0.35">
      <c r="A27" s="1478">
        <v>45456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/>
      <c r="X27" s="495"/>
      <c r="Y27" s="566"/>
      <c r="Z27" s="515"/>
      <c r="AA27" s="579"/>
      <c r="AB27" s="527"/>
      <c r="AC27" s="66"/>
      <c r="AD27" s="470"/>
      <c r="AE27" s="6">
        <v>20</v>
      </c>
      <c r="AF27" s="6"/>
      <c r="AG27" s="495"/>
      <c r="AH27" s="566"/>
      <c r="AI27" s="502" t="s">
        <v>931</v>
      </c>
      <c r="AJ27" s="515"/>
      <c r="AK27" s="527"/>
      <c r="AM27" s="470"/>
      <c r="AN27" s="6"/>
      <c r="AO27" s="6"/>
      <c r="AP27" s="47"/>
      <c r="AQ27" s="495"/>
      <c r="AR27" s="502"/>
      <c r="AS27" s="6"/>
      <c r="AT27" s="573"/>
      <c r="AU27" s="527"/>
      <c r="AV27" s="527"/>
    </row>
    <row r="28" spans="1:48" ht="72" customHeight="1" x14ac:dyDescent="0.35">
      <c r="A28" s="1477"/>
      <c r="B28" s="472">
        <v>2</v>
      </c>
      <c r="C28" s="493">
        <v>115</v>
      </c>
      <c r="D28" s="494"/>
      <c r="E28" s="494"/>
      <c r="F28" s="495"/>
      <c r="G28" s="515" t="s">
        <v>932</v>
      </c>
      <c r="H28" s="515"/>
      <c r="I28" s="573"/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/>
      <c r="V28" s="6"/>
      <c r="W28" s="66"/>
      <c r="X28" s="495"/>
      <c r="Y28" s="515"/>
      <c r="Z28" s="6"/>
      <c r="AA28" s="579"/>
      <c r="AB28" s="527"/>
      <c r="AC28" s="66"/>
      <c r="AD28" s="470"/>
      <c r="AE28" s="6"/>
      <c r="AF28" s="6"/>
      <c r="AG28" s="495"/>
      <c r="AH28" s="566"/>
      <c r="AI28" s="502"/>
      <c r="AJ28" s="573"/>
      <c r="AK28" s="527"/>
      <c r="AM28" s="470"/>
      <c r="AN28" s="6"/>
      <c r="AO28" s="6"/>
      <c r="AP28" s="47"/>
      <c r="AQ28" s="495"/>
      <c r="AR28" s="502"/>
      <c r="AS28" s="6"/>
      <c r="AT28" s="573"/>
      <c r="AU28" s="527"/>
      <c r="AV28" s="526"/>
    </row>
    <row r="29" spans="1:48" ht="66" customHeight="1" x14ac:dyDescent="0.35">
      <c r="A29" s="1478">
        <v>45457</v>
      </c>
      <c r="B29" s="472">
        <v>1</v>
      </c>
      <c r="C29" s="493"/>
      <c r="D29" s="494"/>
      <c r="E29" s="494"/>
      <c r="F29" s="495"/>
      <c r="G29" s="515"/>
      <c r="H29" s="514"/>
      <c r="I29" s="573"/>
      <c r="J29" s="527"/>
      <c r="K29" s="66"/>
      <c r="L29" s="470"/>
      <c r="M29" s="6"/>
      <c r="N29" s="6"/>
      <c r="O29" s="495"/>
      <c r="P29" s="566"/>
      <c r="Q29" s="515"/>
      <c r="R29" s="515"/>
      <c r="S29" s="527"/>
      <c r="T29" s="66"/>
      <c r="U29" s="470"/>
      <c r="V29" s="6"/>
      <c r="W29" s="6"/>
      <c r="X29" s="495"/>
      <c r="Y29" s="515"/>
      <c r="Z29" s="514"/>
      <c r="AA29" s="579"/>
      <c r="AB29" s="527"/>
      <c r="AC29" s="66"/>
      <c r="AD29" s="470"/>
      <c r="AE29" s="6"/>
      <c r="AF29" s="6"/>
      <c r="AG29" s="495"/>
      <c r="AH29" s="566"/>
      <c r="AI29" s="514"/>
      <c r="AJ29" s="515"/>
      <c r="AK29" s="527"/>
      <c r="AM29" s="470"/>
      <c r="AN29" s="6"/>
      <c r="AO29" s="6"/>
      <c r="AP29" s="47"/>
      <c r="AQ29" s="495"/>
      <c r="AR29" s="502"/>
      <c r="AS29" s="514"/>
      <c r="AT29" s="515"/>
      <c r="AU29" s="527"/>
      <c r="AV29" s="508"/>
    </row>
    <row r="30" spans="1:48" ht="39.65" customHeight="1" x14ac:dyDescent="0.35">
      <c r="A30" s="1477"/>
      <c r="B30" s="534">
        <v>2</v>
      </c>
      <c r="C30" s="493"/>
      <c r="D30" s="494"/>
      <c r="E30" s="494"/>
      <c r="F30" s="495"/>
      <c r="G30" s="515"/>
      <c r="H30" s="514"/>
      <c r="I30" s="573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>
        <v>21</v>
      </c>
      <c r="W30" s="6"/>
      <c r="X30" s="495"/>
      <c r="Y30" s="515"/>
      <c r="Z30" s="514" t="s">
        <v>601</v>
      </c>
      <c r="AA30" s="579"/>
      <c r="AB30" s="527"/>
      <c r="AC30" s="66"/>
      <c r="AD30" s="470"/>
      <c r="AE30" s="6"/>
      <c r="AF30" s="6"/>
      <c r="AG30" s="495"/>
      <c r="AH30" s="566"/>
      <c r="AI30" s="515"/>
      <c r="AJ30" s="515"/>
      <c r="AK30" s="527"/>
      <c r="AM30" s="470"/>
      <c r="AN30" s="6"/>
      <c r="AO30" s="6"/>
      <c r="AP30" s="47"/>
      <c r="AQ30" s="495"/>
      <c r="AR30" s="469"/>
      <c r="AS30" s="502"/>
      <c r="AT30" s="636"/>
      <c r="AU30" s="527"/>
      <c r="AV30" s="508"/>
    </row>
    <row r="31" spans="1:48" ht="39.65" customHeight="1" x14ac:dyDescent="0.35">
      <c r="A31" s="1478">
        <v>45458</v>
      </c>
      <c r="B31" s="472">
        <v>1</v>
      </c>
      <c r="C31" s="493"/>
      <c r="D31" s="494"/>
      <c r="E31" s="494"/>
      <c r="F31" s="495"/>
      <c r="G31" s="566"/>
      <c r="H31" s="515"/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>
        <v>15</v>
      </c>
      <c r="X31" s="495"/>
      <c r="Y31" s="469"/>
      <c r="Z31" s="6"/>
      <c r="AA31" s="579" t="s">
        <v>325</v>
      </c>
      <c r="AB31" s="527"/>
      <c r="AC31" s="66"/>
      <c r="AD31" s="470"/>
      <c r="AE31" s="6"/>
      <c r="AF31" s="6"/>
      <c r="AG31" s="495"/>
      <c r="AH31" s="566"/>
      <c r="AI31" s="6"/>
      <c r="AJ31" s="6"/>
      <c r="AK31" s="527"/>
      <c r="AM31" s="470"/>
      <c r="AN31" s="6"/>
      <c r="AO31" s="6"/>
      <c r="AP31" s="47"/>
      <c r="AQ31" s="495"/>
      <c r="AR31" s="509"/>
      <c r="AS31" s="6"/>
      <c r="AT31" s="6"/>
      <c r="AU31" s="527"/>
      <c r="AV31" s="527"/>
    </row>
    <row r="32" spans="1:48" ht="63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65"/>
      <c r="I32" s="573"/>
      <c r="J32" s="527"/>
      <c r="K32" s="66"/>
      <c r="L32" s="470"/>
      <c r="M32" s="6"/>
      <c r="N32" s="6"/>
      <c r="O32" s="495"/>
      <c r="P32" s="509"/>
      <c r="Q32" s="6"/>
      <c r="R32" s="6"/>
      <c r="S32" s="527"/>
      <c r="T32" s="66"/>
      <c r="U32" s="470"/>
      <c r="V32" s="6"/>
      <c r="W32" s="494"/>
      <c r="X32" s="495"/>
      <c r="Y32" s="566"/>
      <c r="Z32" s="566"/>
      <c r="AA32" s="579"/>
      <c r="AB32" s="527"/>
      <c r="AC32" s="66"/>
      <c r="AD32" s="470"/>
      <c r="AE32" s="6"/>
      <c r="AF32" s="494"/>
      <c r="AG32" s="495"/>
      <c r="AH32" s="566"/>
      <c r="AI32" s="566"/>
      <c r="AJ32" s="579"/>
      <c r="AK32" s="527"/>
      <c r="AM32" s="470"/>
      <c r="AN32" s="6"/>
      <c r="AO32" s="6"/>
      <c r="AP32" s="47"/>
      <c r="AQ32" s="495"/>
      <c r="AR32" s="509"/>
      <c r="AS32" s="502"/>
      <c r="AT32" s="565"/>
      <c r="AU32" s="527"/>
      <c r="AV32" s="508"/>
    </row>
    <row r="33" spans="1:48" ht="43.2" customHeight="1" x14ac:dyDescent="0.35">
      <c r="A33" s="1478">
        <v>45459</v>
      </c>
      <c r="B33" s="472">
        <v>1</v>
      </c>
      <c r="C33" s="493"/>
      <c r="D33" s="494"/>
      <c r="E33" s="494"/>
      <c r="F33" s="495"/>
      <c r="G33" s="566"/>
      <c r="H33" s="515"/>
      <c r="I33" s="579"/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/>
      <c r="X33" s="495"/>
      <c r="Y33" s="509"/>
      <c r="Z33" s="6"/>
      <c r="AA33" s="579"/>
      <c r="AB33" s="527"/>
      <c r="AC33" s="66"/>
      <c r="AD33" s="470"/>
      <c r="AE33" s="6"/>
      <c r="AF33" s="6"/>
      <c r="AG33" s="495"/>
      <c r="AH33" s="509"/>
      <c r="AI33" s="502"/>
      <c r="AJ33" s="579"/>
      <c r="AK33" s="527"/>
      <c r="AM33" s="470"/>
      <c r="AN33" s="6"/>
      <c r="AO33" s="6"/>
      <c r="AP33" s="47"/>
      <c r="AQ33" s="495"/>
      <c r="AR33" s="509"/>
      <c r="AS33" s="502"/>
      <c r="AT33" s="6"/>
      <c r="AU33" s="527"/>
      <c r="AV33" s="508"/>
    </row>
    <row r="34" spans="1:48" ht="67.95" customHeight="1" x14ac:dyDescent="0.35">
      <c r="A34" s="1477"/>
      <c r="B34" s="534">
        <v>2</v>
      </c>
      <c r="C34" s="494"/>
      <c r="D34" s="494"/>
      <c r="E34" s="494">
        <v>18</v>
      </c>
      <c r="F34" s="637"/>
      <c r="G34" s="565"/>
      <c r="H34" s="515"/>
      <c r="I34" s="579" t="s">
        <v>97</v>
      </c>
      <c r="J34" s="527"/>
      <c r="K34" s="66"/>
      <c r="L34" s="470"/>
      <c r="M34" s="6"/>
      <c r="N34" s="6"/>
      <c r="O34" s="508"/>
      <c r="P34" s="509"/>
      <c r="Q34" s="515"/>
      <c r="R34" s="6"/>
      <c r="S34" s="527"/>
      <c r="T34" s="66"/>
      <c r="U34" s="470"/>
      <c r="V34" s="6"/>
      <c r="W34" s="6"/>
      <c r="X34" s="508"/>
      <c r="Y34" s="502"/>
      <c r="Z34" s="502"/>
      <c r="AA34" s="579"/>
      <c r="AB34" s="527"/>
      <c r="AC34" s="66"/>
      <c r="AD34" s="470"/>
      <c r="AE34" s="6"/>
      <c r="AF34" s="6"/>
      <c r="AG34" s="508"/>
      <c r="AH34" s="509"/>
      <c r="AI34" s="6"/>
      <c r="AJ34" s="502"/>
      <c r="AK34" s="527"/>
      <c r="AM34" s="470"/>
      <c r="AN34" s="6"/>
      <c r="AO34" s="6"/>
      <c r="AP34" s="47"/>
      <c r="AQ34" s="508"/>
      <c r="AR34" s="509"/>
      <c r="AS34" s="6"/>
      <c r="AT34" s="636"/>
      <c r="AU34" s="527"/>
      <c r="AV34" s="508"/>
    </row>
    <row r="35" spans="1:48" ht="51" customHeight="1" x14ac:dyDescent="0.35">
      <c r="A35" s="1478">
        <v>45460</v>
      </c>
      <c r="B35" s="472">
        <v>1</v>
      </c>
      <c r="C35" s="494"/>
      <c r="D35" s="494"/>
      <c r="E35" s="47"/>
      <c r="F35" s="636"/>
      <c r="G35" s="465"/>
      <c r="H35" s="509"/>
      <c r="I35" s="573"/>
      <c r="J35" s="568"/>
      <c r="K35" s="66"/>
      <c r="L35" s="470"/>
      <c r="M35" s="6"/>
      <c r="N35" s="6"/>
      <c r="O35" s="508"/>
      <c r="P35" s="465"/>
      <c r="Q35" s="576"/>
      <c r="R35" s="515"/>
      <c r="S35" s="527"/>
      <c r="T35" s="66"/>
      <c r="U35" s="470"/>
      <c r="V35" s="6">
        <v>13</v>
      </c>
      <c r="W35" s="47"/>
      <c r="X35" s="526"/>
      <c r="Y35" s="465"/>
      <c r="Z35" s="502" t="s">
        <v>935</v>
      </c>
      <c r="AA35" s="579"/>
      <c r="AB35" s="508"/>
      <c r="AC35" s="66"/>
      <c r="AD35" s="470"/>
      <c r="AE35" s="6"/>
      <c r="AF35" s="6"/>
      <c r="AG35" s="469"/>
      <c r="AH35" s="465"/>
      <c r="AI35" s="6"/>
      <c r="AJ35" s="565"/>
      <c r="AK35" s="508"/>
      <c r="AM35" s="470"/>
      <c r="AN35" s="6"/>
      <c r="AO35" s="47"/>
      <c r="AP35" s="47"/>
      <c r="AQ35" s="526"/>
      <c r="AR35" s="465"/>
      <c r="AS35" s="573"/>
      <c r="AT35" s="636"/>
      <c r="AU35" s="636"/>
      <c r="AV35" s="508"/>
    </row>
    <row r="36" spans="1:48" ht="46.95" customHeight="1" x14ac:dyDescent="0.35">
      <c r="A36" s="1477"/>
      <c r="B36" s="472">
        <v>2</v>
      </c>
      <c r="C36" s="47"/>
      <c r="D36" s="6"/>
      <c r="E36" s="47"/>
      <c r="F36" s="636"/>
      <c r="G36" s="573"/>
      <c r="H36" s="515"/>
      <c r="I36" s="641"/>
      <c r="J36" s="527"/>
      <c r="K36" s="66"/>
      <c r="L36" s="465"/>
      <c r="M36" s="6"/>
      <c r="N36" s="6"/>
      <c r="O36" s="469"/>
      <c r="P36" s="465"/>
      <c r="Q36" s="515"/>
      <c r="R36" s="502"/>
      <c r="S36" s="527"/>
      <c r="T36" s="66"/>
      <c r="U36" s="470"/>
      <c r="V36" s="6"/>
      <c r="W36" s="6"/>
      <c r="X36" s="469"/>
      <c r="Y36" s="465"/>
      <c r="Z36" s="515"/>
      <c r="AA36" s="579"/>
      <c r="AB36" s="508"/>
      <c r="AC36" s="66"/>
      <c r="AD36" s="470"/>
      <c r="AE36" s="6"/>
      <c r="AF36" s="47"/>
      <c r="AG36" s="526"/>
      <c r="AH36" s="465"/>
      <c r="AI36" s="502"/>
      <c r="AJ36" s="579"/>
      <c r="AK36" s="508"/>
      <c r="AM36" s="470"/>
      <c r="AN36" s="6"/>
      <c r="AO36" s="470"/>
      <c r="AP36" s="6"/>
      <c r="AQ36" s="6"/>
      <c r="AR36" s="509"/>
      <c r="AS36" s="469"/>
      <c r="AT36" s="465"/>
      <c r="AU36" s="636"/>
      <c r="AV36" s="508"/>
    </row>
    <row r="37" spans="1:48" ht="59.5" customHeight="1" x14ac:dyDescent="0.35">
      <c r="A37" s="1478">
        <v>45461</v>
      </c>
      <c r="B37" s="534">
        <v>1</v>
      </c>
      <c r="C37" s="47"/>
      <c r="D37" s="494"/>
      <c r="E37" s="47"/>
      <c r="F37" s="47"/>
      <c r="G37" s="573"/>
      <c r="H37" s="469"/>
      <c r="I37" s="641"/>
      <c r="J37" s="527"/>
      <c r="K37" s="66"/>
      <c r="L37" s="470"/>
      <c r="M37" s="6"/>
      <c r="N37" s="6"/>
      <c r="O37" s="608"/>
      <c r="P37" s="509"/>
      <c r="Q37" s="6"/>
      <c r="R37" s="6"/>
      <c r="S37" s="508"/>
      <c r="T37" s="66"/>
      <c r="U37" s="470"/>
      <c r="V37" s="6"/>
      <c r="W37" s="6">
        <v>9</v>
      </c>
      <c r="X37" s="508"/>
      <c r="Y37" s="509"/>
      <c r="Z37" s="502"/>
      <c r="AA37" s="579" t="s">
        <v>152</v>
      </c>
      <c r="AB37" s="527"/>
      <c r="AC37" s="66"/>
      <c r="AD37" s="470"/>
      <c r="AE37" s="6"/>
      <c r="AF37" s="6"/>
      <c r="AG37" s="508"/>
      <c r="AH37" s="469"/>
      <c r="AI37" s="6"/>
      <c r="AJ37" s="579"/>
      <c r="AK37" s="508"/>
      <c r="AM37" s="470"/>
      <c r="AN37" s="6"/>
      <c r="AO37" s="6"/>
      <c r="AP37" s="47"/>
      <c r="AQ37" s="508"/>
      <c r="AR37" s="509"/>
      <c r="AS37" s="6"/>
      <c r="AT37" s="6"/>
      <c r="AU37" s="47"/>
      <c r="AV37" s="508"/>
    </row>
    <row r="38" spans="1:48" ht="55.95" customHeight="1" x14ac:dyDescent="0.35">
      <c r="A38" s="1477"/>
      <c r="B38" s="472">
        <v>2</v>
      </c>
      <c r="C38" s="47"/>
      <c r="D38" s="494"/>
      <c r="E38" s="47"/>
      <c r="F38" s="637"/>
      <c r="G38" s="573"/>
      <c r="H38" s="469"/>
      <c r="I38" s="641"/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/>
      <c r="V38" s="6"/>
      <c r="W38" s="6"/>
      <c r="X38" s="508"/>
      <c r="Y38" s="469"/>
      <c r="Z38" s="502"/>
      <c r="AA38" s="579"/>
      <c r="AB38" s="527"/>
      <c r="AC38" s="66"/>
      <c r="AD38" s="470"/>
      <c r="AE38" s="6"/>
      <c r="AF38" s="6"/>
      <c r="AG38" s="508"/>
      <c r="AH38" s="469"/>
      <c r="AI38" s="6"/>
      <c r="AJ38" s="579"/>
      <c r="AK38" s="527"/>
      <c r="AM38" s="470"/>
      <c r="AN38" s="6"/>
      <c r="AO38" s="6"/>
      <c r="AP38" s="47"/>
      <c r="AQ38" s="508"/>
      <c r="AR38" s="469"/>
      <c r="AS38" s="6"/>
      <c r="AT38" s="465"/>
      <c r="AU38" s="636"/>
      <c r="AV38" s="527"/>
    </row>
    <row r="39" spans="1:48" ht="70.95" customHeight="1" x14ac:dyDescent="0.35">
      <c r="A39" s="1478">
        <v>45462</v>
      </c>
      <c r="B39" s="472">
        <v>1</v>
      </c>
      <c r="C39" s="47"/>
      <c r="D39" s="494"/>
      <c r="E39" s="47"/>
      <c r="F39" s="637"/>
      <c r="G39" s="573"/>
      <c r="H39" s="469"/>
      <c r="I39" s="641"/>
      <c r="J39" s="527"/>
      <c r="K39" s="66"/>
      <c r="L39" s="470"/>
      <c r="M39" s="6"/>
      <c r="N39" s="6"/>
      <c r="O39" s="495"/>
      <c r="P39" s="573"/>
      <c r="Q39" s="514"/>
      <c r="R39" s="573"/>
      <c r="S39" s="527"/>
      <c r="T39" s="66"/>
      <c r="U39" s="470"/>
      <c r="V39" s="6"/>
      <c r="W39" s="6"/>
      <c r="X39" s="495"/>
      <c r="Y39" s="509"/>
      <c r="Z39" s="514"/>
      <c r="AA39" s="579"/>
      <c r="AB39" s="527"/>
      <c r="AC39" s="66"/>
      <c r="AD39" s="470"/>
      <c r="AE39" s="6"/>
      <c r="AF39" s="6"/>
      <c r="AG39" s="495"/>
      <c r="AH39" s="573"/>
      <c r="AI39" s="514"/>
      <c r="AJ39" s="573"/>
      <c r="AK39" s="527"/>
      <c r="AM39" s="470"/>
      <c r="AN39" s="6"/>
      <c r="AO39" s="6"/>
      <c r="AP39" s="495"/>
      <c r="AQ39" s="573"/>
      <c r="AR39" s="514"/>
      <c r="AS39" s="573"/>
      <c r="AT39" s="527"/>
      <c r="AU39" s="527"/>
      <c r="AV39" s="568"/>
    </row>
    <row r="40" spans="1:48" ht="72.650000000000006" customHeight="1" x14ac:dyDescent="0.35">
      <c r="A40" s="1477"/>
      <c r="B40" s="472">
        <v>2</v>
      </c>
      <c r="C40" s="494"/>
      <c r="D40" s="494"/>
      <c r="E40" s="494"/>
      <c r="F40" s="508"/>
      <c r="G40" s="573"/>
      <c r="H40" s="515"/>
      <c r="I40" s="641"/>
      <c r="J40" s="527"/>
      <c r="K40" s="66"/>
      <c r="L40" s="470"/>
      <c r="M40" s="6"/>
      <c r="N40" s="6"/>
      <c r="O40" s="508"/>
      <c r="P40" s="566"/>
      <c r="Q40" s="514"/>
      <c r="R40" s="573"/>
      <c r="S40" s="527"/>
      <c r="T40" s="66"/>
      <c r="U40" s="470"/>
      <c r="V40" s="6"/>
      <c r="W40" s="6"/>
      <c r="X40" s="508"/>
      <c r="Y40" s="566"/>
      <c r="Z40" s="514"/>
      <c r="AA40" s="565"/>
      <c r="AB40" s="527"/>
      <c r="AC40" s="66"/>
      <c r="AD40" s="470"/>
      <c r="AE40" s="6"/>
      <c r="AF40" s="6"/>
      <c r="AG40" s="508"/>
      <c r="AH40" s="465"/>
      <c r="AI40" s="515"/>
      <c r="AJ40" s="573"/>
      <c r="AK40" s="527"/>
      <c r="AM40" s="465"/>
      <c r="AN40" s="6"/>
      <c r="AO40" s="6"/>
      <c r="AP40" s="47"/>
      <c r="AQ40" s="508"/>
      <c r="AR40" s="566"/>
      <c r="AS40" s="514"/>
      <c r="AT40" s="573"/>
      <c r="AU40" s="527"/>
      <c r="AV40" s="527"/>
    </row>
    <row r="41" spans="1:48" ht="39.65" customHeight="1" x14ac:dyDescent="0.35">
      <c r="A41" s="1478">
        <v>45463</v>
      </c>
      <c r="B41" s="472">
        <v>1</v>
      </c>
      <c r="C41" s="493"/>
      <c r="D41" s="494"/>
      <c r="E41" s="494"/>
      <c r="F41" s="508"/>
      <c r="G41" s="566"/>
      <c r="H41" s="515"/>
      <c r="I41" s="515"/>
      <c r="J41" s="527"/>
      <c r="K41" s="66"/>
      <c r="L41" s="470"/>
      <c r="M41" s="6"/>
      <c r="N41" s="6"/>
      <c r="O41" s="508"/>
      <c r="P41" s="509"/>
      <c r="Q41" s="6"/>
      <c r="R41" s="573"/>
      <c r="S41" s="527"/>
      <c r="T41" s="66"/>
      <c r="U41" s="470"/>
      <c r="V41" s="6"/>
      <c r="W41" s="6"/>
      <c r="X41" s="508"/>
      <c r="Y41" s="509"/>
      <c r="Z41" s="502"/>
      <c r="AA41" s="579"/>
      <c r="AB41" s="508"/>
      <c r="AC41" s="66"/>
      <c r="AD41" s="470"/>
      <c r="AE41" s="6"/>
      <c r="AF41" s="6"/>
      <c r="AG41" s="508"/>
      <c r="AH41" s="465"/>
      <c r="AI41" s="502"/>
      <c r="AJ41" s="6"/>
      <c r="AK41" s="508"/>
      <c r="AM41" s="470"/>
      <c r="AN41" s="6"/>
      <c r="AO41" s="6"/>
      <c r="AP41" s="47"/>
      <c r="AQ41" s="508"/>
      <c r="AR41" s="509"/>
      <c r="AS41" s="502"/>
      <c r="AT41" s="573"/>
      <c r="AU41" s="47"/>
      <c r="AV41" s="508"/>
    </row>
    <row r="42" spans="1:48" ht="52.95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5"/>
      <c r="I42" s="573"/>
      <c r="J42" s="527"/>
      <c r="K42" s="66"/>
      <c r="L42" s="470"/>
      <c r="M42" s="6">
        <v>182</v>
      </c>
      <c r="N42" s="6"/>
      <c r="O42" s="508"/>
      <c r="P42" s="509"/>
      <c r="Q42" s="502" t="s">
        <v>934</v>
      </c>
      <c r="R42" s="6"/>
      <c r="S42" s="527"/>
      <c r="T42" s="66"/>
      <c r="U42" s="470"/>
      <c r="V42" s="6"/>
      <c r="W42" s="6"/>
      <c r="X42" s="508"/>
      <c r="Y42" s="469"/>
      <c r="Z42" s="6"/>
      <c r="AA42" s="579"/>
      <c r="AB42" s="527"/>
      <c r="AC42" s="66"/>
      <c r="AD42" s="470"/>
      <c r="AE42" s="6"/>
      <c r="AF42" s="6"/>
      <c r="AG42" s="508"/>
      <c r="AH42" s="509"/>
      <c r="AI42" s="502"/>
      <c r="AJ42" s="6"/>
      <c r="AK42" s="527"/>
      <c r="AM42" s="470"/>
      <c r="AN42" s="6"/>
      <c r="AO42" s="6"/>
      <c r="AP42" s="508"/>
      <c r="AQ42" s="508"/>
      <c r="AR42" s="509"/>
      <c r="AS42" s="6"/>
      <c r="AT42" s="6"/>
      <c r="AU42" s="527"/>
      <c r="AV42" s="527"/>
    </row>
    <row r="43" spans="1:48" ht="65.5" customHeight="1" x14ac:dyDescent="0.35">
      <c r="A43" s="1478">
        <v>45464</v>
      </c>
      <c r="B43" s="472">
        <v>1</v>
      </c>
      <c r="C43" s="494"/>
      <c r="D43" s="494"/>
      <c r="E43" s="494"/>
      <c r="F43" s="495"/>
      <c r="G43" s="514"/>
      <c r="H43" s="514"/>
      <c r="I43" s="641"/>
      <c r="J43" s="527"/>
      <c r="K43" s="66"/>
      <c r="L43" s="470"/>
      <c r="M43" s="6"/>
      <c r="N43" s="6"/>
      <c r="O43" s="508"/>
      <c r="P43" s="509"/>
      <c r="Q43" s="6"/>
      <c r="R43" s="6"/>
      <c r="S43" s="527"/>
      <c r="T43" s="66"/>
      <c r="U43" s="470"/>
      <c r="V43" s="6"/>
      <c r="W43" s="6"/>
      <c r="X43" s="508"/>
      <c r="Y43" s="509"/>
      <c r="Z43" s="6"/>
      <c r="AA43" s="579"/>
      <c r="AB43" s="527"/>
      <c r="AC43" s="66"/>
      <c r="AD43" s="470"/>
      <c r="AE43" s="6"/>
      <c r="AF43" s="6"/>
      <c r="AG43" s="508"/>
      <c r="AH43" s="502"/>
      <c r="AI43" s="515"/>
      <c r="AJ43" s="6"/>
      <c r="AK43" s="527"/>
      <c r="AM43" s="470"/>
      <c r="AN43" s="6"/>
      <c r="AO43" s="6"/>
      <c r="AP43" s="47"/>
      <c r="AQ43" s="508"/>
      <c r="AR43" s="502"/>
      <c r="AS43" s="515"/>
      <c r="AT43" s="6"/>
      <c r="AU43" s="527"/>
      <c r="AV43" s="508"/>
    </row>
    <row r="44" spans="1:48" ht="69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515"/>
      <c r="I44" s="641"/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/>
      <c r="W44" s="494"/>
      <c r="X44" s="495"/>
      <c r="Y44" s="514"/>
      <c r="Z44" s="515"/>
      <c r="AA44" s="579"/>
      <c r="AB44" s="527"/>
      <c r="AC44" s="66"/>
      <c r="AD44" s="470"/>
      <c r="AE44" s="6"/>
      <c r="AF44" s="6"/>
      <c r="AG44" s="508"/>
      <c r="AH44" s="509"/>
      <c r="AI44" s="502"/>
      <c r="AJ44" s="579"/>
      <c r="AK44" s="527"/>
      <c r="AM44" s="470"/>
      <c r="AN44" s="6"/>
      <c r="AO44" s="6"/>
      <c r="AP44" s="47"/>
      <c r="AQ44" s="508"/>
      <c r="AR44" s="509"/>
      <c r="AS44" s="502"/>
      <c r="AT44" s="502"/>
      <c r="AU44" s="527"/>
      <c r="AV44" s="508"/>
    </row>
    <row r="45" spans="1:48" ht="69" customHeight="1" x14ac:dyDescent="0.35">
      <c r="A45" s="1478">
        <v>45465</v>
      </c>
      <c r="B45" s="472">
        <v>1</v>
      </c>
      <c r="C45" s="494"/>
      <c r="D45" s="494"/>
      <c r="E45" s="494"/>
      <c r="F45" s="495"/>
      <c r="G45" s="514"/>
      <c r="H45" s="514"/>
      <c r="I45" s="573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502"/>
      <c r="W45" s="6"/>
      <c r="X45" s="508"/>
      <c r="Y45" s="514"/>
      <c r="Z45" s="502"/>
      <c r="AA45" s="502"/>
      <c r="AB45" s="508"/>
      <c r="AC45" s="66"/>
      <c r="AD45" s="470"/>
      <c r="AE45" s="6"/>
      <c r="AF45" s="6"/>
      <c r="AG45" s="508"/>
      <c r="AH45" s="509"/>
      <c r="AI45" s="502"/>
      <c r="AJ45" s="502"/>
      <c r="AK45" s="508"/>
      <c r="AM45" s="470"/>
      <c r="AN45" s="6"/>
      <c r="AO45" s="6"/>
      <c r="AP45" s="47"/>
      <c r="AQ45" s="508"/>
      <c r="AR45" s="509"/>
      <c r="AS45" s="502"/>
      <c r="AT45" s="6"/>
      <c r="AU45" s="47"/>
      <c r="AV45" s="508"/>
    </row>
    <row r="46" spans="1:48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641"/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/>
      <c r="W46" s="6"/>
      <c r="X46" s="508"/>
      <c r="Y46" s="469"/>
      <c r="Z46" s="6"/>
      <c r="AA46" s="502"/>
      <c r="AB46" s="527"/>
      <c r="AC46" s="66"/>
      <c r="AD46" s="470"/>
      <c r="AE46" s="6"/>
      <c r="AF46" s="6"/>
      <c r="AG46" s="508"/>
      <c r="AH46" s="469"/>
      <c r="AI46" s="502"/>
      <c r="AJ46" s="579"/>
      <c r="AK46" s="527"/>
      <c r="AM46" s="470"/>
      <c r="AN46" s="6"/>
      <c r="AO46" s="6"/>
      <c r="AP46" s="47"/>
      <c r="AQ46" s="508"/>
      <c r="AR46" s="509"/>
      <c r="AS46" s="515"/>
      <c r="AT46" s="573"/>
      <c r="AU46" s="47"/>
      <c r="AV46" s="527"/>
    </row>
    <row r="47" spans="1:48" ht="58.95" customHeight="1" x14ac:dyDescent="0.35">
      <c r="A47" s="1478">
        <v>45466</v>
      </c>
      <c r="B47" s="472">
        <v>1</v>
      </c>
      <c r="C47" s="494"/>
      <c r="D47" s="494"/>
      <c r="E47" s="494"/>
      <c r="F47" s="495"/>
      <c r="G47" s="514"/>
      <c r="H47" s="515"/>
      <c r="I47" s="641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14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579"/>
      <c r="AK47" s="508"/>
      <c r="AM47" s="470"/>
      <c r="AN47" s="6"/>
      <c r="AO47" s="6"/>
      <c r="AP47" s="47"/>
      <c r="AQ47" s="508"/>
      <c r="AR47" s="509"/>
      <c r="AS47" s="515"/>
      <c r="AT47" s="6"/>
      <c r="AU47" s="47"/>
      <c r="AV47" s="508"/>
    </row>
    <row r="48" spans="1:48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27"/>
      <c r="K48" s="66"/>
      <c r="L48" s="470"/>
      <c r="M48" s="6"/>
      <c r="N48" s="6"/>
      <c r="O48" s="495"/>
      <c r="P48" s="515"/>
      <c r="Q48" s="515"/>
      <c r="R48" s="573"/>
      <c r="S48" s="527"/>
      <c r="T48" s="66"/>
      <c r="U48" s="470"/>
      <c r="V48" s="6"/>
      <c r="W48" s="6"/>
      <c r="X48" s="495"/>
      <c r="Y48" s="515"/>
      <c r="Z48" s="515"/>
      <c r="AA48" s="573"/>
      <c r="AB48" s="527"/>
      <c r="AC48" s="66"/>
      <c r="AD48" s="470"/>
      <c r="AE48" s="6"/>
      <c r="AF48" s="6"/>
      <c r="AG48" s="495"/>
      <c r="AH48" s="515"/>
      <c r="AI48" s="515"/>
      <c r="AJ48" s="573"/>
      <c r="AK48" s="527"/>
      <c r="AM48" s="470"/>
      <c r="AN48" s="6"/>
      <c r="AO48" s="470"/>
      <c r="AP48" s="6"/>
      <c r="AQ48" s="6"/>
      <c r="AR48" s="495"/>
      <c r="AS48" s="515"/>
      <c r="AT48" s="515"/>
      <c r="AU48" s="527"/>
      <c r="AV48" s="508"/>
    </row>
    <row r="49" spans="1:48" ht="36" customHeight="1" x14ac:dyDescent="0.35">
      <c r="A49" s="1478">
        <v>45467</v>
      </c>
      <c r="B49" s="472">
        <v>1</v>
      </c>
      <c r="C49" s="494"/>
      <c r="D49" s="494"/>
      <c r="E49" s="494"/>
      <c r="F49" s="495"/>
      <c r="G49" s="515"/>
      <c r="H49" s="514"/>
      <c r="I49" s="641"/>
      <c r="J49" s="527"/>
      <c r="K49" s="66"/>
      <c r="L49" s="470"/>
      <c r="M49" s="6"/>
      <c r="N49" s="6"/>
      <c r="O49" s="495"/>
      <c r="P49" s="515"/>
      <c r="Q49" s="514"/>
      <c r="R49" s="573"/>
      <c r="S49" s="527"/>
      <c r="T49" s="66"/>
      <c r="U49" s="470"/>
      <c r="V49" s="6"/>
      <c r="W49" s="6"/>
      <c r="X49" s="495"/>
      <c r="Y49" s="515"/>
      <c r="Z49" s="502"/>
      <c r="AA49" s="502"/>
      <c r="AB49" s="527"/>
      <c r="AC49" s="66"/>
      <c r="AD49" s="470"/>
      <c r="AE49" s="6"/>
      <c r="AF49" s="6"/>
      <c r="AG49" s="495"/>
      <c r="AH49" s="515"/>
      <c r="AI49" s="514"/>
      <c r="AJ49" s="573"/>
      <c r="AK49" s="527"/>
      <c r="AM49" s="470"/>
      <c r="AN49" s="6"/>
      <c r="AO49" s="6"/>
      <c r="AP49" s="495"/>
      <c r="AQ49" s="515"/>
      <c r="AR49" s="514"/>
      <c r="AS49" s="573"/>
      <c r="AT49" s="527"/>
      <c r="AU49" s="527"/>
      <c r="AV49" s="508"/>
    </row>
    <row r="50" spans="1:48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>
        <v>10</v>
      </c>
      <c r="W50" s="6">
        <v>22</v>
      </c>
      <c r="X50" s="495"/>
      <c r="Y50" s="514"/>
      <c r="Z50" s="514" t="s">
        <v>936</v>
      </c>
      <c r="AA50" s="579" t="s">
        <v>578</v>
      </c>
      <c r="AB50" s="527"/>
      <c r="AC50" s="66"/>
      <c r="AD50" s="470">
        <v>24</v>
      </c>
      <c r="AE50" s="6"/>
      <c r="AF50" s="6"/>
      <c r="AG50" s="495"/>
      <c r="AH50" s="514" t="s">
        <v>288</v>
      </c>
      <c r="AI50" s="514"/>
      <c r="AJ50" s="573"/>
      <c r="AK50" s="527"/>
      <c r="AM50" s="470"/>
      <c r="AN50" s="6"/>
      <c r="AO50" s="6"/>
      <c r="AP50" s="495"/>
      <c r="AQ50" s="514"/>
      <c r="AR50" s="514"/>
      <c r="AS50" s="573"/>
      <c r="AT50" s="527"/>
      <c r="AU50" s="527"/>
      <c r="AV50" s="527"/>
    </row>
    <row r="51" spans="1:48" ht="34.950000000000003" customHeight="1" x14ac:dyDescent="0.35">
      <c r="A51" s="1478">
        <v>45468</v>
      </c>
      <c r="B51" s="472">
        <v>1</v>
      </c>
      <c r="C51" s="494"/>
      <c r="D51" s="494"/>
      <c r="E51" s="494"/>
      <c r="F51" s="495"/>
      <c r="G51" s="514"/>
      <c r="H51" s="514"/>
      <c r="I51" s="641"/>
      <c r="J51" s="527"/>
      <c r="K51" s="66"/>
      <c r="L51" s="470"/>
      <c r="M51" s="6"/>
      <c r="N51" s="6"/>
      <c r="O51" s="495"/>
      <c r="P51" s="514"/>
      <c r="Q51" s="514"/>
      <c r="R51" s="573"/>
      <c r="S51" s="527"/>
      <c r="T51" s="66"/>
      <c r="U51" s="470"/>
      <c r="V51" s="6"/>
      <c r="W51" s="6"/>
      <c r="X51" s="495"/>
      <c r="Y51" s="514"/>
      <c r="Z51" s="514"/>
      <c r="AA51" s="579"/>
      <c r="AB51" s="527"/>
      <c r="AC51" s="66"/>
      <c r="AD51" s="470"/>
      <c r="AE51" s="6"/>
      <c r="AF51" s="6"/>
      <c r="AG51" s="495"/>
      <c r="AH51" s="514"/>
      <c r="AI51" s="514"/>
      <c r="AJ51" s="573"/>
      <c r="AK51" s="527"/>
      <c r="AM51" s="470"/>
      <c r="AN51" s="6"/>
      <c r="AO51" s="6"/>
      <c r="AP51" s="495"/>
      <c r="AQ51" s="514"/>
      <c r="AR51" s="514"/>
      <c r="AS51" s="573"/>
      <c r="AT51" s="527"/>
      <c r="AU51" s="527"/>
      <c r="AV51" s="508"/>
    </row>
    <row r="52" spans="1:48" ht="49.2" customHeight="1" x14ac:dyDescent="0.35">
      <c r="A52" s="1477"/>
      <c r="B52" s="472">
        <v>2</v>
      </c>
      <c r="C52" s="494"/>
      <c r="D52" s="494"/>
      <c r="E52" s="494">
        <v>14</v>
      </c>
      <c r="F52" s="495"/>
      <c r="G52" s="515"/>
      <c r="H52" s="515"/>
      <c r="I52" s="641" t="s">
        <v>152</v>
      </c>
      <c r="J52" s="527"/>
      <c r="K52" s="66"/>
      <c r="L52" s="470"/>
      <c r="M52" s="6">
        <v>140</v>
      </c>
      <c r="N52" s="6"/>
      <c r="O52" s="495"/>
      <c r="P52" s="515"/>
      <c r="Q52" s="515" t="s">
        <v>96</v>
      </c>
      <c r="R52" s="573"/>
      <c r="S52" s="527"/>
      <c r="T52" s="66"/>
      <c r="U52" s="470"/>
      <c r="V52" s="6"/>
      <c r="W52" s="6"/>
      <c r="X52" s="495"/>
      <c r="Y52" s="515"/>
      <c r="Z52" s="514"/>
      <c r="AA52" s="579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>
        <v>20</v>
      </c>
      <c r="AO52" s="508"/>
      <c r="AP52" s="508"/>
      <c r="AQ52" s="508"/>
      <c r="AR52" s="509"/>
      <c r="AS52" s="6" t="s">
        <v>937</v>
      </c>
      <c r="AT52" s="527"/>
      <c r="AU52" s="527"/>
      <c r="AV52" s="508"/>
    </row>
    <row r="53" spans="1:48" ht="48" customHeight="1" x14ac:dyDescent="0.35">
      <c r="A53" s="1478">
        <v>45469</v>
      </c>
      <c r="B53" s="472">
        <v>1</v>
      </c>
      <c r="C53" s="494"/>
      <c r="D53" s="494"/>
      <c r="E53" s="494"/>
      <c r="F53" s="495"/>
      <c r="G53" s="514"/>
      <c r="H53" s="514"/>
      <c r="I53" s="641"/>
      <c r="J53" s="527"/>
      <c r="K53" s="66"/>
      <c r="L53" s="470"/>
      <c r="M53" s="6"/>
      <c r="N53" s="6"/>
      <c r="O53" s="508"/>
      <c r="P53" s="469"/>
      <c r="Q53" s="515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6"/>
      <c r="AJ53" s="502"/>
      <c r="AK53" s="508"/>
      <c r="AM53" s="470"/>
      <c r="AN53" s="502"/>
      <c r="AO53" s="6"/>
      <c r="AP53" s="47"/>
      <c r="AQ53" s="508"/>
      <c r="AR53" s="469"/>
      <c r="AS53" s="6"/>
      <c r="AT53" s="6"/>
      <c r="AU53" s="47"/>
      <c r="AV53" s="508"/>
    </row>
    <row r="54" spans="1:48" ht="45.65" customHeight="1" x14ac:dyDescent="0.35">
      <c r="A54" s="1477"/>
      <c r="B54" s="500">
        <v>2</v>
      </c>
      <c r="C54" s="494">
        <v>177</v>
      </c>
      <c r="D54" s="494"/>
      <c r="E54" s="494">
        <v>22</v>
      </c>
      <c r="F54" s="495"/>
      <c r="G54" s="514" t="s">
        <v>766</v>
      </c>
      <c r="H54" s="515"/>
      <c r="I54" s="573" t="s">
        <v>938</v>
      </c>
      <c r="J54" s="527"/>
      <c r="K54" s="66"/>
      <c r="L54" s="470"/>
      <c r="M54" s="6"/>
      <c r="N54" s="6"/>
      <c r="O54" s="495"/>
      <c r="P54" s="514"/>
      <c r="Q54" s="515"/>
      <c r="R54" s="514"/>
      <c r="S54" s="527"/>
      <c r="T54" s="66"/>
      <c r="U54" s="470"/>
      <c r="V54" s="6"/>
      <c r="W54" s="6"/>
      <c r="X54" s="495"/>
      <c r="Y54" s="515"/>
      <c r="Z54" s="515"/>
      <c r="AA54" s="515"/>
      <c r="AB54" s="527"/>
      <c r="AC54" s="66"/>
      <c r="AD54" s="470"/>
      <c r="AE54" s="6"/>
      <c r="AF54" s="6"/>
      <c r="AG54" s="508"/>
      <c r="AH54" s="509"/>
      <c r="AI54" s="515"/>
      <c r="AJ54" s="6"/>
      <c r="AK54" s="527"/>
      <c r="AM54" s="470"/>
      <c r="AN54" s="6"/>
      <c r="AO54" s="6"/>
      <c r="AP54" s="47"/>
      <c r="AQ54" s="495"/>
      <c r="AR54" s="469"/>
      <c r="AS54" s="515"/>
      <c r="AT54" s="514"/>
      <c r="AU54" s="638"/>
      <c r="AV54" s="527"/>
    </row>
    <row r="55" spans="1:48" ht="39.65" customHeight="1" x14ac:dyDescent="0.35">
      <c r="A55" s="1478">
        <v>45470</v>
      </c>
      <c r="B55" s="472">
        <v>1</v>
      </c>
      <c r="C55" s="493"/>
      <c r="D55" s="494"/>
      <c r="E55" s="494"/>
      <c r="F55" s="495"/>
      <c r="G55" s="514"/>
      <c r="H55" s="514"/>
      <c r="I55" s="641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4"/>
      <c r="AA55" s="579"/>
      <c r="AB55" s="508"/>
      <c r="AC55" s="66"/>
      <c r="AD55" s="470"/>
      <c r="AE55" s="6"/>
      <c r="AF55" s="6">
        <v>22</v>
      </c>
      <c r="AG55" s="508"/>
      <c r="AH55" s="509"/>
      <c r="AI55" s="515"/>
      <c r="AJ55" s="502" t="s">
        <v>940</v>
      </c>
      <c r="AK55" s="508"/>
      <c r="AM55" s="470"/>
      <c r="AN55" s="6">
        <v>67</v>
      </c>
      <c r="AO55" s="6"/>
      <c r="AP55" s="47"/>
      <c r="AQ55" s="508"/>
      <c r="AR55" s="509"/>
      <c r="AS55" s="502" t="s">
        <v>939</v>
      </c>
      <c r="AT55" s="6"/>
      <c r="AU55" s="47"/>
      <c r="AV55" s="508"/>
    </row>
    <row r="56" spans="1:48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641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02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7"/>
      <c r="AQ56" s="495"/>
      <c r="AR56" s="515"/>
      <c r="AS56" s="502"/>
      <c r="AT56" s="515"/>
      <c r="AU56" s="573"/>
      <c r="AV56" s="527"/>
    </row>
    <row r="57" spans="1:48" ht="52.2" customHeight="1" x14ac:dyDescent="0.35">
      <c r="A57" s="1478">
        <v>45471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02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7"/>
      <c r="AQ57" s="495"/>
      <c r="AR57" s="515"/>
      <c r="AS57" s="514"/>
      <c r="AT57" s="515"/>
      <c r="AU57" s="573"/>
      <c r="AV57" s="527"/>
    </row>
    <row r="58" spans="1:48" ht="78" customHeight="1" x14ac:dyDescent="0.35">
      <c r="A58" s="1477"/>
      <c r="B58" s="500">
        <v>2</v>
      </c>
      <c r="C58" s="493"/>
      <c r="D58" s="494">
        <v>116</v>
      </c>
      <c r="E58" s="494"/>
      <c r="F58" s="495"/>
      <c r="G58" s="515"/>
      <c r="H58" s="515" t="s">
        <v>941</v>
      </c>
      <c r="I58" s="641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/>
      <c r="X58" s="495"/>
      <c r="Y58" s="515"/>
      <c r="Z58" s="514"/>
      <c r="AA58" s="579"/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/>
      <c r="AP58" s="47"/>
      <c r="AQ58" s="495"/>
      <c r="AR58" s="515"/>
      <c r="AS58" s="514"/>
      <c r="AT58" s="515"/>
      <c r="AU58" s="573"/>
      <c r="AV58" s="527"/>
    </row>
    <row r="59" spans="1:48" ht="73.2" customHeight="1" x14ac:dyDescent="0.35">
      <c r="A59" s="1478">
        <v>45472</v>
      </c>
      <c r="B59" s="472">
        <v>1</v>
      </c>
      <c r="C59" s="493"/>
      <c r="D59" s="494"/>
      <c r="E59" s="494"/>
      <c r="F59" s="495"/>
      <c r="G59" s="515"/>
      <c r="H59" s="514"/>
      <c r="I59" s="641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514"/>
      <c r="AA59" s="579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47"/>
      <c r="AQ59" s="508"/>
      <c r="AR59" s="469"/>
      <c r="AS59" s="6"/>
      <c r="AT59" s="515"/>
      <c r="AU59" s="573"/>
      <c r="AV59" s="527"/>
    </row>
    <row r="60" spans="1:48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641"/>
      <c r="J60" s="527"/>
      <c r="K60" s="66"/>
      <c r="L60" s="470"/>
      <c r="M60" s="6"/>
      <c r="N60" s="6"/>
      <c r="O60" s="508"/>
      <c r="P60" s="509"/>
      <c r="Q60" s="515"/>
      <c r="R60" s="6"/>
      <c r="S60" s="527"/>
      <c r="T60" s="66"/>
      <c r="U60" s="470"/>
      <c r="V60" s="6"/>
      <c r="W60" s="6"/>
      <c r="X60" s="508"/>
      <c r="Y60" s="469"/>
      <c r="Z60" s="515"/>
      <c r="AA60" s="502"/>
      <c r="AB60" s="527"/>
      <c r="AC60" s="66"/>
      <c r="AD60" s="470"/>
      <c r="AE60" s="6"/>
      <c r="AF60" s="6"/>
      <c r="AG60" s="508"/>
      <c r="AH60" s="509"/>
      <c r="AI60" s="515"/>
      <c r="AJ60" s="502"/>
      <c r="AK60" s="527"/>
      <c r="AM60" s="470"/>
      <c r="AN60" s="6"/>
      <c r="AO60" s="6"/>
      <c r="AP60" s="47"/>
      <c r="AQ60" s="508"/>
      <c r="AR60" s="509"/>
      <c r="AS60" s="515"/>
      <c r="AT60" s="502"/>
      <c r="AU60" s="636"/>
      <c r="AV60" s="527"/>
    </row>
    <row r="61" spans="1:48" ht="32.5" customHeight="1" x14ac:dyDescent="0.35">
      <c r="A61" s="1478">
        <v>45473</v>
      </c>
      <c r="B61" s="472">
        <v>1</v>
      </c>
      <c r="C61" s="618">
        <v>17</v>
      </c>
      <c r="D61" s="619"/>
      <c r="E61" s="494"/>
      <c r="F61" s="620"/>
      <c r="G61" s="514" t="s">
        <v>848</v>
      </c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>
        <v>39</v>
      </c>
      <c r="AF61" s="6"/>
      <c r="AG61" s="508"/>
      <c r="AH61" s="509"/>
      <c r="AI61" s="502" t="s">
        <v>942</v>
      </c>
      <c r="AJ61" s="502"/>
      <c r="AK61" s="624"/>
      <c r="AM61" s="470"/>
      <c r="AN61" s="6"/>
      <c r="AO61" s="6"/>
      <c r="AP61" s="47"/>
      <c r="AQ61" s="508"/>
      <c r="AR61" s="469"/>
      <c r="AS61" s="6"/>
      <c r="AT61" s="502"/>
      <c r="AU61" s="648"/>
      <c r="AV61" s="624"/>
    </row>
    <row r="62" spans="1:48" ht="62.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573"/>
      <c r="J62" s="568"/>
      <c r="K62" s="66"/>
      <c r="L62" s="470"/>
      <c r="M62" s="6"/>
      <c r="N62" s="6"/>
      <c r="O62" s="508"/>
      <c r="P62" s="623"/>
      <c r="Q62" s="665"/>
      <c r="R62" s="524"/>
      <c r="S62" s="624"/>
      <c r="T62" s="66"/>
      <c r="U62" s="470"/>
      <c r="V62" s="6"/>
      <c r="W62" s="6"/>
      <c r="X62" s="508"/>
      <c r="Y62" s="469"/>
      <c r="Z62" s="502"/>
      <c r="AA62" s="502"/>
      <c r="AB62" s="624"/>
      <c r="AC62" s="66"/>
      <c r="AD62" s="470"/>
      <c r="AE62" s="6"/>
      <c r="AF62" s="6"/>
      <c r="AG62" s="508"/>
      <c r="AH62" s="1491"/>
      <c r="AI62" s="1492"/>
      <c r="AJ62" s="1493"/>
      <c r="AK62" s="624"/>
      <c r="AM62" s="470"/>
      <c r="AN62" s="6"/>
      <c r="AO62" s="6"/>
      <c r="AP62" s="47"/>
      <c r="AQ62" s="508"/>
      <c r="AR62" s="509"/>
      <c r="AS62" s="6"/>
      <c r="AT62" s="502"/>
      <c r="AU62" s="648"/>
      <c r="AV62" s="624"/>
    </row>
    <row r="63" spans="1:48" ht="64.2" customHeight="1" x14ac:dyDescent="0.35">
      <c r="A63" s="1478"/>
      <c r="B63" s="472">
        <v>1</v>
      </c>
      <c r="C63" s="587"/>
      <c r="D63" s="588"/>
      <c r="E63" s="588"/>
      <c r="F63" s="589"/>
      <c r="G63" s="598"/>
      <c r="H63" s="590"/>
      <c r="I63" s="573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502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7"/>
      <c r="AQ63" s="495"/>
      <c r="AR63" s="566"/>
      <c r="AS63" s="514"/>
      <c r="AT63" s="514"/>
      <c r="AU63" s="649"/>
      <c r="AV63" s="586"/>
    </row>
    <row r="64" spans="1:48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647"/>
      <c r="AQ64" s="528"/>
      <c r="AR64" s="529"/>
      <c r="AS64" s="530"/>
      <c r="AT64" s="530"/>
      <c r="AU64" s="650"/>
      <c r="AV64" s="594"/>
    </row>
    <row r="65" spans="1:43" ht="23.5" customHeight="1" x14ac:dyDescent="0.35">
      <c r="A65" s="423" t="s">
        <v>225</v>
      </c>
      <c r="C65" s="631">
        <f>SUM(C3:C64)</f>
        <v>377</v>
      </c>
      <c r="D65" s="65">
        <f>SUM(D3:D64)</f>
        <v>204</v>
      </c>
      <c r="E65" s="631">
        <f>SUM(E3:E64)</f>
        <v>142</v>
      </c>
      <c r="F65" s="65">
        <f>SUM(F3:F64)</f>
        <v>0</v>
      </c>
      <c r="L65" s="65">
        <f>SUM(L3:L64)</f>
        <v>50</v>
      </c>
      <c r="M65" s="65">
        <f>SUM(M3:M64)</f>
        <v>322</v>
      </c>
      <c r="N65" s="65">
        <f>SUM(N3:N64)</f>
        <v>50</v>
      </c>
      <c r="O65" s="65">
        <f>SUM(O3:O64)</f>
        <v>0</v>
      </c>
      <c r="U65" s="65">
        <f>SUM(U3:U64)</f>
        <v>3457</v>
      </c>
      <c r="V65" s="65">
        <f>SUM(V3:V64)</f>
        <v>44</v>
      </c>
      <c r="W65" s="65">
        <f>SUM(W3:W64)</f>
        <v>1394</v>
      </c>
      <c r="X65" s="65">
        <f>SUM(X3:X64)</f>
        <v>0</v>
      </c>
      <c r="AD65" s="65">
        <f>SUM(AD3:AD64)</f>
        <v>529</v>
      </c>
      <c r="AE65" s="65">
        <f>SUM(AE3:AE64)</f>
        <v>188</v>
      </c>
      <c r="AF65" s="65">
        <f>SUM(AF3:AF64)</f>
        <v>151</v>
      </c>
      <c r="AG65" s="65">
        <f>SUM(AG3:AG64)</f>
        <v>0</v>
      </c>
      <c r="AM65" s="65">
        <f>SUM(AM3:AM64)</f>
        <v>115</v>
      </c>
      <c r="AN65" s="65">
        <f>SUM(AN3:AN64)</f>
        <v>202</v>
      </c>
      <c r="AO65" s="65">
        <f>SUM(AO3:AO64)</f>
        <v>130</v>
      </c>
      <c r="AP65" s="65"/>
      <c r="AQ65" s="65">
        <f>SUM(AQ3:AQ64)</f>
        <v>0</v>
      </c>
    </row>
    <row r="73" spans="1:43" ht="14.6" thickBot="1" x14ac:dyDescent="0.4"/>
    <row r="74" spans="1:43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3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3" ht="21.75" customHeight="1" x14ac:dyDescent="0.4">
      <c r="B76" s="541" t="s">
        <v>218</v>
      </c>
      <c r="C76" s="542">
        <f>C65</f>
        <v>377</v>
      </c>
      <c r="D76" s="543">
        <f>C76/60</f>
        <v>6.2833333333333332</v>
      </c>
      <c r="E76" s="542">
        <f>D65</f>
        <v>204</v>
      </c>
      <c r="F76" s="544">
        <f>E76/60</f>
        <v>3.4</v>
      </c>
      <c r="G76" s="542">
        <f>E65</f>
        <v>142</v>
      </c>
      <c r="H76" s="543">
        <f>G76/60</f>
        <v>2.3666666666666667</v>
      </c>
      <c r="I76" s="542">
        <f>F65</f>
        <v>0</v>
      </c>
      <c r="J76" s="543">
        <f>I76/60</f>
        <v>0</v>
      </c>
    </row>
    <row r="77" spans="1:43" ht="19.5" customHeight="1" x14ac:dyDescent="0.4">
      <c r="B77" s="541" t="s">
        <v>219</v>
      </c>
      <c r="C77" s="545">
        <f>L65</f>
        <v>50</v>
      </c>
      <c r="D77" s="546">
        <f>C77/60</f>
        <v>0.83333333333333337</v>
      </c>
      <c r="E77" s="545">
        <f>M65</f>
        <v>322</v>
      </c>
      <c r="F77" s="547">
        <f>E77/60</f>
        <v>5.3666666666666663</v>
      </c>
      <c r="G77" s="545">
        <f>N65</f>
        <v>50</v>
      </c>
      <c r="H77" s="546">
        <f>G77/60</f>
        <v>0.83333333333333337</v>
      </c>
      <c r="I77" s="545">
        <f>O65</f>
        <v>0</v>
      </c>
      <c r="J77" s="546">
        <f>I77/60</f>
        <v>0</v>
      </c>
    </row>
    <row r="78" spans="1:43" ht="20.25" customHeight="1" x14ac:dyDescent="0.4">
      <c r="B78" s="541" t="s">
        <v>220</v>
      </c>
      <c r="C78" s="545">
        <f>U65</f>
        <v>3457</v>
      </c>
      <c r="D78" s="546">
        <f>C78/60</f>
        <v>57.616666666666667</v>
      </c>
      <c r="E78" s="545">
        <f>V65</f>
        <v>44</v>
      </c>
      <c r="F78" s="547">
        <f>E78/60</f>
        <v>0.73333333333333328</v>
      </c>
      <c r="G78" s="545">
        <f>W65</f>
        <v>1394</v>
      </c>
      <c r="H78" s="546">
        <f>G78/60</f>
        <v>23.233333333333334</v>
      </c>
      <c r="I78" s="545">
        <f>X65</f>
        <v>0</v>
      </c>
      <c r="J78" s="546">
        <f>I78/60</f>
        <v>0</v>
      </c>
    </row>
    <row r="79" spans="1:43" ht="22.5" customHeight="1" thickBot="1" x14ac:dyDescent="0.45">
      <c r="B79" s="541" t="s">
        <v>221</v>
      </c>
      <c r="C79" s="548">
        <f>AD65</f>
        <v>529</v>
      </c>
      <c r="D79" s="549">
        <f>C79/60</f>
        <v>8.8166666666666664</v>
      </c>
      <c r="E79" s="548">
        <f>AE65</f>
        <v>188</v>
      </c>
      <c r="F79" s="550">
        <f>E79/60</f>
        <v>3.1333333333333333</v>
      </c>
      <c r="G79" s="548">
        <f>AF65</f>
        <v>151</v>
      </c>
      <c r="H79" s="549">
        <f>G79/60</f>
        <v>2.5166666666666666</v>
      </c>
      <c r="I79" s="548">
        <f>AG65</f>
        <v>0</v>
      </c>
      <c r="J79" s="549">
        <f>I79/60</f>
        <v>0</v>
      </c>
    </row>
    <row r="80" spans="1:43" ht="22.5" customHeight="1" thickBot="1" x14ac:dyDescent="0.45">
      <c r="B80" s="541" t="s">
        <v>488</v>
      </c>
      <c r="C80" s="643">
        <f>AM65</f>
        <v>115</v>
      </c>
      <c r="D80" s="642">
        <f>C80/60</f>
        <v>1.9166666666666667</v>
      </c>
      <c r="E80" s="643">
        <f>AN65</f>
        <v>202</v>
      </c>
      <c r="F80" s="644">
        <f>E80/60</f>
        <v>3.3666666666666667</v>
      </c>
      <c r="G80" s="643">
        <f>AO65</f>
        <v>130</v>
      </c>
      <c r="H80" s="642">
        <f>G80/60</f>
        <v>2.1666666666666665</v>
      </c>
      <c r="I80" s="643">
        <f>AQ65</f>
        <v>0</v>
      </c>
      <c r="J80" s="642">
        <f>I80/60</f>
        <v>0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75.466666666666669</v>
      </c>
      <c r="E82" s="556"/>
      <c r="F82" s="557">
        <f>SUM(F76:F80)</f>
        <v>15.999999999999998</v>
      </c>
      <c r="G82" s="556"/>
      <c r="H82" s="557">
        <f>SUM(H76:H80)</f>
        <v>31.116666666666667</v>
      </c>
      <c r="I82" s="556"/>
      <c r="J82" s="558">
        <f>AVERAGE(J76:J80)</f>
        <v>0</v>
      </c>
    </row>
  </sheetData>
  <mergeCells count="50">
    <mergeCell ref="A61:A62"/>
    <mergeCell ref="AH62:AJ62"/>
    <mergeCell ref="A63:A64"/>
    <mergeCell ref="C74:D74"/>
    <mergeCell ref="E74:F74"/>
    <mergeCell ref="G74:H74"/>
    <mergeCell ref="I74:J74"/>
    <mergeCell ref="A59:A60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9:A10"/>
    <mergeCell ref="G10:I10"/>
    <mergeCell ref="A11:A12"/>
    <mergeCell ref="A35:A36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H14:AJ14"/>
    <mergeCell ref="G16:I16"/>
    <mergeCell ref="AR18:AT18"/>
    <mergeCell ref="A5:A6"/>
    <mergeCell ref="C1:F1"/>
    <mergeCell ref="G1:J1"/>
    <mergeCell ref="L1:O1"/>
    <mergeCell ref="P1:S1"/>
    <mergeCell ref="AD1:AG1"/>
    <mergeCell ref="AH1:AK1"/>
    <mergeCell ref="AM1:AQ1"/>
    <mergeCell ref="AR1:AV1"/>
    <mergeCell ref="A3:A4"/>
    <mergeCell ref="U1:X1"/>
    <mergeCell ref="Y1:AB1"/>
    <mergeCell ref="A7:A8"/>
  </mergeCells>
  <pageMargins left="0.7" right="0.7" top="0.75" bottom="0.75" header="0.3" footer="0.3"/>
  <pageSetup paperSize="9" orientation="portrait" horizontalDpi="180" verticalDpi="18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T82"/>
  <sheetViews>
    <sheetView zoomScale="50" zoomScaleNormal="5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H79" sqref="H79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7.304687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3046875" style="423" customWidth="1"/>
    <col min="45" max="45" width="27.152343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7" t="s">
        <v>199</v>
      </c>
      <c r="AR2" s="655" t="s">
        <v>200</v>
      </c>
      <c r="AS2" s="655" t="s">
        <v>201</v>
      </c>
      <c r="AT2" s="655" t="s">
        <v>204</v>
      </c>
    </row>
    <row r="3" spans="1:46" ht="78" customHeight="1" x14ac:dyDescent="0.35">
      <c r="A3" s="1478">
        <v>45474</v>
      </c>
      <c r="B3" s="501">
        <v>1</v>
      </c>
      <c r="C3" s="490"/>
      <c r="D3" s="491"/>
      <c r="E3" s="6"/>
      <c r="F3" s="492"/>
      <c r="G3" s="566"/>
      <c r="H3" s="514"/>
      <c r="I3" s="515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6"/>
      <c r="X3" s="508"/>
      <c r="Y3" s="469"/>
      <c r="Z3" s="521"/>
      <c r="AA3" s="515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520"/>
      <c r="AQ3" s="521"/>
      <c r="AR3" s="538"/>
      <c r="AS3" s="502"/>
      <c r="AT3" s="520"/>
    </row>
    <row r="4" spans="1:46" ht="70.2" customHeight="1" x14ac:dyDescent="0.35">
      <c r="A4" s="1477"/>
      <c r="B4" s="472">
        <v>2</v>
      </c>
      <c r="C4" s="493">
        <v>76</v>
      </c>
      <c r="D4" s="494"/>
      <c r="E4" s="494"/>
      <c r="F4" s="495"/>
      <c r="G4" s="565" t="s">
        <v>930</v>
      </c>
      <c r="H4" s="514"/>
      <c r="I4" s="641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>
        <v>39</v>
      </c>
      <c r="X4" s="508"/>
      <c r="Y4" s="469"/>
      <c r="Z4" s="515"/>
      <c r="AA4" s="579" t="s">
        <v>152</v>
      </c>
      <c r="AB4" s="603"/>
      <c r="AC4" s="66"/>
      <c r="AD4" s="470"/>
      <c r="AE4" s="6"/>
      <c r="AF4" s="6"/>
      <c r="AG4" s="508"/>
      <c r="AH4" s="509"/>
      <c r="AI4" s="515"/>
      <c r="AJ4" s="6"/>
      <c r="AK4" s="508"/>
      <c r="AM4" s="470"/>
      <c r="AN4" s="6"/>
      <c r="AO4" s="6"/>
      <c r="AP4" s="508"/>
      <c r="AQ4" s="509"/>
      <c r="AR4" s="515"/>
      <c r="AS4" s="6"/>
      <c r="AT4" s="508"/>
    </row>
    <row r="5" spans="1:46" ht="60" customHeight="1" x14ac:dyDescent="0.35">
      <c r="A5" s="1478">
        <v>45475</v>
      </c>
      <c r="B5" s="472">
        <v>1</v>
      </c>
      <c r="C5" s="493"/>
      <c r="D5" s="494"/>
      <c r="E5" s="494"/>
      <c r="F5" s="495"/>
      <c r="G5" s="565"/>
      <c r="H5" s="565"/>
      <c r="I5" s="641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514"/>
      <c r="AA5" s="579"/>
      <c r="AB5" s="604"/>
      <c r="AC5" s="66"/>
      <c r="AD5" s="470"/>
      <c r="AE5" s="6"/>
      <c r="AF5" s="6"/>
      <c r="AG5" s="508"/>
      <c r="AH5" s="509"/>
      <c r="AI5" s="6"/>
      <c r="AJ5" s="661"/>
      <c r="AK5" s="508"/>
      <c r="AM5" s="470"/>
      <c r="AN5" s="6"/>
      <c r="AO5" s="6"/>
      <c r="AP5" s="508"/>
      <c r="AQ5" s="509"/>
      <c r="AR5" s="6"/>
      <c r="AS5" s="502"/>
      <c r="AT5" s="526"/>
    </row>
    <row r="6" spans="1:46" ht="80.5" customHeight="1" x14ac:dyDescent="0.35">
      <c r="A6" s="1477"/>
      <c r="B6" s="472">
        <v>2</v>
      </c>
      <c r="C6" s="493"/>
      <c r="D6" s="494"/>
      <c r="E6" s="494"/>
      <c r="F6" s="495"/>
      <c r="G6" s="566"/>
      <c r="H6" s="515"/>
      <c r="I6" s="641"/>
      <c r="J6" s="527"/>
      <c r="K6" s="66"/>
      <c r="L6" s="470"/>
      <c r="M6" s="6"/>
      <c r="N6" s="6"/>
      <c r="O6" s="508"/>
      <c r="P6" s="509"/>
      <c r="Q6" s="514"/>
      <c r="R6" s="6"/>
      <c r="S6" s="527"/>
      <c r="T6" s="66"/>
      <c r="U6" s="470"/>
      <c r="V6" s="6"/>
      <c r="W6" s="6"/>
      <c r="X6" s="508"/>
      <c r="Y6" s="469"/>
      <c r="Z6" s="514"/>
      <c r="AA6" s="579"/>
      <c r="AB6" s="527"/>
      <c r="AC6" s="66"/>
      <c r="AD6" s="470"/>
      <c r="AE6" s="6"/>
      <c r="AF6" s="6"/>
      <c r="AG6" s="508"/>
      <c r="AH6" s="509"/>
      <c r="AI6" s="6"/>
      <c r="AJ6" s="6"/>
      <c r="AK6" s="527"/>
      <c r="AM6" s="470"/>
      <c r="AN6" s="6"/>
      <c r="AO6" s="6"/>
      <c r="AP6" s="47"/>
      <c r="AQ6" s="508"/>
      <c r="AR6" s="509"/>
      <c r="AS6" s="502"/>
      <c r="AT6" s="527"/>
    </row>
    <row r="7" spans="1:46" ht="71.5" customHeight="1" x14ac:dyDescent="0.35">
      <c r="A7" s="1478">
        <v>45476</v>
      </c>
      <c r="B7" s="472">
        <v>1</v>
      </c>
      <c r="C7" s="493"/>
      <c r="D7" s="494">
        <v>9</v>
      </c>
      <c r="E7" s="494"/>
      <c r="F7" s="495"/>
      <c r="G7" s="566"/>
      <c r="H7" s="515" t="s">
        <v>547</v>
      </c>
      <c r="I7" s="527"/>
      <c r="J7" s="527"/>
      <c r="K7" s="66"/>
      <c r="L7" s="470"/>
      <c r="M7" s="509"/>
      <c r="N7" s="6"/>
      <c r="O7" s="508"/>
      <c r="P7" s="509"/>
      <c r="Q7" s="660"/>
      <c r="R7" s="6"/>
      <c r="S7" s="508"/>
      <c r="T7" s="66"/>
      <c r="U7" s="470"/>
      <c r="V7" s="6"/>
      <c r="W7" s="6"/>
      <c r="X7" s="508"/>
      <c r="Y7" s="469"/>
      <c r="Z7" s="514"/>
      <c r="AA7" s="579"/>
      <c r="AB7" s="508"/>
      <c r="AC7" s="66"/>
      <c r="AD7" s="470"/>
      <c r="AE7" s="6"/>
      <c r="AF7" s="6"/>
      <c r="AG7" s="508"/>
      <c r="AH7" s="509"/>
      <c r="AI7" s="660"/>
      <c r="AJ7" s="527"/>
      <c r="AK7" s="508"/>
      <c r="AM7" s="470"/>
      <c r="AN7" s="6"/>
      <c r="AO7" s="6"/>
      <c r="AP7" s="47"/>
      <c r="AQ7" s="508"/>
      <c r="AR7" s="509"/>
      <c r="AS7" s="660"/>
      <c r="AT7" s="573"/>
    </row>
    <row r="8" spans="1:46" ht="69.650000000000006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641"/>
      <c r="J8" s="527"/>
      <c r="K8" s="66"/>
      <c r="L8" s="470"/>
      <c r="M8" s="6"/>
      <c r="N8" s="6"/>
      <c r="O8" s="508"/>
      <c r="P8" s="469"/>
      <c r="Q8" s="6"/>
      <c r="R8" s="502"/>
      <c r="S8" s="527"/>
      <c r="T8" s="66"/>
      <c r="U8" s="470"/>
      <c r="V8" s="470"/>
      <c r="W8" s="470"/>
      <c r="X8" s="508"/>
      <c r="Y8" s="469"/>
      <c r="Z8" s="666"/>
      <c r="AA8" s="504"/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/>
      <c r="AN8" s="6"/>
      <c r="AO8" s="6"/>
      <c r="AP8" s="47"/>
      <c r="AQ8" s="508"/>
      <c r="AR8" s="509"/>
      <c r="AS8" s="6"/>
      <c r="AT8" s="527"/>
    </row>
    <row r="9" spans="1:46" ht="76.95" customHeight="1" x14ac:dyDescent="0.35">
      <c r="A9" s="1478">
        <v>45477</v>
      </c>
      <c r="B9" s="472">
        <v>1</v>
      </c>
      <c r="C9" s="493"/>
      <c r="D9" s="494"/>
      <c r="E9" s="494"/>
      <c r="F9" s="495"/>
      <c r="G9" s="565"/>
      <c r="H9" s="514"/>
      <c r="I9" s="641"/>
      <c r="J9" s="527"/>
      <c r="K9" s="66"/>
      <c r="L9" s="470"/>
      <c r="M9" s="6"/>
      <c r="N9" s="6"/>
      <c r="O9" s="508"/>
      <c r="P9" s="469"/>
      <c r="Q9" s="6"/>
      <c r="R9" s="502"/>
      <c r="S9" s="527"/>
      <c r="T9" s="66"/>
      <c r="U9" s="470"/>
      <c r="V9" s="6"/>
      <c r="W9" s="6"/>
      <c r="X9" s="508"/>
      <c r="Y9" s="469"/>
      <c r="Z9" s="6"/>
      <c r="AA9" s="579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508"/>
      <c r="AR9" s="509"/>
      <c r="AS9" s="6"/>
      <c r="AT9" s="636"/>
    </row>
    <row r="10" spans="1:46" ht="67.2" customHeight="1" x14ac:dyDescent="0.35">
      <c r="A10" s="1477"/>
      <c r="B10" s="472">
        <v>2</v>
      </c>
      <c r="C10" s="493"/>
      <c r="D10" s="493"/>
      <c r="E10" s="493"/>
      <c r="F10" s="495"/>
      <c r="G10" s="667"/>
      <c r="H10" s="668"/>
      <c r="I10" s="669"/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/>
      <c r="V10" s="6"/>
      <c r="W10" s="6"/>
      <c r="X10" s="508"/>
      <c r="Y10" s="469"/>
      <c r="Z10" s="469"/>
      <c r="AA10" s="579"/>
      <c r="AB10" s="527"/>
      <c r="AC10" s="66"/>
      <c r="AD10" s="470"/>
      <c r="AE10" s="6"/>
      <c r="AF10" s="6"/>
      <c r="AG10" s="508"/>
      <c r="AH10" s="469"/>
      <c r="AI10" s="502"/>
      <c r="AJ10" s="515"/>
      <c r="AK10" s="527"/>
      <c r="AM10" s="470"/>
      <c r="AN10" s="6"/>
      <c r="AO10" s="6"/>
      <c r="AP10" s="47"/>
      <c r="AQ10" s="508"/>
      <c r="AR10" s="509"/>
      <c r="AS10" s="6"/>
      <c r="AT10" s="527"/>
    </row>
    <row r="11" spans="1:46" ht="60" customHeight="1" x14ac:dyDescent="0.35">
      <c r="A11" s="1478">
        <v>45478</v>
      </c>
      <c r="B11" s="472">
        <v>1</v>
      </c>
      <c r="C11" s="493"/>
      <c r="D11" s="493"/>
      <c r="E11" s="493"/>
      <c r="F11" s="495"/>
      <c r="G11" s="667"/>
      <c r="H11" s="668"/>
      <c r="I11" s="669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469"/>
      <c r="Z11" s="6"/>
      <c r="AA11" s="579"/>
      <c r="AB11" s="508"/>
      <c r="AC11" s="66"/>
      <c r="AD11" s="470"/>
      <c r="AE11" s="6"/>
      <c r="AF11" s="6"/>
      <c r="AG11" s="508"/>
      <c r="AH11" s="509"/>
      <c r="AI11" s="6"/>
      <c r="AJ11" s="515"/>
      <c r="AK11" s="508"/>
      <c r="AM11" s="470"/>
      <c r="AN11" s="6"/>
      <c r="AO11" s="6"/>
      <c r="AP11" s="508"/>
      <c r="AQ11" s="509"/>
      <c r="AR11" s="6"/>
      <c r="AS11" s="6"/>
      <c r="AT11" s="526"/>
    </row>
    <row r="12" spans="1:46" ht="55.2" customHeight="1" x14ac:dyDescent="0.35">
      <c r="A12" s="1477"/>
      <c r="B12" s="472">
        <v>2</v>
      </c>
      <c r="C12" s="493"/>
      <c r="D12" s="494"/>
      <c r="E12" s="494"/>
      <c r="F12" s="495"/>
      <c r="G12" s="565"/>
      <c r="H12" s="514"/>
      <c r="I12" s="641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469"/>
      <c r="Z12" s="6"/>
      <c r="AA12" s="579"/>
      <c r="AB12" s="527"/>
      <c r="AC12" s="66"/>
      <c r="AD12" s="470"/>
      <c r="AE12" s="6"/>
      <c r="AF12" s="6"/>
      <c r="AG12" s="508"/>
      <c r="AH12" s="509"/>
      <c r="AI12" s="502"/>
      <c r="AJ12" s="502"/>
      <c r="AK12" s="527"/>
      <c r="AM12" s="470"/>
      <c r="AN12" s="6"/>
      <c r="AO12" s="6"/>
      <c r="AP12" s="508"/>
      <c r="AQ12" s="509"/>
      <c r="AR12" s="6"/>
      <c r="AS12" s="502"/>
      <c r="AT12" s="527"/>
    </row>
    <row r="13" spans="1:46" ht="34.950000000000003" customHeight="1" x14ac:dyDescent="0.35">
      <c r="A13" s="1478">
        <v>45479</v>
      </c>
      <c r="B13" s="472">
        <v>1</v>
      </c>
      <c r="C13" s="493"/>
      <c r="D13" s="494"/>
      <c r="E13" s="494"/>
      <c r="F13" s="495"/>
      <c r="G13" s="565"/>
      <c r="H13" s="514"/>
      <c r="I13" s="641"/>
      <c r="J13" s="527"/>
      <c r="K13" s="66"/>
      <c r="L13" s="470"/>
      <c r="M13" s="6"/>
      <c r="N13" s="6">
        <v>30</v>
      </c>
      <c r="O13" s="495"/>
      <c r="P13" s="509"/>
      <c r="Q13" s="6"/>
      <c r="R13" s="6" t="s">
        <v>562</v>
      </c>
      <c r="S13" s="527"/>
      <c r="T13" s="66"/>
      <c r="U13" s="470"/>
      <c r="V13" s="6"/>
      <c r="W13" s="6"/>
      <c r="X13" s="495"/>
      <c r="Y13" s="469"/>
      <c r="Z13" s="502"/>
      <c r="AA13" s="579"/>
      <c r="AB13" s="527"/>
      <c r="AC13" s="66"/>
      <c r="AD13" s="470"/>
      <c r="AE13" s="6"/>
      <c r="AF13" s="6"/>
      <c r="AG13" s="495"/>
      <c r="AH13" s="509"/>
      <c r="AI13" s="6"/>
      <c r="AJ13" s="502"/>
      <c r="AK13" s="527"/>
      <c r="AM13" s="470"/>
      <c r="AN13" s="6"/>
      <c r="AO13" s="6"/>
      <c r="AP13" s="495"/>
      <c r="AQ13" s="509"/>
      <c r="AR13" s="6"/>
      <c r="AS13" s="6"/>
      <c r="AT13" s="527"/>
    </row>
    <row r="14" spans="1:46" ht="49.2" customHeight="1" x14ac:dyDescent="0.35">
      <c r="A14" s="1477"/>
      <c r="B14" s="472">
        <v>2</v>
      </c>
      <c r="C14" s="493"/>
      <c r="D14" s="494"/>
      <c r="E14" s="494"/>
      <c r="F14" s="495"/>
      <c r="G14" s="565"/>
      <c r="H14" s="515"/>
      <c r="I14" s="641"/>
      <c r="J14" s="527"/>
      <c r="K14" s="66"/>
      <c r="L14" s="470">
        <v>210</v>
      </c>
      <c r="M14" s="6"/>
      <c r="N14" s="6"/>
      <c r="O14" s="495"/>
      <c r="P14" s="469" t="s">
        <v>943</v>
      </c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79"/>
      <c r="AB14" s="527"/>
      <c r="AC14" s="66"/>
      <c r="AD14" s="470"/>
      <c r="AE14" s="6"/>
      <c r="AF14" s="6"/>
      <c r="AG14" s="495"/>
      <c r="AH14" s="1491"/>
      <c r="AI14" s="1492"/>
      <c r="AJ14" s="1493"/>
      <c r="AK14" s="527"/>
      <c r="AM14" s="470"/>
      <c r="AN14" s="6"/>
      <c r="AO14" s="6"/>
      <c r="AP14" s="495"/>
      <c r="AQ14" s="469"/>
      <c r="AR14" s="6"/>
      <c r="AS14" s="579"/>
      <c r="AT14" s="527"/>
    </row>
    <row r="15" spans="1:46" ht="48" customHeight="1" x14ac:dyDescent="0.35">
      <c r="A15" s="1478">
        <v>45480</v>
      </c>
      <c r="B15" s="472">
        <v>1</v>
      </c>
      <c r="C15" s="493"/>
      <c r="D15" s="494"/>
      <c r="E15" s="6"/>
      <c r="F15" s="495"/>
      <c r="G15" s="565"/>
      <c r="H15" s="515"/>
      <c r="I15" s="641"/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>
        <v>55</v>
      </c>
      <c r="V15" s="6"/>
      <c r="W15" s="6">
        <v>12</v>
      </c>
      <c r="X15" s="495"/>
      <c r="Y15" s="565" t="s">
        <v>944</v>
      </c>
      <c r="Z15" s="515"/>
      <c r="AA15" s="579" t="s">
        <v>562</v>
      </c>
      <c r="AB15" s="527"/>
      <c r="AC15" s="66"/>
      <c r="AD15" s="470"/>
      <c r="AE15" s="6"/>
      <c r="AF15" s="66"/>
      <c r="AG15" s="495"/>
      <c r="AH15" s="566"/>
      <c r="AI15" s="515"/>
      <c r="AJ15" s="502"/>
      <c r="AK15" s="527"/>
      <c r="AM15" s="470"/>
      <c r="AN15" s="6"/>
      <c r="AO15" s="66"/>
      <c r="AP15" s="566"/>
      <c r="AQ15" s="515"/>
      <c r="AR15" s="515"/>
      <c r="AS15" s="515"/>
      <c r="AT15" s="527"/>
    </row>
    <row r="16" spans="1:46" ht="54.65" customHeight="1" x14ac:dyDescent="0.35">
      <c r="A16" s="1477"/>
      <c r="B16" s="472">
        <v>2</v>
      </c>
      <c r="C16" s="493"/>
      <c r="D16" s="493"/>
      <c r="E16" s="493"/>
      <c r="F16" s="495">
        <v>138</v>
      </c>
      <c r="G16" s="670"/>
      <c r="H16" s="671"/>
      <c r="I16" s="672"/>
      <c r="J16" s="527" t="s">
        <v>945</v>
      </c>
      <c r="K16" s="66"/>
      <c r="L16" s="470"/>
      <c r="M16" s="6"/>
      <c r="N16" s="6"/>
      <c r="O16" s="495">
        <v>138</v>
      </c>
      <c r="P16" s="670"/>
      <c r="Q16" s="671"/>
      <c r="R16" s="672"/>
      <c r="S16" s="527" t="s">
        <v>945</v>
      </c>
      <c r="T16" s="66"/>
      <c r="U16" s="470"/>
      <c r="V16" s="6"/>
      <c r="W16" s="6"/>
      <c r="X16" s="495">
        <v>138</v>
      </c>
      <c r="Y16" s="670"/>
      <c r="Z16" s="671"/>
      <c r="AA16" s="672"/>
      <c r="AB16" s="527" t="s">
        <v>945</v>
      </c>
      <c r="AC16" s="66"/>
      <c r="AD16" s="470"/>
      <c r="AE16" s="6"/>
      <c r="AF16" s="6"/>
      <c r="AG16" s="495">
        <v>138</v>
      </c>
      <c r="AH16" s="670"/>
      <c r="AI16" s="671"/>
      <c r="AJ16" s="672"/>
      <c r="AK16" s="527" t="s">
        <v>945</v>
      </c>
      <c r="AM16" s="470"/>
      <c r="AN16" s="6"/>
      <c r="AO16" s="6"/>
      <c r="AP16" s="495">
        <v>138</v>
      </c>
      <c r="AQ16" s="670"/>
      <c r="AR16" s="671"/>
      <c r="AS16" s="672"/>
      <c r="AT16" s="527" t="s">
        <v>945</v>
      </c>
    </row>
    <row r="17" spans="1:46" ht="66" customHeight="1" x14ac:dyDescent="0.35">
      <c r="A17" s="1478">
        <v>45481</v>
      </c>
      <c r="B17" s="534">
        <v>1</v>
      </c>
      <c r="C17" s="493"/>
      <c r="D17" s="494"/>
      <c r="E17" s="494"/>
      <c r="F17" s="495"/>
      <c r="G17" s="566"/>
      <c r="H17" s="514"/>
      <c r="I17" s="641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/>
      <c r="X17" s="495"/>
      <c r="Y17" s="565"/>
      <c r="Z17" s="514"/>
      <c r="AA17" s="641"/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566"/>
      <c r="AQ17" s="514"/>
      <c r="AR17" s="515"/>
      <c r="AS17" s="579"/>
      <c r="AT17" s="527"/>
    </row>
    <row r="18" spans="1:46" ht="49.9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638"/>
      <c r="I18" s="641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494"/>
      <c r="X18" s="495"/>
      <c r="Y18" s="565"/>
      <c r="Z18" s="515"/>
      <c r="AA18" s="641"/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/>
      <c r="AP18" s="495"/>
      <c r="AQ18" s="1508"/>
      <c r="AR18" s="1509"/>
      <c r="AS18" s="1510"/>
      <c r="AT18" s="527"/>
    </row>
    <row r="19" spans="1:46" ht="33.65" customHeight="1" x14ac:dyDescent="0.35">
      <c r="A19" s="1478">
        <v>45482</v>
      </c>
      <c r="B19" s="472">
        <v>1</v>
      </c>
      <c r="C19" s="66"/>
      <c r="D19" s="494"/>
      <c r="E19" s="494"/>
      <c r="F19" s="495"/>
      <c r="G19" s="465"/>
      <c r="H19" s="6"/>
      <c r="I19" s="641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641"/>
      <c r="AB19" s="527"/>
      <c r="AC19" s="66"/>
      <c r="AD19" s="470"/>
      <c r="AE19" s="6"/>
      <c r="AF19" s="6"/>
      <c r="AG19" s="495"/>
      <c r="AH19" s="470"/>
      <c r="AI19" s="6"/>
      <c r="AJ19" s="579"/>
      <c r="AK19" s="527"/>
      <c r="AM19" s="470"/>
      <c r="AN19" s="6"/>
      <c r="AO19" s="6"/>
      <c r="AP19" s="495"/>
      <c r="AQ19" s="470"/>
      <c r="AR19" s="6"/>
      <c r="AS19" s="515"/>
      <c r="AT19" s="527"/>
    </row>
    <row r="20" spans="1:46" ht="44.5" customHeight="1" x14ac:dyDescent="0.35">
      <c r="A20" s="1477"/>
      <c r="B20" s="472">
        <v>2</v>
      </c>
      <c r="C20" s="493"/>
      <c r="D20" s="494"/>
      <c r="E20" s="494"/>
      <c r="F20" s="495">
        <v>720</v>
      </c>
      <c r="G20" s="465"/>
      <c r="H20" s="663"/>
      <c r="I20" s="641"/>
      <c r="J20" s="527" t="s">
        <v>946</v>
      </c>
      <c r="K20" s="66"/>
      <c r="L20" s="470"/>
      <c r="M20" s="6"/>
      <c r="N20" s="6"/>
      <c r="O20" s="495">
        <v>720</v>
      </c>
      <c r="P20" s="465"/>
      <c r="Q20" s="663"/>
      <c r="R20" s="641"/>
      <c r="S20" s="527" t="s">
        <v>946</v>
      </c>
      <c r="T20" s="66"/>
      <c r="U20" s="470"/>
      <c r="V20" s="6"/>
      <c r="W20" s="6"/>
      <c r="X20" s="495">
        <v>720</v>
      </c>
      <c r="Y20" s="465"/>
      <c r="Z20" s="663"/>
      <c r="AA20" s="641"/>
      <c r="AB20" s="527" t="s">
        <v>946</v>
      </c>
      <c r="AC20" s="66"/>
      <c r="AD20" s="470"/>
      <c r="AE20" s="6"/>
      <c r="AF20" s="6"/>
      <c r="AG20" s="495">
        <v>720</v>
      </c>
      <c r="AH20" s="465"/>
      <c r="AI20" s="663"/>
      <c r="AJ20" s="641"/>
      <c r="AK20" s="527" t="s">
        <v>946</v>
      </c>
      <c r="AM20" s="470"/>
      <c r="AN20" s="6"/>
      <c r="AO20" s="6"/>
      <c r="AP20" s="495">
        <v>720</v>
      </c>
      <c r="AQ20" s="465"/>
      <c r="AR20" s="663"/>
      <c r="AS20" s="641"/>
      <c r="AT20" s="527" t="s">
        <v>946</v>
      </c>
    </row>
    <row r="21" spans="1:46" ht="39.65" customHeight="1" x14ac:dyDescent="0.35">
      <c r="A21" s="1478">
        <v>45483</v>
      </c>
      <c r="B21" s="472">
        <v>1</v>
      </c>
      <c r="C21" s="493"/>
      <c r="D21" s="494"/>
      <c r="E21" s="494"/>
      <c r="F21" s="495">
        <v>720</v>
      </c>
      <c r="G21" s="569"/>
      <c r="H21" s="514"/>
      <c r="I21" s="641"/>
      <c r="J21" s="527" t="s">
        <v>946</v>
      </c>
      <c r="K21" s="66"/>
      <c r="L21" s="470"/>
      <c r="M21" s="6"/>
      <c r="N21" s="6"/>
      <c r="O21" s="495">
        <v>720</v>
      </c>
      <c r="P21" s="470"/>
      <c r="Q21" s="6"/>
      <c r="R21" s="6"/>
      <c r="S21" s="527" t="s">
        <v>946</v>
      </c>
      <c r="T21" s="66"/>
      <c r="U21" s="470"/>
      <c r="V21" s="6"/>
      <c r="W21" s="6"/>
      <c r="X21" s="495">
        <v>720</v>
      </c>
      <c r="Y21" s="465"/>
      <c r="Z21" s="6"/>
      <c r="AA21" s="641"/>
      <c r="AB21" s="527" t="s">
        <v>946</v>
      </c>
      <c r="AC21" s="66"/>
      <c r="AD21" s="470"/>
      <c r="AE21" s="6"/>
      <c r="AF21" s="6"/>
      <c r="AG21" s="495">
        <v>720</v>
      </c>
      <c r="AH21" s="470"/>
      <c r="AI21" s="6"/>
      <c r="AJ21" s="641"/>
      <c r="AK21" s="527" t="s">
        <v>946</v>
      </c>
      <c r="AM21" s="470"/>
      <c r="AN21" s="6"/>
      <c r="AO21" s="6"/>
      <c r="AP21" s="495">
        <v>720</v>
      </c>
      <c r="AQ21" s="470"/>
      <c r="AR21" s="502"/>
      <c r="AS21" s="47"/>
      <c r="AT21" s="527" t="s">
        <v>946</v>
      </c>
    </row>
    <row r="22" spans="1:46" ht="49.95" customHeight="1" x14ac:dyDescent="0.35">
      <c r="A22" s="1477"/>
      <c r="B22" s="472">
        <v>2</v>
      </c>
      <c r="C22" s="493"/>
      <c r="D22" s="494"/>
      <c r="E22" s="494"/>
      <c r="F22" s="495">
        <v>720</v>
      </c>
      <c r="G22" s="562"/>
      <c r="H22" s="515"/>
      <c r="I22" s="641"/>
      <c r="J22" s="527" t="s">
        <v>946</v>
      </c>
      <c r="K22" s="66"/>
      <c r="L22" s="470"/>
      <c r="M22" s="6"/>
      <c r="N22" s="6"/>
      <c r="O22" s="495">
        <v>720</v>
      </c>
      <c r="P22" s="469"/>
      <c r="Q22" s="515"/>
      <c r="R22" s="6"/>
      <c r="S22" s="527" t="s">
        <v>946</v>
      </c>
      <c r="T22" s="66"/>
      <c r="U22" s="470"/>
      <c r="V22" s="6"/>
      <c r="W22" s="6"/>
      <c r="X22" s="495">
        <v>720</v>
      </c>
      <c r="Y22" s="465"/>
      <c r="Z22" s="515"/>
      <c r="AA22" s="579"/>
      <c r="AB22" s="527" t="s">
        <v>946</v>
      </c>
      <c r="AC22" s="66"/>
      <c r="AD22" s="470"/>
      <c r="AE22" s="6"/>
      <c r="AF22" s="6"/>
      <c r="AG22" s="495">
        <v>720</v>
      </c>
      <c r="AH22" s="470"/>
      <c r="AI22" s="6"/>
      <c r="AJ22" s="579"/>
      <c r="AK22" s="527" t="s">
        <v>946</v>
      </c>
      <c r="AM22" s="470"/>
      <c r="AN22" s="6"/>
      <c r="AO22" s="6"/>
      <c r="AP22" s="495">
        <v>720</v>
      </c>
      <c r="AQ22" s="470"/>
      <c r="AR22" s="515"/>
      <c r="AS22" s="47"/>
      <c r="AT22" s="527" t="s">
        <v>946</v>
      </c>
    </row>
    <row r="23" spans="1:46" ht="47.5" customHeight="1" x14ac:dyDescent="0.35">
      <c r="A23" s="1478">
        <v>45484</v>
      </c>
      <c r="B23" s="534">
        <v>1</v>
      </c>
      <c r="C23" s="493"/>
      <c r="D23" s="494"/>
      <c r="E23" s="494"/>
      <c r="F23" s="495">
        <v>720</v>
      </c>
      <c r="G23" s="566"/>
      <c r="H23" s="514"/>
      <c r="I23" s="641"/>
      <c r="J23" s="527" t="s">
        <v>946</v>
      </c>
      <c r="K23" s="66"/>
      <c r="L23" s="470"/>
      <c r="M23" s="6"/>
      <c r="N23" s="6"/>
      <c r="O23" s="495">
        <v>720</v>
      </c>
      <c r="P23" s="566"/>
      <c r="Q23" s="514"/>
      <c r="R23" s="515"/>
      <c r="S23" s="527" t="s">
        <v>946</v>
      </c>
      <c r="T23" s="66"/>
      <c r="U23" s="470"/>
      <c r="V23" s="6"/>
      <c r="W23" s="6"/>
      <c r="X23" s="495">
        <v>720</v>
      </c>
      <c r="Y23" s="465"/>
      <c r="Z23" s="515"/>
      <c r="AA23" s="641"/>
      <c r="AB23" s="527" t="s">
        <v>946</v>
      </c>
      <c r="AC23" s="66"/>
      <c r="AD23" s="470"/>
      <c r="AE23" s="6"/>
      <c r="AF23" s="509"/>
      <c r="AG23" s="495">
        <v>720</v>
      </c>
      <c r="AH23" s="470"/>
      <c r="AI23" s="514"/>
      <c r="AJ23" s="515"/>
      <c r="AK23" s="527" t="s">
        <v>946</v>
      </c>
      <c r="AM23" s="470"/>
      <c r="AN23" s="6"/>
      <c r="AO23" s="6"/>
      <c r="AP23" s="495">
        <v>720</v>
      </c>
      <c r="AQ23" s="6"/>
      <c r="AR23" s="514"/>
      <c r="AS23" s="573"/>
      <c r="AT23" s="527" t="s">
        <v>946</v>
      </c>
    </row>
    <row r="24" spans="1:46" ht="49.95" customHeight="1" x14ac:dyDescent="0.35">
      <c r="A24" s="1477"/>
      <c r="B24" s="472">
        <v>2</v>
      </c>
      <c r="C24" s="493"/>
      <c r="D24" s="494"/>
      <c r="E24" s="494"/>
      <c r="F24" s="495">
        <v>720</v>
      </c>
      <c r="G24" s="566"/>
      <c r="H24" s="515"/>
      <c r="I24" s="641"/>
      <c r="J24" s="527" t="s">
        <v>946</v>
      </c>
      <c r="K24" s="66"/>
      <c r="L24" s="470"/>
      <c r="M24" s="6"/>
      <c r="N24" s="6"/>
      <c r="O24" s="495">
        <v>720</v>
      </c>
      <c r="P24" s="566"/>
      <c r="Q24" s="514"/>
      <c r="R24" s="515"/>
      <c r="S24" s="527" t="s">
        <v>946</v>
      </c>
      <c r="T24" s="66"/>
      <c r="U24" s="6"/>
      <c r="V24" s="495"/>
      <c r="W24" s="566"/>
      <c r="X24" s="495">
        <v>720</v>
      </c>
      <c r="Y24" s="641"/>
      <c r="Z24" s="514"/>
      <c r="AA24" s="641"/>
      <c r="AB24" s="527" t="s">
        <v>946</v>
      </c>
      <c r="AC24" s="66"/>
      <c r="AD24" s="470"/>
      <c r="AE24" s="6"/>
      <c r="AF24" s="509"/>
      <c r="AG24" s="495">
        <v>720</v>
      </c>
      <c r="AH24" s="641"/>
      <c r="AI24" s="514"/>
      <c r="AJ24" s="515"/>
      <c r="AK24" s="527" t="s">
        <v>946</v>
      </c>
      <c r="AM24" s="470"/>
      <c r="AN24" s="6"/>
      <c r="AO24" s="6"/>
      <c r="AP24" s="495">
        <v>720</v>
      </c>
      <c r="AQ24" s="514"/>
      <c r="AR24" s="514"/>
      <c r="AS24" s="527"/>
      <c r="AT24" s="527" t="s">
        <v>946</v>
      </c>
    </row>
    <row r="25" spans="1:46" ht="53.5" customHeight="1" x14ac:dyDescent="0.35">
      <c r="A25" s="1478">
        <v>45485</v>
      </c>
      <c r="B25" s="472">
        <v>1</v>
      </c>
      <c r="C25" s="493"/>
      <c r="D25" s="494"/>
      <c r="E25" s="494"/>
      <c r="F25" s="495">
        <v>720</v>
      </c>
      <c r="G25" s="566"/>
      <c r="H25" s="514"/>
      <c r="I25" s="641"/>
      <c r="J25" s="527" t="s">
        <v>946</v>
      </c>
      <c r="K25" s="66"/>
      <c r="L25" s="470"/>
      <c r="M25" s="6"/>
      <c r="N25" s="6"/>
      <c r="O25" s="495">
        <v>720</v>
      </c>
      <c r="P25" s="470"/>
      <c r="Q25" s="514"/>
      <c r="R25" s="6"/>
      <c r="S25" s="527" t="s">
        <v>946</v>
      </c>
      <c r="T25" s="66"/>
      <c r="U25" s="470"/>
      <c r="V25" s="6"/>
      <c r="W25" s="6"/>
      <c r="X25" s="495">
        <v>720</v>
      </c>
      <c r="Y25" s="465"/>
      <c r="Z25" s="502"/>
      <c r="AA25" s="579"/>
      <c r="AB25" s="527" t="s">
        <v>946</v>
      </c>
      <c r="AC25" s="66"/>
      <c r="AD25" s="470"/>
      <c r="AE25" s="6"/>
      <c r="AF25" s="6"/>
      <c r="AG25" s="495">
        <v>720</v>
      </c>
      <c r="AH25" s="6"/>
      <c r="AI25" s="502"/>
      <c r="AJ25" s="515"/>
      <c r="AK25" s="527" t="s">
        <v>946</v>
      </c>
      <c r="AM25" s="470"/>
      <c r="AN25" s="6"/>
      <c r="AO25" s="6"/>
      <c r="AP25" s="495">
        <v>720</v>
      </c>
      <c r="AQ25" s="6"/>
      <c r="AR25" s="6"/>
      <c r="AS25" s="47"/>
      <c r="AT25" s="527" t="s">
        <v>946</v>
      </c>
    </row>
    <row r="26" spans="1:46" ht="42" customHeight="1" x14ac:dyDescent="0.35">
      <c r="A26" s="1477"/>
      <c r="B26" s="472">
        <v>2</v>
      </c>
      <c r="C26" s="493"/>
      <c r="D26" s="494"/>
      <c r="E26" s="494"/>
      <c r="F26" s="495">
        <v>720</v>
      </c>
      <c r="G26" s="566"/>
      <c r="H26" s="515"/>
      <c r="I26" s="641"/>
      <c r="J26" s="527" t="s">
        <v>946</v>
      </c>
      <c r="K26" s="66"/>
      <c r="L26" s="470"/>
      <c r="M26" s="6"/>
      <c r="N26" s="6"/>
      <c r="O26" s="495">
        <v>720</v>
      </c>
      <c r="P26" s="566"/>
      <c r="Q26" s="515"/>
      <c r="R26" s="573"/>
      <c r="S26" s="527" t="s">
        <v>946</v>
      </c>
      <c r="T26" s="66"/>
      <c r="U26" s="470"/>
      <c r="V26" s="494"/>
      <c r="W26" s="6"/>
      <c r="X26" s="495">
        <v>720</v>
      </c>
      <c r="Y26" s="641"/>
      <c r="Z26" s="515"/>
      <c r="AA26" s="579"/>
      <c r="AB26" s="527" t="s">
        <v>946</v>
      </c>
      <c r="AC26" s="66"/>
      <c r="AD26" s="470"/>
      <c r="AE26" s="494"/>
      <c r="AF26" s="6"/>
      <c r="AG26" s="495">
        <v>720</v>
      </c>
      <c r="AH26" s="641"/>
      <c r="AI26" s="515"/>
      <c r="AJ26" s="573"/>
      <c r="AK26" s="527" t="s">
        <v>946</v>
      </c>
      <c r="AM26" s="470"/>
      <c r="AN26" s="494"/>
      <c r="AO26" s="6"/>
      <c r="AP26" s="495">
        <v>720</v>
      </c>
      <c r="AQ26" s="566"/>
      <c r="AR26" s="515"/>
      <c r="AS26" s="573"/>
      <c r="AT26" s="527" t="s">
        <v>946</v>
      </c>
    </row>
    <row r="27" spans="1:46" ht="49.95" customHeight="1" x14ac:dyDescent="0.35">
      <c r="A27" s="1478">
        <v>45486</v>
      </c>
      <c r="B27" s="534">
        <v>1</v>
      </c>
      <c r="C27" s="493"/>
      <c r="D27" s="494"/>
      <c r="E27" s="494"/>
      <c r="F27" s="495">
        <v>720</v>
      </c>
      <c r="G27" s="566"/>
      <c r="H27" s="514"/>
      <c r="I27" s="573"/>
      <c r="J27" s="527" t="s">
        <v>946</v>
      </c>
      <c r="K27" s="66"/>
      <c r="L27" s="470"/>
      <c r="M27" s="6"/>
      <c r="N27" s="6"/>
      <c r="O27" s="495">
        <v>720</v>
      </c>
      <c r="P27" s="566"/>
      <c r="Q27" s="514"/>
      <c r="R27" s="515"/>
      <c r="S27" s="527" t="s">
        <v>946</v>
      </c>
      <c r="T27" s="66"/>
      <c r="U27" s="470"/>
      <c r="V27" s="6"/>
      <c r="W27" s="6"/>
      <c r="X27" s="495">
        <v>720</v>
      </c>
      <c r="Y27" s="566"/>
      <c r="Z27" s="515"/>
      <c r="AA27" s="579"/>
      <c r="AB27" s="527" t="s">
        <v>946</v>
      </c>
      <c r="AC27" s="66"/>
      <c r="AD27" s="470"/>
      <c r="AE27" s="6"/>
      <c r="AF27" s="6"/>
      <c r="AG27" s="495">
        <v>720</v>
      </c>
      <c r="AH27" s="566"/>
      <c r="AI27" s="502"/>
      <c r="AJ27" s="515"/>
      <c r="AK27" s="527" t="s">
        <v>946</v>
      </c>
      <c r="AM27" s="470"/>
      <c r="AN27" s="6"/>
      <c r="AO27" s="6"/>
      <c r="AP27" s="495">
        <v>720</v>
      </c>
      <c r="AQ27" s="502"/>
      <c r="AR27" s="6"/>
      <c r="AS27" s="573"/>
      <c r="AT27" s="527" t="s">
        <v>946</v>
      </c>
    </row>
    <row r="28" spans="1:46" ht="72" customHeight="1" x14ac:dyDescent="0.35">
      <c r="A28" s="1477"/>
      <c r="B28" s="472">
        <v>2</v>
      </c>
      <c r="C28" s="493"/>
      <c r="D28" s="494"/>
      <c r="E28" s="494"/>
      <c r="F28" s="495">
        <v>720</v>
      </c>
      <c r="G28" s="515"/>
      <c r="H28" s="515"/>
      <c r="I28" s="573"/>
      <c r="J28" s="527" t="s">
        <v>946</v>
      </c>
      <c r="K28" s="66"/>
      <c r="L28" s="470"/>
      <c r="M28" s="6"/>
      <c r="N28" s="6"/>
      <c r="O28" s="495">
        <v>720</v>
      </c>
      <c r="P28" s="515"/>
      <c r="Q28" s="515"/>
      <c r="R28" s="515"/>
      <c r="S28" s="527" t="s">
        <v>946</v>
      </c>
      <c r="T28" s="66"/>
      <c r="U28" s="470"/>
      <c r="V28" s="6"/>
      <c r="W28" s="66"/>
      <c r="X28" s="495">
        <v>720</v>
      </c>
      <c r="Y28" s="515"/>
      <c r="Z28" s="6"/>
      <c r="AA28" s="579"/>
      <c r="AB28" s="527" t="s">
        <v>946</v>
      </c>
      <c r="AC28" s="66"/>
      <c r="AD28" s="470"/>
      <c r="AE28" s="6"/>
      <c r="AF28" s="6"/>
      <c r="AG28" s="495">
        <v>720</v>
      </c>
      <c r="AH28" s="566"/>
      <c r="AI28" s="502"/>
      <c r="AJ28" s="573"/>
      <c r="AK28" s="527" t="s">
        <v>946</v>
      </c>
      <c r="AM28" s="470"/>
      <c r="AN28" s="6"/>
      <c r="AO28" s="6"/>
      <c r="AP28" s="495">
        <v>720</v>
      </c>
      <c r="AQ28" s="502"/>
      <c r="AR28" s="6"/>
      <c r="AS28" s="573"/>
      <c r="AT28" s="527" t="s">
        <v>946</v>
      </c>
    </row>
    <row r="29" spans="1:46" ht="66" customHeight="1" x14ac:dyDescent="0.35">
      <c r="A29" s="1478">
        <v>45487</v>
      </c>
      <c r="B29" s="472">
        <v>1</v>
      </c>
      <c r="C29" s="493"/>
      <c r="D29" s="494"/>
      <c r="E29" s="494"/>
      <c r="F29" s="495">
        <v>720</v>
      </c>
      <c r="G29" s="515"/>
      <c r="H29" s="514"/>
      <c r="I29" s="573"/>
      <c r="J29" s="527" t="s">
        <v>946</v>
      </c>
      <c r="K29" s="66"/>
      <c r="L29" s="470"/>
      <c r="M29" s="6"/>
      <c r="N29" s="6"/>
      <c r="O29" s="495">
        <v>720</v>
      </c>
      <c r="P29" s="566"/>
      <c r="Q29" s="515"/>
      <c r="R29" s="515"/>
      <c r="S29" s="527" t="s">
        <v>946</v>
      </c>
      <c r="T29" s="66"/>
      <c r="U29" s="470"/>
      <c r="V29" s="6"/>
      <c r="W29" s="6"/>
      <c r="X29" s="495">
        <v>720</v>
      </c>
      <c r="Y29" s="515"/>
      <c r="Z29" s="514"/>
      <c r="AA29" s="579"/>
      <c r="AB29" s="527" t="s">
        <v>946</v>
      </c>
      <c r="AC29" s="66"/>
      <c r="AD29" s="470"/>
      <c r="AE29" s="6"/>
      <c r="AF29" s="6"/>
      <c r="AG29" s="495">
        <v>720</v>
      </c>
      <c r="AH29" s="566"/>
      <c r="AI29" s="514"/>
      <c r="AJ29" s="515"/>
      <c r="AK29" s="527" t="s">
        <v>946</v>
      </c>
      <c r="AM29" s="470"/>
      <c r="AN29" s="6"/>
      <c r="AO29" s="6"/>
      <c r="AP29" s="495">
        <v>720</v>
      </c>
      <c r="AQ29" s="502"/>
      <c r="AR29" s="514"/>
      <c r="AS29" s="515"/>
      <c r="AT29" s="527" t="s">
        <v>946</v>
      </c>
    </row>
    <row r="30" spans="1:46" ht="39.65" customHeight="1" x14ac:dyDescent="0.35">
      <c r="A30" s="1477"/>
      <c r="B30" s="534">
        <v>2</v>
      </c>
      <c r="C30" s="493"/>
      <c r="D30" s="494"/>
      <c r="E30" s="494"/>
      <c r="F30" s="495">
        <v>720</v>
      </c>
      <c r="G30" s="515"/>
      <c r="H30" s="514"/>
      <c r="I30" s="573"/>
      <c r="J30" s="527" t="s">
        <v>946</v>
      </c>
      <c r="K30" s="66"/>
      <c r="L30" s="470"/>
      <c r="M30" s="6"/>
      <c r="N30" s="6"/>
      <c r="O30" s="495">
        <v>720</v>
      </c>
      <c r="P30" s="566"/>
      <c r="Q30" s="515"/>
      <c r="R30" s="515"/>
      <c r="S30" s="527" t="s">
        <v>946</v>
      </c>
      <c r="T30" s="66"/>
      <c r="U30" s="470"/>
      <c r="V30" s="6"/>
      <c r="W30" s="6"/>
      <c r="X30" s="495">
        <v>720</v>
      </c>
      <c r="Y30" s="515"/>
      <c r="Z30" s="514"/>
      <c r="AA30" s="579"/>
      <c r="AB30" s="527" t="s">
        <v>946</v>
      </c>
      <c r="AC30" s="66"/>
      <c r="AD30" s="470"/>
      <c r="AE30" s="6"/>
      <c r="AF30" s="6"/>
      <c r="AG30" s="495">
        <v>720</v>
      </c>
      <c r="AH30" s="566"/>
      <c r="AI30" s="515"/>
      <c r="AJ30" s="515"/>
      <c r="AK30" s="527" t="s">
        <v>946</v>
      </c>
      <c r="AM30" s="470"/>
      <c r="AN30" s="6"/>
      <c r="AO30" s="6"/>
      <c r="AP30" s="495">
        <v>720</v>
      </c>
      <c r="AQ30" s="469"/>
      <c r="AR30" s="502"/>
      <c r="AS30" s="636"/>
      <c r="AT30" s="527" t="s">
        <v>946</v>
      </c>
    </row>
    <row r="31" spans="1:46" ht="39.65" customHeight="1" x14ac:dyDescent="0.35">
      <c r="A31" s="1478">
        <v>45488</v>
      </c>
      <c r="B31" s="472">
        <v>1</v>
      </c>
      <c r="C31" s="493"/>
      <c r="D31" s="494"/>
      <c r="E31" s="494"/>
      <c r="F31" s="495">
        <v>720</v>
      </c>
      <c r="G31" s="566"/>
      <c r="H31" s="515"/>
      <c r="I31" s="515"/>
      <c r="J31" s="527" t="s">
        <v>946</v>
      </c>
      <c r="K31" s="66"/>
      <c r="L31" s="470"/>
      <c r="M31" s="6"/>
      <c r="N31" s="6"/>
      <c r="O31" s="495">
        <v>720</v>
      </c>
      <c r="P31" s="509"/>
      <c r="Q31" s="6"/>
      <c r="R31" s="6"/>
      <c r="S31" s="527" t="s">
        <v>946</v>
      </c>
      <c r="T31" s="66"/>
      <c r="U31" s="470"/>
      <c r="V31" s="6"/>
      <c r="W31" s="6"/>
      <c r="X31" s="495">
        <v>720</v>
      </c>
      <c r="Y31" s="469"/>
      <c r="Z31" s="6"/>
      <c r="AA31" s="579"/>
      <c r="AB31" s="527" t="s">
        <v>946</v>
      </c>
      <c r="AC31" s="66"/>
      <c r="AD31" s="470"/>
      <c r="AE31" s="6"/>
      <c r="AF31" s="6"/>
      <c r="AG31" s="495">
        <v>720</v>
      </c>
      <c r="AH31" s="566"/>
      <c r="AI31" s="6"/>
      <c r="AJ31" s="6"/>
      <c r="AK31" s="527" t="s">
        <v>946</v>
      </c>
      <c r="AM31" s="470"/>
      <c r="AN31" s="6"/>
      <c r="AO31" s="6"/>
      <c r="AP31" s="495">
        <v>720</v>
      </c>
      <c r="AQ31" s="509"/>
      <c r="AR31" s="6"/>
      <c r="AS31" s="6"/>
      <c r="AT31" s="527" t="s">
        <v>946</v>
      </c>
    </row>
    <row r="32" spans="1:46" ht="63" customHeight="1" x14ac:dyDescent="0.35">
      <c r="A32" s="1477"/>
      <c r="B32" s="472">
        <v>2</v>
      </c>
      <c r="C32" s="493"/>
      <c r="D32" s="494"/>
      <c r="E32" s="494"/>
      <c r="F32" s="495">
        <v>720</v>
      </c>
      <c r="G32" s="566"/>
      <c r="H32" s="565"/>
      <c r="I32" s="573"/>
      <c r="J32" s="527" t="s">
        <v>946</v>
      </c>
      <c r="K32" s="66"/>
      <c r="L32" s="470"/>
      <c r="M32" s="6"/>
      <c r="N32" s="6"/>
      <c r="O32" s="495">
        <v>720</v>
      </c>
      <c r="P32" s="509"/>
      <c r="Q32" s="6"/>
      <c r="R32" s="6"/>
      <c r="S32" s="527" t="s">
        <v>946</v>
      </c>
      <c r="T32" s="66"/>
      <c r="U32" s="470"/>
      <c r="V32" s="6"/>
      <c r="W32" s="494"/>
      <c r="X32" s="495">
        <v>720</v>
      </c>
      <c r="Y32" s="566"/>
      <c r="Z32" s="566"/>
      <c r="AA32" s="579"/>
      <c r="AB32" s="527" t="s">
        <v>946</v>
      </c>
      <c r="AC32" s="66"/>
      <c r="AD32" s="470"/>
      <c r="AE32" s="6"/>
      <c r="AF32" s="494"/>
      <c r="AG32" s="495">
        <v>720</v>
      </c>
      <c r="AH32" s="566"/>
      <c r="AI32" s="566"/>
      <c r="AJ32" s="579"/>
      <c r="AK32" s="527" t="s">
        <v>946</v>
      </c>
      <c r="AM32" s="470"/>
      <c r="AN32" s="6"/>
      <c r="AO32" s="6"/>
      <c r="AP32" s="495">
        <v>720</v>
      </c>
      <c r="AQ32" s="509"/>
      <c r="AR32" s="502"/>
      <c r="AS32" s="565"/>
      <c r="AT32" s="527" t="s">
        <v>946</v>
      </c>
    </row>
    <row r="33" spans="1:46" ht="43.2" customHeight="1" x14ac:dyDescent="0.35">
      <c r="A33" s="1478">
        <v>45489</v>
      </c>
      <c r="B33" s="472">
        <v>1</v>
      </c>
      <c r="C33" s="493"/>
      <c r="D33" s="494"/>
      <c r="E33" s="494"/>
      <c r="F33" s="495">
        <v>720</v>
      </c>
      <c r="G33" s="566"/>
      <c r="H33" s="515"/>
      <c r="I33" s="579"/>
      <c r="J33" s="527" t="s">
        <v>946</v>
      </c>
      <c r="K33" s="66"/>
      <c r="L33" s="470"/>
      <c r="M33" s="6"/>
      <c r="N33" s="6"/>
      <c r="O33" s="495">
        <v>720</v>
      </c>
      <c r="P33" s="509"/>
      <c r="Q33" s="6"/>
      <c r="R33" s="6"/>
      <c r="S33" s="527" t="s">
        <v>946</v>
      </c>
      <c r="T33" s="66"/>
      <c r="U33" s="470"/>
      <c r="V33" s="6"/>
      <c r="W33" s="6"/>
      <c r="X33" s="495">
        <v>720</v>
      </c>
      <c r="Y33" s="509"/>
      <c r="Z33" s="6"/>
      <c r="AA33" s="579"/>
      <c r="AB33" s="527" t="s">
        <v>946</v>
      </c>
      <c r="AC33" s="66"/>
      <c r="AD33" s="470"/>
      <c r="AE33" s="6"/>
      <c r="AF33" s="6"/>
      <c r="AG33" s="495">
        <v>720</v>
      </c>
      <c r="AH33" s="509"/>
      <c r="AI33" s="502"/>
      <c r="AJ33" s="579"/>
      <c r="AK33" s="527" t="s">
        <v>946</v>
      </c>
      <c r="AM33" s="470"/>
      <c r="AN33" s="6"/>
      <c r="AO33" s="6"/>
      <c r="AP33" s="495">
        <v>720</v>
      </c>
      <c r="AQ33" s="509"/>
      <c r="AR33" s="502"/>
      <c r="AS33" s="6"/>
      <c r="AT33" s="527" t="s">
        <v>946</v>
      </c>
    </row>
    <row r="34" spans="1:46" ht="67.95" customHeight="1" x14ac:dyDescent="0.35">
      <c r="A34" s="1477"/>
      <c r="B34" s="534">
        <v>2</v>
      </c>
      <c r="C34" s="494"/>
      <c r="D34" s="494"/>
      <c r="E34" s="494"/>
      <c r="F34" s="495">
        <v>720</v>
      </c>
      <c r="G34" s="565"/>
      <c r="H34" s="515"/>
      <c r="I34" s="579"/>
      <c r="J34" s="527" t="s">
        <v>946</v>
      </c>
      <c r="K34" s="66"/>
      <c r="L34" s="470"/>
      <c r="M34" s="6"/>
      <c r="N34" s="6"/>
      <c r="O34" s="495">
        <v>720</v>
      </c>
      <c r="P34" s="509"/>
      <c r="Q34" s="515"/>
      <c r="R34" s="6"/>
      <c r="S34" s="527" t="s">
        <v>946</v>
      </c>
      <c r="T34" s="66"/>
      <c r="U34" s="470"/>
      <c r="V34" s="6"/>
      <c r="W34" s="6"/>
      <c r="X34" s="495">
        <v>720</v>
      </c>
      <c r="Y34" s="502"/>
      <c r="Z34" s="502"/>
      <c r="AA34" s="579"/>
      <c r="AB34" s="527" t="s">
        <v>946</v>
      </c>
      <c r="AC34" s="66"/>
      <c r="AD34" s="470"/>
      <c r="AE34" s="6"/>
      <c r="AF34" s="6"/>
      <c r="AG34" s="495">
        <v>720</v>
      </c>
      <c r="AH34" s="509"/>
      <c r="AI34" s="6"/>
      <c r="AJ34" s="502"/>
      <c r="AK34" s="527" t="s">
        <v>946</v>
      </c>
      <c r="AM34" s="470"/>
      <c r="AN34" s="6"/>
      <c r="AO34" s="6"/>
      <c r="AP34" s="495">
        <v>720</v>
      </c>
      <c r="AQ34" s="509"/>
      <c r="AR34" s="6"/>
      <c r="AS34" s="636"/>
      <c r="AT34" s="527" t="s">
        <v>946</v>
      </c>
    </row>
    <row r="35" spans="1:46" ht="51" customHeight="1" x14ac:dyDescent="0.35">
      <c r="A35" s="1478">
        <v>45490</v>
      </c>
      <c r="B35" s="472">
        <v>1</v>
      </c>
      <c r="C35" s="494"/>
      <c r="D35" s="494"/>
      <c r="E35" s="47"/>
      <c r="F35" s="495">
        <v>720</v>
      </c>
      <c r="G35" s="465"/>
      <c r="H35" s="509"/>
      <c r="I35" s="573"/>
      <c r="J35" s="527" t="s">
        <v>946</v>
      </c>
      <c r="K35" s="66"/>
      <c r="L35" s="470"/>
      <c r="M35" s="6"/>
      <c r="N35" s="6"/>
      <c r="O35" s="495">
        <v>720</v>
      </c>
      <c r="P35" s="465"/>
      <c r="Q35" s="576"/>
      <c r="R35" s="515"/>
      <c r="S35" s="527" t="s">
        <v>946</v>
      </c>
      <c r="T35" s="66"/>
      <c r="U35" s="470"/>
      <c r="V35" s="6"/>
      <c r="W35" s="47"/>
      <c r="X35" s="495">
        <v>720</v>
      </c>
      <c r="Y35" s="465"/>
      <c r="Z35" s="502"/>
      <c r="AA35" s="579"/>
      <c r="AB35" s="527" t="s">
        <v>946</v>
      </c>
      <c r="AC35" s="66"/>
      <c r="AD35" s="470"/>
      <c r="AE35" s="6"/>
      <c r="AF35" s="6"/>
      <c r="AG35" s="495">
        <v>720</v>
      </c>
      <c r="AH35" s="465"/>
      <c r="AI35" s="6"/>
      <c r="AJ35" s="565"/>
      <c r="AK35" s="527" t="s">
        <v>946</v>
      </c>
      <c r="AM35" s="470"/>
      <c r="AN35" s="6"/>
      <c r="AO35" s="47"/>
      <c r="AP35" s="495">
        <v>720</v>
      </c>
      <c r="AQ35" s="465"/>
      <c r="AR35" s="573"/>
      <c r="AS35" s="636"/>
      <c r="AT35" s="527" t="s">
        <v>946</v>
      </c>
    </row>
    <row r="36" spans="1:46" ht="46.95" customHeight="1" x14ac:dyDescent="0.35">
      <c r="A36" s="1477"/>
      <c r="B36" s="472">
        <v>2</v>
      </c>
      <c r="C36" s="47"/>
      <c r="D36" s="6"/>
      <c r="E36" s="47"/>
      <c r="F36" s="495">
        <v>720</v>
      </c>
      <c r="G36" s="573"/>
      <c r="H36" s="515"/>
      <c r="I36" s="641"/>
      <c r="J36" s="527" t="s">
        <v>946</v>
      </c>
      <c r="K36" s="66"/>
      <c r="L36" s="465"/>
      <c r="M36" s="6"/>
      <c r="N36" s="6"/>
      <c r="O36" s="495">
        <v>720</v>
      </c>
      <c r="P36" s="465"/>
      <c r="Q36" s="515"/>
      <c r="R36" s="502"/>
      <c r="S36" s="527" t="s">
        <v>946</v>
      </c>
      <c r="T36" s="66"/>
      <c r="U36" s="470"/>
      <c r="V36" s="6"/>
      <c r="W36" s="6"/>
      <c r="X36" s="495">
        <v>720</v>
      </c>
      <c r="Y36" s="465"/>
      <c r="Z36" s="515"/>
      <c r="AA36" s="579"/>
      <c r="AB36" s="527" t="s">
        <v>946</v>
      </c>
      <c r="AC36" s="66"/>
      <c r="AD36" s="470"/>
      <c r="AE36" s="6"/>
      <c r="AF36" s="47"/>
      <c r="AG36" s="495">
        <v>720</v>
      </c>
      <c r="AH36" s="465"/>
      <c r="AI36" s="502"/>
      <c r="AJ36" s="579"/>
      <c r="AK36" s="527" t="s">
        <v>946</v>
      </c>
      <c r="AM36" s="470"/>
      <c r="AN36" s="6"/>
      <c r="AO36" s="470"/>
      <c r="AP36" s="495">
        <v>720</v>
      </c>
      <c r="AQ36" s="509"/>
      <c r="AR36" s="469"/>
      <c r="AS36" s="465"/>
      <c r="AT36" s="527" t="s">
        <v>946</v>
      </c>
    </row>
    <row r="37" spans="1:46" ht="59.5" customHeight="1" x14ac:dyDescent="0.35">
      <c r="A37" s="1478">
        <v>45491</v>
      </c>
      <c r="B37" s="534">
        <v>1</v>
      </c>
      <c r="C37" s="47"/>
      <c r="D37" s="494"/>
      <c r="E37" s="47"/>
      <c r="F37" s="495">
        <v>720</v>
      </c>
      <c r="G37" s="573"/>
      <c r="H37" s="469"/>
      <c r="I37" s="641"/>
      <c r="J37" s="527" t="s">
        <v>946</v>
      </c>
      <c r="K37" s="66"/>
      <c r="L37" s="470"/>
      <c r="M37" s="6"/>
      <c r="N37" s="6"/>
      <c r="O37" s="495">
        <v>720</v>
      </c>
      <c r="P37" s="509"/>
      <c r="Q37" s="6"/>
      <c r="R37" s="6"/>
      <c r="S37" s="527" t="s">
        <v>946</v>
      </c>
      <c r="T37" s="66"/>
      <c r="U37" s="470"/>
      <c r="V37" s="6"/>
      <c r="W37" s="6"/>
      <c r="X37" s="495">
        <v>720</v>
      </c>
      <c r="Y37" s="509"/>
      <c r="Z37" s="502"/>
      <c r="AA37" s="579"/>
      <c r="AB37" s="527" t="s">
        <v>946</v>
      </c>
      <c r="AC37" s="66"/>
      <c r="AD37" s="470"/>
      <c r="AE37" s="6"/>
      <c r="AF37" s="6"/>
      <c r="AG37" s="495">
        <v>720</v>
      </c>
      <c r="AH37" s="469"/>
      <c r="AI37" s="6"/>
      <c r="AJ37" s="579"/>
      <c r="AK37" s="527" t="s">
        <v>946</v>
      </c>
      <c r="AM37" s="470"/>
      <c r="AN37" s="6"/>
      <c r="AO37" s="6"/>
      <c r="AP37" s="495">
        <v>720</v>
      </c>
      <c r="AQ37" s="509"/>
      <c r="AR37" s="6"/>
      <c r="AS37" s="6"/>
      <c r="AT37" s="527" t="s">
        <v>946</v>
      </c>
    </row>
    <row r="38" spans="1:46" ht="55.95" customHeight="1" x14ac:dyDescent="0.35">
      <c r="A38" s="1477"/>
      <c r="B38" s="472">
        <v>2</v>
      </c>
      <c r="C38" s="47"/>
      <c r="D38" s="494">
        <v>42</v>
      </c>
      <c r="E38" s="47"/>
      <c r="F38" s="637"/>
      <c r="G38" s="573"/>
      <c r="H38" s="469" t="s">
        <v>947</v>
      </c>
      <c r="I38" s="641"/>
      <c r="J38" s="527"/>
      <c r="K38" s="66"/>
      <c r="L38" s="470"/>
      <c r="M38" s="6"/>
      <c r="N38" s="6">
        <v>5</v>
      </c>
      <c r="O38" s="508"/>
      <c r="P38" s="469"/>
      <c r="Q38" s="469"/>
      <c r="R38" s="6" t="s">
        <v>948</v>
      </c>
      <c r="S38" s="527"/>
      <c r="T38" s="66"/>
      <c r="U38" s="470"/>
      <c r="V38" s="6"/>
      <c r="W38" s="6"/>
      <c r="X38" s="508"/>
      <c r="Y38" s="469"/>
      <c r="Z38" s="502"/>
      <c r="AA38" s="579"/>
      <c r="AB38" s="527"/>
      <c r="AC38" s="66"/>
      <c r="AD38" s="470"/>
      <c r="AE38" s="6"/>
      <c r="AF38" s="6"/>
      <c r="AG38" s="508"/>
      <c r="AH38" s="469"/>
      <c r="AI38" s="6"/>
      <c r="AJ38" s="579"/>
      <c r="AK38" s="527"/>
      <c r="AM38" s="470"/>
      <c r="AN38" s="6"/>
      <c r="AO38" s="6"/>
      <c r="AP38" s="508"/>
      <c r="AQ38" s="469"/>
      <c r="AR38" s="6"/>
      <c r="AS38" s="465"/>
      <c r="AT38" s="527"/>
    </row>
    <row r="39" spans="1:46" ht="70.95" customHeight="1" x14ac:dyDescent="0.35">
      <c r="A39" s="1478">
        <v>45492</v>
      </c>
      <c r="B39" s="472">
        <v>1</v>
      </c>
      <c r="C39" s="47"/>
      <c r="D39" s="494"/>
      <c r="E39" s="47">
        <v>38</v>
      </c>
      <c r="F39" s="637"/>
      <c r="G39" s="573"/>
      <c r="H39" s="469" t="s">
        <v>401</v>
      </c>
      <c r="I39" s="641"/>
      <c r="J39" s="527"/>
      <c r="K39" s="66"/>
      <c r="L39" s="470"/>
      <c r="M39" s="6"/>
      <c r="N39" s="6">
        <v>56</v>
      </c>
      <c r="O39" s="495"/>
      <c r="P39" s="573"/>
      <c r="Q39" s="514"/>
      <c r="R39" s="6" t="s">
        <v>948</v>
      </c>
      <c r="S39" s="527"/>
      <c r="T39" s="66"/>
      <c r="U39" s="470"/>
      <c r="V39" s="6"/>
      <c r="W39" s="6">
        <v>56</v>
      </c>
      <c r="X39" s="495"/>
      <c r="Y39" s="509"/>
      <c r="Z39" s="514"/>
      <c r="AA39" s="579" t="s">
        <v>401</v>
      </c>
      <c r="AB39" s="527"/>
      <c r="AC39" s="66"/>
      <c r="AD39" s="470"/>
      <c r="AE39" s="6"/>
      <c r="AF39" s="6">
        <v>56</v>
      </c>
      <c r="AG39" s="495"/>
      <c r="AH39" s="573"/>
      <c r="AI39" s="514"/>
      <c r="AJ39" s="579" t="s">
        <v>401</v>
      </c>
      <c r="AK39" s="527"/>
      <c r="AM39" s="470"/>
      <c r="AN39" s="6">
        <v>9</v>
      </c>
      <c r="AO39" s="6">
        <v>13</v>
      </c>
      <c r="AP39" s="573"/>
      <c r="AQ39" s="514"/>
      <c r="AR39" s="573" t="s">
        <v>949</v>
      </c>
      <c r="AS39" s="579" t="s">
        <v>401</v>
      </c>
      <c r="AT39" s="568"/>
    </row>
    <row r="40" spans="1:46" ht="72.650000000000006" customHeight="1" x14ac:dyDescent="0.35">
      <c r="A40" s="1477"/>
      <c r="B40" s="472">
        <v>2</v>
      </c>
      <c r="C40" s="494"/>
      <c r="D40" s="494"/>
      <c r="E40" s="494">
        <v>54</v>
      </c>
      <c r="F40" s="508"/>
      <c r="G40" s="573"/>
      <c r="H40" s="469"/>
      <c r="I40" s="469" t="s">
        <v>401</v>
      </c>
      <c r="J40" s="527"/>
      <c r="K40" s="66"/>
      <c r="L40" s="470"/>
      <c r="M40" s="6"/>
      <c r="N40" s="6"/>
      <c r="O40" s="508"/>
      <c r="P40" s="566"/>
      <c r="Q40" s="514"/>
      <c r="R40" s="573"/>
      <c r="S40" s="527"/>
      <c r="T40" s="66"/>
      <c r="U40" s="470"/>
      <c r="V40" s="6"/>
      <c r="W40" s="6">
        <v>49</v>
      </c>
      <c r="X40" s="508"/>
      <c r="Y40" s="566"/>
      <c r="Z40" s="514"/>
      <c r="AA40" s="579" t="s">
        <v>401</v>
      </c>
      <c r="AB40" s="527"/>
      <c r="AC40" s="66"/>
      <c r="AD40" s="470"/>
      <c r="AE40" s="6"/>
      <c r="AF40" s="6">
        <v>7</v>
      </c>
      <c r="AG40" s="508"/>
      <c r="AH40" s="465"/>
      <c r="AI40" s="515"/>
      <c r="AJ40" s="579" t="s">
        <v>401</v>
      </c>
      <c r="AK40" s="527"/>
      <c r="AM40" s="465"/>
      <c r="AN40" s="6"/>
      <c r="AO40" s="6"/>
      <c r="AP40" s="508"/>
      <c r="AQ40" s="566"/>
      <c r="AR40" s="514"/>
      <c r="AS40" s="573"/>
      <c r="AT40" s="527"/>
    </row>
    <row r="41" spans="1:46" ht="39.65" customHeight="1" x14ac:dyDescent="0.35">
      <c r="A41" s="1478">
        <v>45493</v>
      </c>
      <c r="B41" s="472">
        <v>1</v>
      </c>
      <c r="C41" s="493"/>
      <c r="D41" s="494"/>
      <c r="E41" s="494"/>
      <c r="F41" s="508"/>
      <c r="G41" s="566"/>
      <c r="H41" s="515"/>
      <c r="I41" s="515"/>
      <c r="J41" s="527"/>
      <c r="K41" s="66"/>
      <c r="L41" s="470"/>
      <c r="M41" s="6"/>
      <c r="N41" s="6"/>
      <c r="O41" s="508"/>
      <c r="P41" s="509"/>
      <c r="Q41" s="6"/>
      <c r="R41" s="573"/>
      <c r="S41" s="527"/>
      <c r="T41" s="66"/>
      <c r="U41" s="470"/>
      <c r="V41" s="6"/>
      <c r="W41" s="6"/>
      <c r="X41" s="508"/>
      <c r="Y41" s="509"/>
      <c r="Z41" s="502"/>
      <c r="AA41" s="579"/>
      <c r="AB41" s="508"/>
      <c r="AC41" s="66"/>
      <c r="AD41" s="470"/>
      <c r="AE41" s="6"/>
      <c r="AF41" s="6"/>
      <c r="AG41" s="508"/>
      <c r="AH41" s="465"/>
      <c r="AI41" s="502"/>
      <c r="AJ41" s="6"/>
      <c r="AK41" s="508"/>
      <c r="AM41" s="470"/>
      <c r="AN41" s="6"/>
      <c r="AO41" s="6"/>
      <c r="AP41" s="508"/>
      <c r="AQ41" s="509"/>
      <c r="AR41" s="502"/>
      <c r="AS41" s="573"/>
      <c r="AT41" s="508"/>
    </row>
    <row r="42" spans="1:46" ht="52.95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5"/>
      <c r="I42" s="573"/>
      <c r="J42" s="527"/>
      <c r="K42" s="66"/>
      <c r="L42" s="470"/>
      <c r="M42" s="6"/>
      <c r="N42" s="6"/>
      <c r="O42" s="508"/>
      <c r="P42" s="509"/>
      <c r="Q42" s="502"/>
      <c r="R42" s="6"/>
      <c r="S42" s="527"/>
      <c r="T42" s="66"/>
      <c r="U42" s="470"/>
      <c r="V42" s="6">
        <v>28</v>
      </c>
      <c r="W42" s="6"/>
      <c r="X42" s="508"/>
      <c r="Y42" s="469"/>
      <c r="Z42" s="6" t="s">
        <v>317</v>
      </c>
      <c r="AA42" s="579"/>
      <c r="AB42" s="527"/>
      <c r="AC42" s="66"/>
      <c r="AD42" s="470"/>
      <c r="AE42" s="6"/>
      <c r="AF42" s="6"/>
      <c r="AG42" s="508"/>
      <c r="AH42" s="509"/>
      <c r="AI42" s="502"/>
      <c r="AJ42" s="6"/>
      <c r="AK42" s="527"/>
      <c r="AM42" s="470"/>
      <c r="AN42" s="6"/>
      <c r="AO42" s="6">
        <v>10</v>
      </c>
      <c r="AP42" s="508"/>
      <c r="AQ42" s="509"/>
      <c r="AR42" s="6"/>
      <c r="AS42" s="6" t="s">
        <v>152</v>
      </c>
      <c r="AT42" s="527"/>
    </row>
    <row r="43" spans="1:46" ht="65.5" customHeight="1" x14ac:dyDescent="0.35">
      <c r="A43" s="1478">
        <v>45494</v>
      </c>
      <c r="B43" s="472">
        <v>1</v>
      </c>
      <c r="C43" s="494"/>
      <c r="D43" s="494"/>
      <c r="E43" s="494"/>
      <c r="F43" s="495"/>
      <c r="G43" s="514"/>
      <c r="H43" s="514"/>
      <c r="I43" s="641"/>
      <c r="J43" s="527"/>
      <c r="K43" s="66"/>
      <c r="L43" s="470"/>
      <c r="M43" s="6"/>
      <c r="N43" s="6"/>
      <c r="O43" s="508"/>
      <c r="P43" s="509"/>
      <c r="Q43" s="6"/>
      <c r="R43" s="6"/>
      <c r="S43" s="527"/>
      <c r="T43" s="66"/>
      <c r="U43" s="470"/>
      <c r="V43" s="6"/>
      <c r="W43" s="6"/>
      <c r="X43" s="508"/>
      <c r="Y43" s="509"/>
      <c r="Z43" s="6"/>
      <c r="AA43" s="579"/>
      <c r="AB43" s="527"/>
      <c r="AC43" s="66"/>
      <c r="AD43" s="470"/>
      <c r="AE43" s="6"/>
      <c r="AF43" s="6"/>
      <c r="AG43" s="508"/>
      <c r="AH43" s="502"/>
      <c r="AI43" s="515"/>
      <c r="AJ43" s="6"/>
      <c r="AK43" s="527"/>
      <c r="AM43" s="470"/>
      <c r="AN43" s="6"/>
      <c r="AO43" s="6"/>
      <c r="AP43" s="508"/>
      <c r="AQ43" s="502"/>
      <c r="AR43" s="515"/>
      <c r="AS43" s="6"/>
      <c r="AT43" s="508"/>
    </row>
    <row r="44" spans="1:46" ht="69" customHeight="1" x14ac:dyDescent="0.35">
      <c r="A44" s="1477"/>
      <c r="B44" s="472">
        <v>2</v>
      </c>
      <c r="C44" s="494"/>
      <c r="D44" s="494"/>
      <c r="E44" s="494">
        <v>25</v>
      </c>
      <c r="F44" s="495"/>
      <c r="G44" s="514"/>
      <c r="H44" s="469"/>
      <c r="I44" s="469" t="s">
        <v>401</v>
      </c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/>
      <c r="W44" s="494">
        <v>25</v>
      </c>
      <c r="X44" s="495"/>
      <c r="Y44" s="514"/>
      <c r="Z44" s="515"/>
      <c r="AA44" s="579" t="s">
        <v>401</v>
      </c>
      <c r="AB44" s="527"/>
      <c r="AC44" s="66"/>
      <c r="AD44" s="470"/>
      <c r="AE44" s="6"/>
      <c r="AF44" s="6"/>
      <c r="AG44" s="508"/>
      <c r="AH44" s="509"/>
      <c r="AI44" s="502"/>
      <c r="AJ44" s="579"/>
      <c r="AK44" s="527"/>
      <c r="AM44" s="470"/>
      <c r="AN44" s="6"/>
      <c r="AO44" s="6"/>
      <c r="AP44" s="508"/>
      <c r="AQ44" s="509"/>
      <c r="AR44" s="502"/>
      <c r="AS44" s="502"/>
      <c r="AT44" s="508"/>
    </row>
    <row r="45" spans="1:46" ht="69" customHeight="1" x14ac:dyDescent="0.35">
      <c r="A45" s="1478">
        <v>45495</v>
      </c>
      <c r="B45" s="472">
        <v>1</v>
      </c>
      <c r="C45" s="494"/>
      <c r="D45" s="494"/>
      <c r="E45" s="494"/>
      <c r="F45" s="495"/>
      <c r="G45" s="514"/>
      <c r="H45" s="514"/>
      <c r="I45" s="573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502"/>
      <c r="W45" s="6"/>
      <c r="X45" s="508"/>
      <c r="Y45" s="514"/>
      <c r="Z45" s="502"/>
      <c r="AA45" s="502"/>
      <c r="AB45" s="508"/>
      <c r="AC45" s="66"/>
      <c r="AD45" s="470"/>
      <c r="AE45" s="6"/>
      <c r="AF45" s="6"/>
      <c r="AG45" s="508"/>
      <c r="AH45" s="509"/>
      <c r="AI45" s="502"/>
      <c r="AJ45" s="502"/>
      <c r="AK45" s="508"/>
      <c r="AM45" s="470"/>
      <c r="AN45" s="6"/>
      <c r="AO45" s="6">
        <v>20</v>
      </c>
      <c r="AP45" s="508"/>
      <c r="AQ45" s="509"/>
      <c r="AR45" s="502"/>
      <c r="AS45" s="6" t="s">
        <v>152</v>
      </c>
      <c r="AT45" s="508"/>
    </row>
    <row r="46" spans="1:46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641"/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/>
      <c r="W46" s="6"/>
      <c r="X46" s="508"/>
      <c r="Y46" s="469"/>
      <c r="Z46" s="6"/>
      <c r="AA46" s="502"/>
      <c r="AB46" s="527"/>
      <c r="AC46" s="66"/>
      <c r="AD46" s="470"/>
      <c r="AE46" s="6"/>
      <c r="AF46" s="6"/>
      <c r="AG46" s="508"/>
      <c r="AH46" s="469"/>
      <c r="AI46" s="502"/>
      <c r="AJ46" s="579"/>
      <c r="AK46" s="527"/>
      <c r="AM46" s="470"/>
      <c r="AN46" s="6"/>
      <c r="AO46" s="6">
        <v>77</v>
      </c>
      <c r="AP46" s="508"/>
      <c r="AQ46" s="509"/>
      <c r="AR46" s="515"/>
      <c r="AS46" s="6" t="s">
        <v>152</v>
      </c>
      <c r="AT46" s="527"/>
    </row>
    <row r="47" spans="1:46" ht="58.95" customHeight="1" x14ac:dyDescent="0.35">
      <c r="A47" s="1478">
        <v>45496</v>
      </c>
      <c r="B47" s="472">
        <v>1</v>
      </c>
      <c r="C47" s="494"/>
      <c r="D47" s="494"/>
      <c r="E47" s="494"/>
      <c r="F47" s="495"/>
      <c r="G47" s="514"/>
      <c r="H47" s="515"/>
      <c r="I47" s="641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14"/>
      <c r="Z47" s="502"/>
      <c r="AA47" s="502"/>
      <c r="AB47" s="527"/>
      <c r="AC47" s="66"/>
      <c r="AD47" s="470"/>
      <c r="AE47" s="6">
        <v>158</v>
      </c>
      <c r="AF47" s="6"/>
      <c r="AG47" s="508"/>
      <c r="AH47" s="469"/>
      <c r="AI47" s="515" t="s">
        <v>950</v>
      </c>
      <c r="AJ47" s="579"/>
      <c r="AK47" s="508"/>
      <c r="AM47" s="470"/>
      <c r="AN47" s="6"/>
      <c r="AO47" s="6"/>
      <c r="AP47" s="508"/>
      <c r="AQ47" s="509"/>
      <c r="AR47" s="515"/>
      <c r="AS47" s="6"/>
      <c r="AT47" s="508"/>
    </row>
    <row r="48" spans="1:46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27"/>
      <c r="K48" s="66"/>
      <c r="L48" s="470"/>
      <c r="M48" s="6"/>
      <c r="N48" s="6"/>
      <c r="O48" s="495"/>
      <c r="P48" s="515"/>
      <c r="Q48" s="515"/>
      <c r="R48" s="573"/>
      <c r="S48" s="527"/>
      <c r="T48" s="66"/>
      <c r="U48" s="470"/>
      <c r="V48" s="6"/>
      <c r="W48" s="6"/>
      <c r="X48" s="495"/>
      <c r="Y48" s="515"/>
      <c r="Z48" s="515"/>
      <c r="AA48" s="573"/>
      <c r="AB48" s="527"/>
      <c r="AC48" s="66"/>
      <c r="AD48" s="470"/>
      <c r="AE48" s="6"/>
      <c r="AF48" s="6"/>
      <c r="AG48" s="495"/>
      <c r="AH48" s="515"/>
      <c r="AI48" s="515"/>
      <c r="AJ48" s="573"/>
      <c r="AK48" s="527"/>
      <c r="AM48" s="470"/>
      <c r="AN48" s="6"/>
      <c r="AO48" s="470"/>
      <c r="AP48" s="6"/>
      <c r="AQ48" s="495"/>
      <c r="AR48" s="515"/>
      <c r="AS48" s="515"/>
      <c r="AT48" s="508"/>
    </row>
    <row r="49" spans="1:46" ht="43.2" customHeight="1" x14ac:dyDescent="0.35">
      <c r="A49" s="1478">
        <v>45497</v>
      </c>
      <c r="B49" s="472">
        <v>1</v>
      </c>
      <c r="C49" s="494"/>
      <c r="D49" s="494"/>
      <c r="E49" s="494"/>
      <c r="F49" s="495"/>
      <c r="G49" s="515"/>
      <c r="H49" s="514"/>
      <c r="I49" s="641"/>
      <c r="J49" s="527"/>
      <c r="K49" s="66"/>
      <c r="L49" s="470"/>
      <c r="M49" s="6"/>
      <c r="N49" s="6"/>
      <c r="O49" s="495"/>
      <c r="P49" s="515"/>
      <c r="Q49" s="514"/>
      <c r="R49" s="573"/>
      <c r="S49" s="527"/>
      <c r="T49" s="66"/>
      <c r="U49" s="470"/>
      <c r="V49" s="6"/>
      <c r="W49" s="6"/>
      <c r="X49" s="495">
        <v>462</v>
      </c>
      <c r="Y49" s="515"/>
      <c r="Z49" s="502"/>
      <c r="AA49" s="502"/>
      <c r="AB49" s="527" t="s">
        <v>951</v>
      </c>
      <c r="AC49" s="66"/>
      <c r="AD49" s="470"/>
      <c r="AE49" s="6"/>
      <c r="AF49" s="6"/>
      <c r="AG49" s="495"/>
      <c r="AH49" s="515"/>
      <c r="AI49" s="514"/>
      <c r="AJ49" s="573"/>
      <c r="AK49" s="527"/>
      <c r="AM49" s="470"/>
      <c r="AN49" s="6"/>
      <c r="AO49" s="6"/>
      <c r="AP49" s="515" t="s">
        <v>952</v>
      </c>
      <c r="AQ49" s="514"/>
      <c r="AR49" s="573"/>
      <c r="AS49" s="527"/>
      <c r="AT49" s="527" t="s">
        <v>951</v>
      </c>
    </row>
    <row r="50" spans="1:46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/>
      <c r="X50" s="495">
        <v>720</v>
      </c>
      <c r="Y50" s="514"/>
      <c r="Z50" s="514"/>
      <c r="AA50" s="579"/>
      <c r="AB50" s="527" t="s">
        <v>951</v>
      </c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514" t="s">
        <v>953</v>
      </c>
      <c r="AQ50" s="514"/>
      <c r="AR50" s="573"/>
      <c r="AS50" s="527"/>
      <c r="AT50" s="527" t="s">
        <v>951</v>
      </c>
    </row>
    <row r="51" spans="1:46" ht="34.950000000000003" customHeight="1" x14ac:dyDescent="0.35">
      <c r="A51" s="1478">
        <v>45498</v>
      </c>
      <c r="B51" s="472">
        <v>1</v>
      </c>
      <c r="C51" s="494"/>
      <c r="D51" s="494"/>
      <c r="E51" s="494"/>
      <c r="F51" s="495"/>
      <c r="G51" s="514"/>
      <c r="H51" s="514"/>
      <c r="I51" s="641"/>
      <c r="J51" s="527"/>
      <c r="K51" s="66"/>
      <c r="L51" s="470"/>
      <c r="M51" s="6"/>
      <c r="N51" s="6"/>
      <c r="O51" s="495"/>
      <c r="P51" s="514"/>
      <c r="Q51" s="514"/>
      <c r="R51" s="573"/>
      <c r="S51" s="527"/>
      <c r="T51" s="66"/>
      <c r="U51" s="470"/>
      <c r="V51" s="6"/>
      <c r="W51" s="6"/>
      <c r="X51" s="495">
        <v>720</v>
      </c>
      <c r="Y51" s="514"/>
      <c r="Z51" s="514"/>
      <c r="AA51" s="579"/>
      <c r="AB51" s="527" t="s">
        <v>951</v>
      </c>
      <c r="AC51" s="66"/>
      <c r="AD51" s="470"/>
      <c r="AE51" s="6"/>
      <c r="AF51" s="6"/>
      <c r="AG51" s="495"/>
      <c r="AH51" s="514"/>
      <c r="AI51" s="514"/>
      <c r="AJ51" s="573"/>
      <c r="AK51" s="527"/>
      <c r="AM51" s="470"/>
      <c r="AN51" s="6"/>
      <c r="AO51" s="6"/>
      <c r="AP51" s="514" t="s">
        <v>953</v>
      </c>
      <c r="AQ51" s="514"/>
      <c r="AR51" s="573"/>
      <c r="AS51" s="527"/>
      <c r="AT51" s="527" t="s">
        <v>951</v>
      </c>
    </row>
    <row r="52" spans="1:46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641"/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/>
      <c r="W52" s="6"/>
      <c r="X52" s="495">
        <v>381</v>
      </c>
      <c r="Y52" s="515"/>
      <c r="Z52" s="514"/>
      <c r="AA52" s="579"/>
      <c r="AB52" s="527" t="s">
        <v>951</v>
      </c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>
        <v>420</v>
      </c>
      <c r="AQ52" s="509"/>
      <c r="AR52" s="6"/>
      <c r="AS52" s="527"/>
      <c r="AT52" s="527" t="s">
        <v>951</v>
      </c>
    </row>
    <row r="53" spans="1:46" ht="48" customHeight="1" x14ac:dyDescent="0.35">
      <c r="A53" s="1478">
        <v>45499</v>
      </c>
      <c r="B53" s="472">
        <v>1</v>
      </c>
      <c r="C53" s="494"/>
      <c r="D53" s="494"/>
      <c r="E53" s="494"/>
      <c r="F53" s="495"/>
      <c r="G53" s="514"/>
      <c r="H53" s="514"/>
      <c r="I53" s="641"/>
      <c r="J53" s="527"/>
      <c r="K53" s="66"/>
      <c r="L53" s="470"/>
      <c r="M53" s="6"/>
      <c r="N53" s="6"/>
      <c r="O53" s="508"/>
      <c r="P53" s="469"/>
      <c r="Q53" s="515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6"/>
      <c r="AJ53" s="502"/>
      <c r="AK53" s="508"/>
      <c r="AM53" s="470"/>
      <c r="AN53" s="502"/>
      <c r="AO53" s="6"/>
      <c r="AP53" s="508"/>
      <c r="AQ53" s="469"/>
      <c r="AR53" s="6"/>
      <c r="AS53" s="6"/>
      <c r="AT53" s="508"/>
    </row>
    <row r="54" spans="1:46" ht="45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5"/>
      <c r="I54" s="573"/>
      <c r="J54" s="527"/>
      <c r="K54" s="66"/>
      <c r="L54" s="470"/>
      <c r="M54" s="6"/>
      <c r="N54" s="6"/>
      <c r="O54" s="495"/>
      <c r="P54" s="514"/>
      <c r="Q54" s="515"/>
      <c r="R54" s="514"/>
      <c r="S54" s="527"/>
      <c r="T54" s="66"/>
      <c r="U54" s="470"/>
      <c r="V54" s="6"/>
      <c r="W54" s="6"/>
      <c r="X54" s="495"/>
      <c r="Y54" s="515"/>
      <c r="Z54" s="515"/>
      <c r="AA54" s="515"/>
      <c r="AB54" s="527"/>
      <c r="AC54" s="66"/>
      <c r="AD54" s="470"/>
      <c r="AE54" s="6"/>
      <c r="AF54" s="6"/>
      <c r="AG54" s="508"/>
      <c r="AH54" s="509"/>
      <c r="AI54" s="515"/>
      <c r="AJ54" s="6"/>
      <c r="AK54" s="527"/>
      <c r="AM54" s="470"/>
      <c r="AN54" s="6"/>
      <c r="AO54" s="6"/>
      <c r="AP54" s="495"/>
      <c r="AQ54" s="469"/>
      <c r="AR54" s="515"/>
      <c r="AS54" s="514"/>
      <c r="AT54" s="527"/>
    </row>
    <row r="55" spans="1:46" ht="39.65" customHeight="1" x14ac:dyDescent="0.35">
      <c r="A55" s="1478">
        <v>45500</v>
      </c>
      <c r="B55" s="472">
        <v>1</v>
      </c>
      <c r="C55" s="493"/>
      <c r="D55" s="494"/>
      <c r="E55" s="494"/>
      <c r="F55" s="495"/>
      <c r="G55" s="514"/>
      <c r="H55" s="514"/>
      <c r="I55" s="641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4"/>
      <c r="AA55" s="579"/>
      <c r="AB55" s="508"/>
      <c r="AC55" s="66"/>
      <c r="AD55" s="470"/>
      <c r="AE55" s="6"/>
      <c r="AF55" s="6"/>
      <c r="AG55" s="508"/>
      <c r="AH55" s="509"/>
      <c r="AI55" s="515"/>
      <c r="AJ55" s="502"/>
      <c r="AK55" s="508"/>
      <c r="AM55" s="470"/>
      <c r="AN55" s="6"/>
      <c r="AO55" s="6"/>
      <c r="AP55" s="508"/>
      <c r="AQ55" s="509"/>
      <c r="AR55" s="502"/>
      <c r="AS55" s="6"/>
      <c r="AT55" s="508"/>
    </row>
    <row r="56" spans="1:46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641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02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>
        <v>64</v>
      </c>
      <c r="AP56" s="495"/>
      <c r="AQ56" s="515"/>
      <c r="AR56" s="502"/>
      <c r="AS56" s="6" t="s">
        <v>152</v>
      </c>
      <c r="AT56" s="527"/>
    </row>
    <row r="57" spans="1:46" ht="52.2" customHeight="1" x14ac:dyDescent="0.35">
      <c r="A57" s="1478">
        <v>45501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02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>
        <v>20</v>
      </c>
      <c r="AP57" s="495"/>
      <c r="AQ57" s="515"/>
      <c r="AR57" s="514"/>
      <c r="AS57" s="6" t="s">
        <v>152</v>
      </c>
      <c r="AT57" s="527"/>
    </row>
    <row r="58" spans="1:46" ht="78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5"/>
      <c r="I58" s="641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/>
      <c r="X58" s="495"/>
      <c r="Y58" s="515"/>
      <c r="Z58" s="514"/>
      <c r="AA58" s="579"/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>
        <v>171</v>
      </c>
      <c r="AP58" s="495"/>
      <c r="AQ58" s="515"/>
      <c r="AR58" s="514"/>
      <c r="AS58" s="6" t="s">
        <v>152</v>
      </c>
      <c r="AT58" s="527"/>
    </row>
    <row r="59" spans="1:46" ht="73.2" customHeight="1" x14ac:dyDescent="0.35">
      <c r="A59" s="1478">
        <v>45502</v>
      </c>
      <c r="B59" s="472">
        <v>1</v>
      </c>
      <c r="C59" s="493"/>
      <c r="D59" s="494"/>
      <c r="E59" s="494">
        <v>20</v>
      </c>
      <c r="F59" s="495"/>
      <c r="G59" s="515"/>
      <c r="H59" s="514"/>
      <c r="I59" s="641" t="s">
        <v>152</v>
      </c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>
        <v>34</v>
      </c>
      <c r="X59" s="508"/>
      <c r="Y59" s="509"/>
      <c r="Z59" s="514"/>
      <c r="AA59" s="579" t="s">
        <v>152</v>
      </c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508"/>
      <c r="AQ59" s="469"/>
      <c r="AR59" s="6"/>
      <c r="AS59" s="515"/>
      <c r="AT59" s="527"/>
    </row>
    <row r="60" spans="1:46" ht="36" customHeight="1" x14ac:dyDescent="0.35">
      <c r="A60" s="1477"/>
      <c r="B60" s="500">
        <v>2</v>
      </c>
      <c r="C60" s="493"/>
      <c r="D60" s="494"/>
      <c r="E60" s="494">
        <v>58</v>
      </c>
      <c r="F60" s="495"/>
      <c r="G60" s="514"/>
      <c r="H60" s="515"/>
      <c r="I60" s="641" t="s">
        <v>152</v>
      </c>
      <c r="J60" s="527"/>
      <c r="K60" s="66"/>
      <c r="L60" s="470"/>
      <c r="M60" s="6"/>
      <c r="N60" s="6"/>
      <c r="O60" s="508"/>
      <c r="P60" s="509"/>
      <c r="Q60" s="515"/>
      <c r="R60" s="6"/>
      <c r="S60" s="527"/>
      <c r="T60" s="66"/>
      <c r="U60" s="470"/>
      <c r="V60" s="6"/>
      <c r="W60" s="6"/>
      <c r="X60" s="508"/>
      <c r="Y60" s="469"/>
      <c r="Z60" s="515"/>
      <c r="AA60" s="502"/>
      <c r="AB60" s="527"/>
      <c r="AC60" s="66"/>
      <c r="AD60" s="470"/>
      <c r="AE60" s="6"/>
      <c r="AF60" s="6"/>
      <c r="AG60" s="508"/>
      <c r="AH60" s="509"/>
      <c r="AI60" s="515"/>
      <c r="AJ60" s="502"/>
      <c r="AK60" s="527"/>
      <c r="AM60" s="470"/>
      <c r="AN60" s="6"/>
      <c r="AO60" s="6"/>
      <c r="AP60" s="508"/>
      <c r="AQ60" s="509"/>
      <c r="AR60" s="515"/>
      <c r="AS60" s="6"/>
      <c r="AT60" s="527"/>
    </row>
    <row r="61" spans="1:46" ht="32.5" customHeight="1" x14ac:dyDescent="0.35">
      <c r="A61" s="1478">
        <v>45503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502"/>
      <c r="AJ61" s="502"/>
      <c r="AK61" s="624"/>
      <c r="AM61" s="470"/>
      <c r="AN61" s="6"/>
      <c r="AO61" s="6">
        <v>25</v>
      </c>
      <c r="AP61" s="508"/>
      <c r="AQ61" s="469"/>
      <c r="AR61" s="6"/>
      <c r="AS61" s="6" t="s">
        <v>152</v>
      </c>
      <c r="AT61" s="624"/>
    </row>
    <row r="62" spans="1:46" ht="62.5" customHeight="1" x14ac:dyDescent="0.35">
      <c r="A62" s="1477"/>
      <c r="B62" s="500">
        <v>2</v>
      </c>
      <c r="C62" s="618"/>
      <c r="D62" s="619"/>
      <c r="E62" s="619">
        <v>32</v>
      </c>
      <c r="F62" s="620"/>
      <c r="G62" s="617"/>
      <c r="H62" s="576"/>
      <c r="I62" s="641" t="s">
        <v>152</v>
      </c>
      <c r="J62" s="568"/>
      <c r="K62" s="66"/>
      <c r="L62" s="470"/>
      <c r="M62" s="6"/>
      <c r="N62" s="6"/>
      <c r="O62" s="508"/>
      <c r="P62" s="623"/>
      <c r="Q62" s="665"/>
      <c r="R62" s="524"/>
      <c r="S62" s="624"/>
      <c r="T62" s="66"/>
      <c r="U62" s="470"/>
      <c r="V62" s="6"/>
      <c r="W62" s="6">
        <v>34</v>
      </c>
      <c r="X62" s="508"/>
      <c r="Y62" s="469"/>
      <c r="Z62" s="502"/>
      <c r="AA62" s="579" t="s">
        <v>152</v>
      </c>
      <c r="AB62" s="624"/>
      <c r="AC62" s="66"/>
      <c r="AD62" s="470"/>
      <c r="AE62" s="6"/>
      <c r="AF62" s="6"/>
      <c r="AG62" s="508"/>
      <c r="AH62" s="1491"/>
      <c r="AI62" s="1492"/>
      <c r="AJ62" s="1493"/>
      <c r="AK62" s="624"/>
      <c r="AM62" s="470"/>
      <c r="AN62" s="6"/>
      <c r="AO62" s="6"/>
      <c r="AP62" s="508"/>
      <c r="AQ62" s="509"/>
      <c r="AR62" s="6"/>
      <c r="AS62" s="502"/>
      <c r="AT62" s="624"/>
    </row>
    <row r="63" spans="1:46" ht="64.2" customHeight="1" x14ac:dyDescent="0.35">
      <c r="A63" s="1478">
        <v>45504</v>
      </c>
      <c r="B63" s="472">
        <v>1</v>
      </c>
      <c r="C63" s="587"/>
      <c r="D63" s="588"/>
      <c r="E63" s="588">
        <v>58</v>
      </c>
      <c r="F63" s="589"/>
      <c r="G63" s="598"/>
      <c r="H63" s="590"/>
      <c r="I63" s="641" t="s">
        <v>152</v>
      </c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>
        <v>50</v>
      </c>
      <c r="X63" s="495"/>
      <c r="Y63" s="566"/>
      <c r="Z63" s="514"/>
      <c r="AA63" s="579" t="s">
        <v>152</v>
      </c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528"/>
      <c r="AQ64" s="529"/>
      <c r="AR64" s="530"/>
      <c r="AS64" s="530"/>
      <c r="AT64" s="594"/>
    </row>
    <row r="65" spans="1:42" ht="23.5" customHeight="1" x14ac:dyDescent="0.35">
      <c r="A65" s="423" t="s">
        <v>225</v>
      </c>
      <c r="C65" s="631">
        <f>SUM(C3:C64)</f>
        <v>76</v>
      </c>
      <c r="D65" s="65">
        <f>SUM(D3:D64)</f>
        <v>51</v>
      </c>
      <c r="E65" s="631">
        <f>SUM(E3:E64)</f>
        <v>285</v>
      </c>
      <c r="F65" s="65">
        <f>SUM(F3:F64)</f>
        <v>13098</v>
      </c>
      <c r="L65" s="65">
        <f>SUM(L3:L64)</f>
        <v>210</v>
      </c>
      <c r="M65" s="65">
        <f>SUM(M3:M64)</f>
        <v>0</v>
      </c>
      <c r="N65" s="65">
        <f>SUM(N3:N64)</f>
        <v>91</v>
      </c>
      <c r="O65" s="65">
        <f>SUM(O3:O64)</f>
        <v>13098</v>
      </c>
      <c r="U65" s="65">
        <f>SUM(U3:U64)</f>
        <v>55</v>
      </c>
      <c r="V65" s="65">
        <f>SUM(V3:V64)</f>
        <v>28</v>
      </c>
      <c r="W65" s="65">
        <f>SUM(W3:W64)</f>
        <v>299</v>
      </c>
      <c r="X65" s="65">
        <f>SUM(X3:X64)</f>
        <v>15381</v>
      </c>
      <c r="AD65" s="65">
        <f>SUM(AD3:AD64)</f>
        <v>0</v>
      </c>
      <c r="AE65" s="65">
        <f>SUM(AE3:AE64)</f>
        <v>158</v>
      </c>
      <c r="AF65" s="65">
        <f>SUM(AF3:AF64)</f>
        <v>63</v>
      </c>
      <c r="AG65" s="65">
        <f>SUM(AG3:AG64)</f>
        <v>13098</v>
      </c>
      <c r="AM65" s="65">
        <f>SUM(AM3:AM64)</f>
        <v>0</v>
      </c>
      <c r="AN65" s="65">
        <f>SUM(AN3:AN64)</f>
        <v>9</v>
      </c>
      <c r="AO65" s="65">
        <f>SUM(AO3:AO64)</f>
        <v>400</v>
      </c>
      <c r="AP65" s="65">
        <f>SUM(AP3:AP64)</f>
        <v>13518</v>
      </c>
    </row>
    <row r="73" spans="1:42" ht="14.6" thickBot="1" x14ac:dyDescent="0.4"/>
    <row r="74" spans="1:42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21.75" customHeight="1" x14ac:dyDescent="0.4">
      <c r="B76" s="541" t="s">
        <v>218</v>
      </c>
      <c r="C76" s="542">
        <f>C65</f>
        <v>76</v>
      </c>
      <c r="D76" s="543">
        <f>C76/60</f>
        <v>1.2666666666666666</v>
      </c>
      <c r="E76" s="542">
        <f>D65</f>
        <v>51</v>
      </c>
      <c r="F76" s="544">
        <f>E76/60</f>
        <v>0.85</v>
      </c>
      <c r="G76" s="542">
        <f>E65</f>
        <v>285</v>
      </c>
      <c r="H76" s="543">
        <f>G76/60</f>
        <v>4.75</v>
      </c>
      <c r="I76" s="542">
        <f>F65</f>
        <v>13098</v>
      </c>
      <c r="J76" s="543">
        <f>I76/60</f>
        <v>218.3</v>
      </c>
    </row>
    <row r="77" spans="1:42" ht="19.5" customHeight="1" x14ac:dyDescent="0.4">
      <c r="B77" s="541" t="s">
        <v>219</v>
      </c>
      <c r="C77" s="545">
        <f>L65</f>
        <v>210</v>
      </c>
      <c r="D77" s="546">
        <f>C77/60</f>
        <v>3.5</v>
      </c>
      <c r="E77" s="545">
        <f>M65</f>
        <v>0</v>
      </c>
      <c r="F77" s="547">
        <f>E77/60</f>
        <v>0</v>
      </c>
      <c r="G77" s="545">
        <f>N65</f>
        <v>91</v>
      </c>
      <c r="H77" s="546">
        <f>G77/60</f>
        <v>1.5166666666666666</v>
      </c>
      <c r="I77" s="545">
        <f>O65</f>
        <v>13098</v>
      </c>
      <c r="J77" s="546">
        <f>I77/60</f>
        <v>218.3</v>
      </c>
    </row>
    <row r="78" spans="1:42" ht="20.25" customHeight="1" x14ac:dyDescent="0.4">
      <c r="B78" s="541" t="s">
        <v>220</v>
      </c>
      <c r="C78" s="545">
        <f>U65</f>
        <v>55</v>
      </c>
      <c r="D78" s="546">
        <f>C78/60</f>
        <v>0.91666666666666663</v>
      </c>
      <c r="E78" s="545">
        <f>V65</f>
        <v>28</v>
      </c>
      <c r="F78" s="547">
        <f>E78/60</f>
        <v>0.46666666666666667</v>
      </c>
      <c r="G78" s="545">
        <f>W65</f>
        <v>299</v>
      </c>
      <c r="H78" s="546">
        <f>G78/60</f>
        <v>4.9833333333333334</v>
      </c>
      <c r="I78" s="545">
        <f>X65</f>
        <v>15381</v>
      </c>
      <c r="J78" s="546">
        <f>I78/60</f>
        <v>256.35000000000002</v>
      </c>
    </row>
    <row r="79" spans="1:42" ht="22.5" customHeight="1" thickBot="1" x14ac:dyDescent="0.45">
      <c r="B79" s="541" t="s">
        <v>221</v>
      </c>
      <c r="C79" s="548">
        <f>AD65</f>
        <v>0</v>
      </c>
      <c r="D79" s="549">
        <f>C79/60</f>
        <v>0</v>
      </c>
      <c r="E79" s="548">
        <f>AE65</f>
        <v>158</v>
      </c>
      <c r="F79" s="550">
        <f>E79/60</f>
        <v>2.6333333333333333</v>
      </c>
      <c r="G79" s="548">
        <f>AF65</f>
        <v>63</v>
      </c>
      <c r="H79" s="549">
        <f>G79/60</f>
        <v>1.05</v>
      </c>
      <c r="I79" s="548">
        <f>AG65</f>
        <v>13098</v>
      </c>
      <c r="J79" s="549">
        <f>I79/60</f>
        <v>218.3</v>
      </c>
    </row>
    <row r="80" spans="1:42" ht="22.5" customHeight="1" thickBot="1" x14ac:dyDescent="0.45">
      <c r="B80" s="541" t="s">
        <v>488</v>
      </c>
      <c r="C80" s="643">
        <f>AM65</f>
        <v>0</v>
      </c>
      <c r="D80" s="642">
        <f>C80/60</f>
        <v>0</v>
      </c>
      <c r="E80" s="643">
        <f>AN65</f>
        <v>9</v>
      </c>
      <c r="F80" s="644">
        <f>E80/60</f>
        <v>0.15</v>
      </c>
      <c r="G80" s="643">
        <f>AO65</f>
        <v>400</v>
      </c>
      <c r="H80" s="642">
        <f>G80/60</f>
        <v>6.666666666666667</v>
      </c>
      <c r="I80" s="643">
        <f>AP65</f>
        <v>13518</v>
      </c>
      <c r="J80" s="642">
        <f>I80/60</f>
        <v>225.3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5.6833333333333336</v>
      </c>
      <c r="E82" s="556"/>
      <c r="F82" s="557">
        <f>SUM(F76:F80)</f>
        <v>4.1000000000000005</v>
      </c>
      <c r="G82" s="556"/>
      <c r="H82" s="557">
        <f>SUM(H76:H80)</f>
        <v>18.966666666666669</v>
      </c>
      <c r="I82" s="556"/>
      <c r="J82" s="558">
        <f>AVERAGE(J76:J80)</f>
        <v>227.31</v>
      </c>
    </row>
  </sheetData>
  <mergeCells count="48">
    <mergeCell ref="A5:A6"/>
    <mergeCell ref="C1:F1"/>
    <mergeCell ref="G1:J1"/>
    <mergeCell ref="L1:O1"/>
    <mergeCell ref="P1:S1"/>
    <mergeCell ref="AD1:AG1"/>
    <mergeCell ref="AH1:AK1"/>
    <mergeCell ref="AM1:AP1"/>
    <mergeCell ref="AQ1:AT1"/>
    <mergeCell ref="A3:A4"/>
    <mergeCell ref="U1:X1"/>
    <mergeCell ref="Y1:AB1"/>
    <mergeCell ref="A7:A8"/>
    <mergeCell ref="A9:A10"/>
    <mergeCell ref="A11:A12"/>
    <mergeCell ref="A13:A14"/>
    <mergeCell ref="AH14:AJ14"/>
    <mergeCell ref="A33:A34"/>
    <mergeCell ref="A15:A16"/>
    <mergeCell ref="A17:A18"/>
    <mergeCell ref="AQ18:AS18"/>
    <mergeCell ref="A19:A20"/>
    <mergeCell ref="A21:A22"/>
    <mergeCell ref="A23:A24"/>
    <mergeCell ref="A25:A26"/>
    <mergeCell ref="A27:A28"/>
    <mergeCell ref="A29:A30"/>
    <mergeCell ref="A31:A32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9:A60"/>
    <mergeCell ref="A61:A62"/>
    <mergeCell ref="AH62:AJ62"/>
    <mergeCell ref="A63:A64"/>
    <mergeCell ref="C74:D74"/>
    <mergeCell ref="E74:F74"/>
    <mergeCell ref="G74:H74"/>
    <mergeCell ref="I74:J74"/>
  </mergeCells>
  <pageMargins left="0.7" right="0.7" top="0.75" bottom="0.75" header="0.3" footer="0.3"/>
  <pageSetup paperSize="9" orientation="portrait" horizontalDpi="180" verticalDpi="18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T82"/>
  <sheetViews>
    <sheetView zoomScale="60" zoomScaleNormal="60" workbookViewId="0">
      <pane xSplit="2" ySplit="2" topLeftCell="C59" activePane="bottomRight" state="frozen"/>
      <selection pane="topRight" activeCell="C1" sqref="C1"/>
      <selection pane="bottomLeft" activeCell="A3" sqref="A3"/>
      <selection pane="bottomRight" sqref="A1:AT90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7.304687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3046875" style="423" customWidth="1"/>
    <col min="45" max="45" width="27.152343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7" t="s">
        <v>199</v>
      </c>
      <c r="AR2" s="655" t="s">
        <v>200</v>
      </c>
      <c r="AS2" s="655" t="s">
        <v>201</v>
      </c>
      <c r="AT2" s="655" t="s">
        <v>204</v>
      </c>
    </row>
    <row r="3" spans="1:46" ht="78" customHeight="1" x14ac:dyDescent="0.35">
      <c r="A3" s="1478">
        <v>45505</v>
      </c>
      <c r="B3" s="501">
        <v>1</v>
      </c>
      <c r="C3" s="490"/>
      <c r="D3" s="491"/>
      <c r="E3" s="6"/>
      <c r="F3" s="492"/>
      <c r="G3" s="566"/>
      <c r="H3" s="514"/>
      <c r="I3" s="515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6"/>
      <c r="X3" s="508"/>
      <c r="Y3" s="469"/>
      <c r="Z3" s="521"/>
      <c r="AA3" s="515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520"/>
      <c r="AQ3" s="521"/>
      <c r="AR3" s="538"/>
      <c r="AS3" s="502"/>
      <c r="AT3" s="520"/>
    </row>
    <row r="4" spans="1:46" ht="70.2" customHeight="1" x14ac:dyDescent="0.35">
      <c r="A4" s="1477"/>
      <c r="B4" s="472">
        <v>2</v>
      </c>
      <c r="C4" s="493"/>
      <c r="D4" s="494"/>
      <c r="E4" s="494"/>
      <c r="F4" s="495"/>
      <c r="G4" s="565"/>
      <c r="H4" s="514"/>
      <c r="I4" s="641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/>
      <c r="X4" s="508"/>
      <c r="Y4" s="469"/>
      <c r="Z4" s="515"/>
      <c r="AA4" s="579"/>
      <c r="AB4" s="603"/>
      <c r="AC4" s="66"/>
      <c r="AD4" s="470"/>
      <c r="AE4" s="6"/>
      <c r="AF4" s="6"/>
      <c r="AG4" s="508"/>
      <c r="AH4" s="509"/>
      <c r="AI4" s="515"/>
      <c r="AJ4" s="6"/>
      <c r="AK4" s="508"/>
      <c r="AM4" s="470"/>
      <c r="AN4" s="6"/>
      <c r="AO4" s="6"/>
      <c r="AP4" s="508"/>
      <c r="AQ4" s="509"/>
      <c r="AR4" s="515"/>
      <c r="AS4" s="6"/>
      <c r="AT4" s="508"/>
    </row>
    <row r="5" spans="1:46" ht="60" customHeight="1" x14ac:dyDescent="0.35">
      <c r="A5" s="1478">
        <v>45506</v>
      </c>
      <c r="B5" s="472">
        <v>1</v>
      </c>
      <c r="C5" s="493"/>
      <c r="D5" s="494"/>
      <c r="E5" s="494"/>
      <c r="F5" s="495"/>
      <c r="G5" s="565"/>
      <c r="H5" s="565"/>
      <c r="I5" s="641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514"/>
      <c r="AA5" s="579"/>
      <c r="AB5" s="604"/>
      <c r="AC5" s="66"/>
      <c r="AD5" s="470"/>
      <c r="AE5" s="6"/>
      <c r="AF5" s="6"/>
      <c r="AG5" s="508"/>
      <c r="AH5" s="509"/>
      <c r="AI5" s="6"/>
      <c r="AJ5" s="661"/>
      <c r="AK5" s="508"/>
      <c r="AM5" s="470"/>
      <c r="AN5" s="6"/>
      <c r="AO5" s="6"/>
      <c r="AP5" s="508"/>
      <c r="AQ5" s="509"/>
      <c r="AR5" s="6"/>
      <c r="AS5" s="502"/>
      <c r="AT5" s="526"/>
    </row>
    <row r="6" spans="1:46" ht="80.5" customHeight="1" x14ac:dyDescent="0.35">
      <c r="A6" s="1477"/>
      <c r="B6" s="472">
        <v>2</v>
      </c>
      <c r="C6" s="493"/>
      <c r="D6" s="494"/>
      <c r="E6" s="494"/>
      <c r="F6" s="495"/>
      <c r="G6" s="566"/>
      <c r="H6" s="515"/>
      <c r="I6" s="641"/>
      <c r="J6" s="527"/>
      <c r="K6" s="66"/>
      <c r="L6" s="470"/>
      <c r="M6" s="6"/>
      <c r="N6" s="6"/>
      <c r="O6" s="508"/>
      <c r="P6" s="509"/>
      <c r="Q6" s="514"/>
      <c r="R6" s="6"/>
      <c r="S6" s="527"/>
      <c r="T6" s="66"/>
      <c r="U6" s="470"/>
      <c r="V6" s="6"/>
      <c r="W6" s="6"/>
      <c r="X6" s="508"/>
      <c r="Y6" s="469"/>
      <c r="Z6" s="514"/>
      <c r="AA6" s="579"/>
      <c r="AB6" s="527"/>
      <c r="AC6" s="66"/>
      <c r="AD6" s="470"/>
      <c r="AE6" s="6"/>
      <c r="AF6" s="6"/>
      <c r="AG6" s="508"/>
      <c r="AH6" s="509"/>
      <c r="AI6" s="6"/>
      <c r="AJ6" s="6"/>
      <c r="AK6" s="527"/>
      <c r="AM6" s="470"/>
      <c r="AN6" s="6"/>
      <c r="AO6" s="6"/>
      <c r="AP6" s="47"/>
      <c r="AQ6" s="508"/>
      <c r="AR6" s="509"/>
      <c r="AS6" s="502"/>
      <c r="AT6" s="527"/>
    </row>
    <row r="7" spans="1:46" ht="71.5" customHeight="1" x14ac:dyDescent="0.35">
      <c r="A7" s="1478">
        <v>45507</v>
      </c>
      <c r="B7" s="472">
        <v>1</v>
      </c>
      <c r="C7" s="493"/>
      <c r="D7" s="494"/>
      <c r="E7" s="494"/>
      <c r="F7" s="495"/>
      <c r="G7" s="566"/>
      <c r="H7" s="515"/>
      <c r="I7" s="527"/>
      <c r="J7" s="527"/>
      <c r="K7" s="66"/>
      <c r="L7" s="470"/>
      <c r="M7" s="509"/>
      <c r="N7" s="6"/>
      <c r="O7" s="508"/>
      <c r="P7" s="509"/>
      <c r="Q7" s="660"/>
      <c r="R7" s="6"/>
      <c r="S7" s="508"/>
      <c r="T7" s="66"/>
      <c r="U7" s="470"/>
      <c r="V7" s="6"/>
      <c r="W7" s="6"/>
      <c r="X7" s="508"/>
      <c r="Y7" s="469"/>
      <c r="Z7" s="514"/>
      <c r="AA7" s="579"/>
      <c r="AB7" s="508"/>
      <c r="AC7" s="66"/>
      <c r="AD7" s="470"/>
      <c r="AE7" s="6"/>
      <c r="AF7" s="6"/>
      <c r="AG7" s="508"/>
      <c r="AH7" s="509"/>
      <c r="AI7" s="660"/>
      <c r="AJ7" s="527"/>
      <c r="AK7" s="508"/>
      <c r="AM7" s="470"/>
      <c r="AN7" s="6"/>
      <c r="AO7" s="6"/>
      <c r="AP7" s="47"/>
      <c r="AQ7" s="508"/>
      <c r="AR7" s="509"/>
      <c r="AS7" s="660"/>
      <c r="AT7" s="573"/>
    </row>
    <row r="8" spans="1:46" ht="69.650000000000006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641"/>
      <c r="J8" s="527"/>
      <c r="K8" s="66"/>
      <c r="L8" s="470">
        <v>458</v>
      </c>
      <c r="M8" s="6"/>
      <c r="N8" s="6"/>
      <c r="O8" s="508"/>
      <c r="P8" s="469" t="s">
        <v>583</v>
      </c>
      <c r="Q8" s="6"/>
      <c r="R8" s="502"/>
      <c r="S8" s="527"/>
      <c r="T8" s="66"/>
      <c r="U8" s="470"/>
      <c r="V8" s="470"/>
      <c r="W8" s="470"/>
      <c r="X8" s="508"/>
      <c r="Y8" s="469"/>
      <c r="Z8" s="666"/>
      <c r="AA8" s="504"/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/>
      <c r="AN8" s="6"/>
      <c r="AO8" s="6"/>
      <c r="AP8" s="47"/>
      <c r="AQ8" s="508"/>
      <c r="AR8" s="509"/>
      <c r="AS8" s="6"/>
      <c r="AT8" s="527"/>
    </row>
    <row r="9" spans="1:46" ht="76.95" customHeight="1" x14ac:dyDescent="0.35">
      <c r="A9" s="1478">
        <v>45508</v>
      </c>
      <c r="B9" s="472">
        <v>1</v>
      </c>
      <c r="C9" s="493"/>
      <c r="D9" s="494"/>
      <c r="E9" s="494"/>
      <c r="F9" s="495"/>
      <c r="G9" s="565"/>
      <c r="H9" s="514"/>
      <c r="I9" s="641"/>
      <c r="J9" s="527"/>
      <c r="K9" s="66"/>
      <c r="L9" s="470"/>
      <c r="M9" s="6"/>
      <c r="N9" s="6"/>
      <c r="O9" s="508"/>
      <c r="P9" s="469"/>
      <c r="Q9" s="6"/>
      <c r="R9" s="502"/>
      <c r="S9" s="527"/>
      <c r="T9" s="66"/>
      <c r="U9" s="470"/>
      <c r="V9" s="6"/>
      <c r="W9" s="6"/>
      <c r="X9" s="508"/>
      <c r="Y9" s="469"/>
      <c r="Z9" s="6"/>
      <c r="AA9" s="579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508"/>
      <c r="AR9" s="509"/>
      <c r="AS9" s="6"/>
      <c r="AT9" s="636"/>
    </row>
    <row r="10" spans="1:46" ht="67.2" customHeight="1" x14ac:dyDescent="0.35">
      <c r="A10" s="1477"/>
      <c r="B10" s="472">
        <v>2</v>
      </c>
      <c r="C10" s="493"/>
      <c r="D10" s="493"/>
      <c r="E10" s="493"/>
      <c r="F10" s="495"/>
      <c r="G10" s="667"/>
      <c r="H10" s="668"/>
      <c r="I10" s="669"/>
      <c r="J10" s="527"/>
      <c r="K10" s="66"/>
      <c r="L10" s="470"/>
      <c r="M10" s="6"/>
      <c r="N10" s="6"/>
      <c r="O10" s="508"/>
      <c r="P10" s="469"/>
      <c r="Q10" s="6"/>
      <c r="R10" s="502"/>
      <c r="S10" s="527"/>
      <c r="T10" s="66"/>
      <c r="U10" s="470"/>
      <c r="V10" s="6"/>
      <c r="W10" s="6"/>
      <c r="X10" s="508"/>
      <c r="Y10" s="469"/>
      <c r="Z10" s="469"/>
      <c r="AA10" s="579"/>
      <c r="AB10" s="527"/>
      <c r="AC10" s="66"/>
      <c r="AD10" s="470"/>
      <c r="AE10" s="6"/>
      <c r="AF10" s="6"/>
      <c r="AG10" s="508"/>
      <c r="AH10" s="469"/>
      <c r="AI10" s="502"/>
      <c r="AJ10" s="515"/>
      <c r="AK10" s="527"/>
      <c r="AM10" s="470">
        <v>460</v>
      </c>
      <c r="AN10" s="6"/>
      <c r="AO10" s="6"/>
      <c r="AP10" s="47"/>
      <c r="AQ10" s="508" t="s">
        <v>583</v>
      </c>
      <c r="AR10" s="509"/>
      <c r="AS10" s="6"/>
      <c r="AT10" s="527"/>
    </row>
    <row r="11" spans="1:46" ht="60" customHeight="1" x14ac:dyDescent="0.35">
      <c r="A11" s="1478">
        <v>45509</v>
      </c>
      <c r="B11" s="472">
        <v>1</v>
      </c>
      <c r="C11" s="493"/>
      <c r="D11" s="493"/>
      <c r="E11" s="493"/>
      <c r="F11" s="495"/>
      <c r="G11" s="667"/>
      <c r="H11" s="668"/>
      <c r="I11" s="669"/>
      <c r="J11" s="568"/>
      <c r="K11" s="66"/>
      <c r="L11" s="470"/>
      <c r="M11" s="6"/>
      <c r="N11" s="6"/>
      <c r="O11" s="508"/>
      <c r="P11" s="469"/>
      <c r="Q11" s="6"/>
      <c r="R11" s="502"/>
      <c r="S11" s="508"/>
      <c r="T11" s="66"/>
      <c r="U11" s="470"/>
      <c r="V11" s="6"/>
      <c r="W11" s="6"/>
      <c r="X11" s="508"/>
      <c r="Y11" s="469"/>
      <c r="Z11" s="6"/>
      <c r="AA11" s="579"/>
      <c r="AB11" s="508"/>
      <c r="AC11" s="66"/>
      <c r="AD11" s="470"/>
      <c r="AE11" s="6"/>
      <c r="AF11" s="6"/>
      <c r="AG11" s="508"/>
      <c r="AH11" s="509"/>
      <c r="AI11" s="6"/>
      <c r="AJ11" s="515"/>
      <c r="AK11" s="508"/>
      <c r="AM11" s="470"/>
      <c r="AN11" s="6"/>
      <c r="AO11" s="6"/>
      <c r="AP11" s="508"/>
      <c r="AQ11" s="509"/>
      <c r="AR11" s="6"/>
      <c r="AS11" s="6"/>
      <c r="AT11" s="526"/>
    </row>
    <row r="12" spans="1:46" ht="55.2" customHeight="1" x14ac:dyDescent="0.35">
      <c r="A12" s="1477"/>
      <c r="B12" s="472">
        <v>2</v>
      </c>
      <c r="C12" s="493">
        <v>392</v>
      </c>
      <c r="D12" s="494"/>
      <c r="E12" s="494"/>
      <c r="F12" s="495"/>
      <c r="G12" s="565" t="s">
        <v>583</v>
      </c>
      <c r="H12" s="514"/>
      <c r="I12" s="641"/>
      <c r="J12" s="527"/>
      <c r="K12" s="66"/>
      <c r="L12" s="470"/>
      <c r="M12" s="6"/>
      <c r="N12" s="6"/>
      <c r="O12" s="508"/>
      <c r="P12" s="469"/>
      <c r="Q12" s="6"/>
      <c r="R12" s="502"/>
      <c r="S12" s="527"/>
      <c r="T12" s="66"/>
      <c r="U12" s="470"/>
      <c r="V12" s="6"/>
      <c r="W12" s="6"/>
      <c r="X12" s="508"/>
      <c r="Y12" s="469"/>
      <c r="Z12" s="6"/>
      <c r="AA12" s="579"/>
      <c r="AB12" s="527"/>
      <c r="AC12" s="66"/>
      <c r="AD12" s="470"/>
      <c r="AE12" s="6"/>
      <c r="AF12" s="6"/>
      <c r="AG12" s="508"/>
      <c r="AH12" s="509"/>
      <c r="AI12" s="502"/>
      <c r="AJ12" s="502"/>
      <c r="AK12" s="527"/>
      <c r="AM12" s="470"/>
      <c r="AN12" s="6"/>
      <c r="AO12" s="6">
        <v>112</v>
      </c>
      <c r="AP12" s="508"/>
      <c r="AQ12" s="509"/>
      <c r="AR12" s="6"/>
      <c r="AS12" s="502" t="s">
        <v>152</v>
      </c>
      <c r="AT12" s="527"/>
    </row>
    <row r="13" spans="1:46" ht="34.950000000000003" customHeight="1" x14ac:dyDescent="0.35">
      <c r="A13" s="1478">
        <v>45510</v>
      </c>
      <c r="B13" s="472">
        <v>1</v>
      </c>
      <c r="C13" s="493"/>
      <c r="D13" s="494"/>
      <c r="E13" s="494"/>
      <c r="F13" s="495"/>
      <c r="G13" s="565"/>
      <c r="H13" s="514"/>
      <c r="I13" s="641"/>
      <c r="J13" s="527"/>
      <c r="K13" s="66"/>
      <c r="L13" s="470"/>
      <c r="M13" s="6"/>
      <c r="N13" s="6"/>
      <c r="O13" s="495"/>
      <c r="P13" s="509"/>
      <c r="Q13" s="6"/>
      <c r="R13" s="6"/>
      <c r="S13" s="527"/>
      <c r="T13" s="66"/>
      <c r="U13" s="470"/>
      <c r="V13" s="6"/>
      <c r="W13" s="6"/>
      <c r="X13" s="495"/>
      <c r="Y13" s="469"/>
      <c r="Z13" s="502"/>
      <c r="AA13" s="579"/>
      <c r="AB13" s="527"/>
      <c r="AC13" s="66"/>
      <c r="AD13" s="470"/>
      <c r="AE13" s="6"/>
      <c r="AF13" s="6"/>
      <c r="AG13" s="495"/>
      <c r="AH13" s="509"/>
      <c r="AI13" s="6"/>
      <c r="AJ13" s="502"/>
      <c r="AK13" s="527"/>
      <c r="AM13" s="470"/>
      <c r="AN13" s="6"/>
      <c r="AO13" s="6"/>
      <c r="AP13" s="495"/>
      <c r="AQ13" s="509"/>
      <c r="AR13" s="6"/>
      <c r="AS13" s="6"/>
      <c r="AT13" s="527"/>
    </row>
    <row r="14" spans="1:46" ht="49.2" customHeight="1" x14ac:dyDescent="0.35">
      <c r="A14" s="1477"/>
      <c r="B14" s="472">
        <v>2</v>
      </c>
      <c r="C14" s="493"/>
      <c r="D14" s="494"/>
      <c r="E14" s="494"/>
      <c r="F14" s="495"/>
      <c r="G14" s="565"/>
      <c r="H14" s="515"/>
      <c r="I14" s="641"/>
      <c r="J14" s="527"/>
      <c r="K14" s="66"/>
      <c r="L14" s="470"/>
      <c r="M14" s="6"/>
      <c r="N14" s="6"/>
      <c r="O14" s="495"/>
      <c r="P14" s="469"/>
      <c r="Q14" s="6"/>
      <c r="R14" s="6"/>
      <c r="S14" s="527"/>
      <c r="T14" s="66"/>
      <c r="U14" s="470">
        <v>388</v>
      </c>
      <c r="V14" s="6"/>
      <c r="W14" s="6"/>
      <c r="X14" s="495"/>
      <c r="Y14" s="469" t="s">
        <v>583</v>
      </c>
      <c r="Z14" s="502"/>
      <c r="AA14" s="579"/>
      <c r="AB14" s="527"/>
      <c r="AC14" s="66"/>
      <c r="AD14" s="470"/>
      <c r="AE14" s="6"/>
      <c r="AF14" s="6"/>
      <c r="AG14" s="495"/>
      <c r="AH14" s="1491"/>
      <c r="AI14" s="1492"/>
      <c r="AJ14" s="1493"/>
      <c r="AK14" s="527"/>
      <c r="AM14" s="470"/>
      <c r="AN14" s="6"/>
      <c r="AO14" s="6"/>
      <c r="AP14" s="495"/>
      <c r="AQ14" s="469"/>
      <c r="AR14" s="6"/>
      <c r="AS14" s="579"/>
      <c r="AT14" s="527"/>
    </row>
    <row r="15" spans="1:46" ht="48" customHeight="1" x14ac:dyDescent="0.35">
      <c r="A15" s="1478">
        <v>45511</v>
      </c>
      <c r="B15" s="472">
        <v>1</v>
      </c>
      <c r="C15" s="493"/>
      <c r="D15" s="494"/>
      <c r="E15" s="6"/>
      <c r="F15" s="495">
        <v>121</v>
      </c>
      <c r="G15" s="565"/>
      <c r="H15" s="515"/>
      <c r="I15" s="641"/>
      <c r="J15" s="527" t="s">
        <v>954</v>
      </c>
      <c r="K15" s="66"/>
      <c r="L15" s="470"/>
      <c r="M15" s="6"/>
      <c r="N15" s="6"/>
      <c r="O15" s="495">
        <v>98</v>
      </c>
      <c r="P15" s="566"/>
      <c r="Q15" s="515"/>
      <c r="R15" s="515"/>
      <c r="S15" s="527" t="s">
        <v>954</v>
      </c>
      <c r="T15" s="66"/>
      <c r="U15" s="470"/>
      <c r="V15" s="6"/>
      <c r="W15" s="6"/>
      <c r="X15" s="495">
        <v>110</v>
      </c>
      <c r="Y15" s="565"/>
      <c r="Z15" s="515"/>
      <c r="AA15" s="579"/>
      <c r="AB15" s="527" t="s">
        <v>954</v>
      </c>
      <c r="AC15" s="66"/>
      <c r="AD15" s="470"/>
      <c r="AE15" s="6"/>
      <c r="AF15" s="66"/>
      <c r="AG15" s="495">
        <v>127</v>
      </c>
      <c r="AH15" s="566"/>
      <c r="AI15" s="515"/>
      <c r="AJ15" s="502"/>
      <c r="AK15" s="527" t="s">
        <v>954</v>
      </c>
      <c r="AM15" s="470"/>
      <c r="AN15" s="6"/>
      <c r="AO15" s="66"/>
      <c r="AP15" s="566" t="s">
        <v>955</v>
      </c>
      <c r="AQ15" s="515"/>
      <c r="AR15" s="515"/>
      <c r="AS15" s="515"/>
      <c r="AT15" s="527" t="s">
        <v>954</v>
      </c>
    </row>
    <row r="16" spans="1:46" ht="54.65" customHeight="1" x14ac:dyDescent="0.35">
      <c r="A16" s="1477"/>
      <c r="B16" s="472">
        <v>2</v>
      </c>
      <c r="C16" s="493"/>
      <c r="D16" s="493"/>
      <c r="E16" s="493"/>
      <c r="F16" s="495"/>
      <c r="G16" s="670"/>
      <c r="H16" s="671"/>
      <c r="I16" s="672"/>
      <c r="J16" s="527"/>
      <c r="K16" s="66"/>
      <c r="L16" s="470"/>
      <c r="M16" s="6"/>
      <c r="N16" s="6"/>
      <c r="O16" s="495"/>
      <c r="P16" s="670"/>
      <c r="Q16" s="671"/>
      <c r="R16" s="672"/>
      <c r="S16" s="527"/>
      <c r="T16" s="66"/>
      <c r="U16" s="470"/>
      <c r="V16" s="6"/>
      <c r="W16" s="6"/>
      <c r="X16" s="495"/>
      <c r="Y16" s="670"/>
      <c r="Z16" s="671"/>
      <c r="AA16" s="672"/>
      <c r="AB16" s="527"/>
      <c r="AC16" s="66"/>
      <c r="AD16" s="470">
        <v>129</v>
      </c>
      <c r="AE16" s="6"/>
      <c r="AF16" s="6"/>
      <c r="AG16" s="495"/>
      <c r="AH16" s="673" t="s">
        <v>583</v>
      </c>
      <c r="AI16" s="671"/>
      <c r="AJ16" s="672"/>
      <c r="AK16" s="527"/>
      <c r="AM16" s="470"/>
      <c r="AN16" s="6"/>
      <c r="AO16" s="6"/>
      <c r="AP16" s="495"/>
      <c r="AQ16" s="670"/>
      <c r="AR16" s="671"/>
      <c r="AS16" s="672"/>
      <c r="AT16" s="527"/>
    </row>
    <row r="17" spans="1:46" ht="66" customHeight="1" x14ac:dyDescent="0.35">
      <c r="A17" s="1478">
        <v>45512</v>
      </c>
      <c r="B17" s="534">
        <v>1</v>
      </c>
      <c r="C17" s="493"/>
      <c r="D17" s="494"/>
      <c r="E17" s="494"/>
      <c r="F17" s="495"/>
      <c r="G17" s="566"/>
      <c r="H17" s="514"/>
      <c r="I17" s="641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/>
      <c r="X17" s="495"/>
      <c r="Y17" s="565"/>
      <c r="Z17" s="514"/>
      <c r="AA17" s="641"/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566"/>
      <c r="AQ17" s="514"/>
      <c r="AR17" s="515"/>
      <c r="AS17" s="579"/>
      <c r="AT17" s="527"/>
    </row>
    <row r="18" spans="1:46" ht="49.9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638"/>
      <c r="I18" s="641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494"/>
      <c r="X18" s="495"/>
      <c r="Y18" s="565"/>
      <c r="Z18" s="515"/>
      <c r="AA18" s="641"/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/>
      <c r="AP18" s="495"/>
      <c r="AQ18" s="1508"/>
      <c r="AR18" s="1509"/>
      <c r="AS18" s="1510"/>
      <c r="AT18" s="527"/>
    </row>
    <row r="19" spans="1:46" ht="33.65" customHeight="1" x14ac:dyDescent="0.35">
      <c r="A19" s="1478">
        <v>45513</v>
      </c>
      <c r="B19" s="472">
        <v>1</v>
      </c>
      <c r="C19" s="66"/>
      <c r="D19" s="494"/>
      <c r="E19" s="494"/>
      <c r="F19" s="495"/>
      <c r="G19" s="465"/>
      <c r="H19" s="6"/>
      <c r="I19" s="641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641"/>
      <c r="AB19" s="527"/>
      <c r="AC19" s="66"/>
      <c r="AD19" s="470"/>
      <c r="AE19" s="6"/>
      <c r="AF19" s="6"/>
      <c r="AG19" s="495"/>
      <c r="AH19" s="470"/>
      <c r="AI19" s="6"/>
      <c r="AJ19" s="579"/>
      <c r="AK19" s="527"/>
      <c r="AM19" s="470"/>
      <c r="AN19" s="6"/>
      <c r="AO19" s="6"/>
      <c r="AP19" s="495"/>
      <c r="AQ19" s="470"/>
      <c r="AR19" s="6"/>
      <c r="AS19" s="515"/>
      <c r="AT19" s="527"/>
    </row>
    <row r="20" spans="1:46" ht="44.5" customHeight="1" x14ac:dyDescent="0.35">
      <c r="A20" s="1477"/>
      <c r="B20" s="472">
        <v>2</v>
      </c>
      <c r="C20" s="493"/>
      <c r="D20" s="494"/>
      <c r="E20" s="494"/>
      <c r="F20" s="495"/>
      <c r="G20" s="465"/>
      <c r="H20" s="663"/>
      <c r="I20" s="641"/>
      <c r="J20" s="527"/>
      <c r="K20" s="66"/>
      <c r="L20" s="470"/>
      <c r="M20" s="6"/>
      <c r="N20" s="6"/>
      <c r="O20" s="495"/>
      <c r="P20" s="465"/>
      <c r="Q20" s="663"/>
      <c r="R20" s="641"/>
      <c r="S20" s="527"/>
      <c r="T20" s="66"/>
      <c r="U20" s="470"/>
      <c r="V20" s="6"/>
      <c r="W20" s="6"/>
      <c r="X20" s="495"/>
      <c r="Y20" s="465"/>
      <c r="Z20" s="663"/>
      <c r="AA20" s="641"/>
      <c r="AB20" s="527"/>
      <c r="AC20" s="66"/>
      <c r="AD20" s="470"/>
      <c r="AE20" s="6"/>
      <c r="AF20" s="6"/>
      <c r="AG20" s="495"/>
      <c r="AH20" s="465"/>
      <c r="AI20" s="663"/>
      <c r="AJ20" s="641"/>
      <c r="AK20" s="527"/>
      <c r="AM20" s="470"/>
      <c r="AN20" s="6"/>
      <c r="AO20" s="6"/>
      <c r="AP20" s="495"/>
      <c r="AQ20" s="465"/>
      <c r="AR20" s="663"/>
      <c r="AS20" s="641"/>
      <c r="AT20" s="527"/>
    </row>
    <row r="21" spans="1:46" ht="39.65" customHeight="1" x14ac:dyDescent="0.35">
      <c r="A21" s="1478">
        <v>45514</v>
      </c>
      <c r="B21" s="472">
        <v>1</v>
      </c>
      <c r="C21" s="493"/>
      <c r="D21" s="494"/>
      <c r="E21" s="494"/>
      <c r="F21" s="495">
        <v>565</v>
      </c>
      <c r="G21" s="569"/>
      <c r="H21" s="514"/>
      <c r="I21" s="641"/>
      <c r="J21" s="674" t="s">
        <v>797</v>
      </c>
      <c r="K21" s="66"/>
      <c r="L21" s="470"/>
      <c r="M21" s="6"/>
      <c r="N21" s="6"/>
      <c r="O21" s="495"/>
      <c r="P21" s="470">
        <v>565</v>
      </c>
      <c r="Q21" s="6"/>
      <c r="R21" s="6"/>
      <c r="S21" s="674" t="s">
        <v>797</v>
      </c>
      <c r="T21" s="66"/>
      <c r="U21" s="470"/>
      <c r="V21" s="6"/>
      <c r="W21" s="6"/>
      <c r="X21" s="495">
        <v>565</v>
      </c>
      <c r="Y21" s="465"/>
      <c r="Z21" s="6"/>
      <c r="AA21" s="641"/>
      <c r="AB21" s="674" t="s">
        <v>797</v>
      </c>
      <c r="AC21" s="66"/>
      <c r="AD21" s="470"/>
      <c r="AE21" s="6"/>
      <c r="AF21" s="6"/>
      <c r="AG21" s="495">
        <v>565</v>
      </c>
      <c r="AH21" s="470"/>
      <c r="AI21" s="6"/>
      <c r="AJ21" s="641"/>
      <c r="AK21" s="674" t="s">
        <v>797</v>
      </c>
      <c r="AM21" s="470"/>
      <c r="AN21" s="6"/>
      <c r="AO21" s="6"/>
      <c r="AP21" s="495">
        <v>565</v>
      </c>
      <c r="AQ21" s="470"/>
      <c r="AR21" s="502"/>
      <c r="AS21" s="47"/>
      <c r="AT21" s="674" t="s">
        <v>797</v>
      </c>
    </row>
    <row r="22" spans="1:46" ht="49.95" customHeight="1" x14ac:dyDescent="0.35">
      <c r="A22" s="1477"/>
      <c r="B22" s="472">
        <v>2</v>
      </c>
      <c r="C22" s="493"/>
      <c r="D22" s="494"/>
      <c r="E22" s="494"/>
      <c r="F22" s="495">
        <v>212</v>
      </c>
      <c r="G22" s="562"/>
      <c r="H22" s="515"/>
      <c r="I22" s="641"/>
      <c r="J22" s="674" t="s">
        <v>797</v>
      </c>
      <c r="K22" s="66"/>
      <c r="L22" s="470"/>
      <c r="M22" s="6"/>
      <c r="N22" s="6"/>
      <c r="O22" s="495">
        <v>207</v>
      </c>
      <c r="P22" s="469"/>
      <c r="Q22" s="515"/>
      <c r="R22" s="6"/>
      <c r="S22" s="674" t="s">
        <v>797</v>
      </c>
      <c r="T22" s="66"/>
      <c r="U22" s="470"/>
      <c r="V22" s="6"/>
      <c r="W22" s="6"/>
      <c r="X22" s="495">
        <v>204</v>
      </c>
      <c r="Y22" s="465"/>
      <c r="Z22" s="515"/>
      <c r="AA22" s="579"/>
      <c r="AB22" s="674" t="s">
        <v>797</v>
      </c>
      <c r="AC22" s="66"/>
      <c r="AD22" s="470"/>
      <c r="AE22" s="6"/>
      <c r="AF22" s="6"/>
      <c r="AG22" s="495">
        <v>218</v>
      </c>
      <c r="AH22" s="470"/>
      <c r="AI22" s="6"/>
      <c r="AJ22" s="579"/>
      <c r="AK22" s="674" t="s">
        <v>797</v>
      </c>
      <c r="AM22" s="470"/>
      <c r="AN22" s="6"/>
      <c r="AO22" s="6"/>
      <c r="AP22" s="495">
        <v>225</v>
      </c>
      <c r="AQ22" s="470"/>
      <c r="AR22" s="515"/>
      <c r="AS22" s="47"/>
      <c r="AT22" s="674" t="s">
        <v>797</v>
      </c>
    </row>
    <row r="23" spans="1:46" ht="47.5" customHeight="1" x14ac:dyDescent="0.35">
      <c r="A23" s="1478">
        <v>45515</v>
      </c>
      <c r="B23" s="534">
        <v>1</v>
      </c>
      <c r="C23" s="493"/>
      <c r="D23" s="494"/>
      <c r="E23" s="494"/>
      <c r="F23" s="495"/>
      <c r="G23" s="566"/>
      <c r="H23" s="514"/>
      <c r="I23" s="641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465"/>
      <c r="Z23" s="515"/>
      <c r="AA23" s="641"/>
      <c r="AB23" s="527"/>
      <c r="AC23" s="66"/>
      <c r="AD23" s="470"/>
      <c r="AE23" s="6"/>
      <c r="AF23" s="509"/>
      <c r="AG23" s="495"/>
      <c r="AH23" s="470"/>
      <c r="AI23" s="514"/>
      <c r="AJ23" s="515"/>
      <c r="AK23" s="527"/>
      <c r="AM23" s="470"/>
      <c r="AN23" s="6"/>
      <c r="AO23" s="6"/>
      <c r="AP23" s="495"/>
      <c r="AQ23" s="6"/>
      <c r="AR23" s="514"/>
      <c r="AS23" s="573"/>
      <c r="AT23" s="527"/>
    </row>
    <row r="24" spans="1:46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5"/>
      <c r="I24" s="641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6"/>
      <c r="V24" s="495"/>
      <c r="W24" s="566"/>
      <c r="X24" s="495"/>
      <c r="Y24" s="641"/>
      <c r="Z24" s="514"/>
      <c r="AA24" s="641"/>
      <c r="AB24" s="527"/>
      <c r="AC24" s="66"/>
      <c r="AD24" s="470"/>
      <c r="AE24" s="6"/>
      <c r="AF24" s="509"/>
      <c r="AG24" s="495"/>
      <c r="AH24" s="641"/>
      <c r="AI24" s="514"/>
      <c r="AJ24" s="515"/>
      <c r="AK24" s="527"/>
      <c r="AM24" s="470"/>
      <c r="AN24" s="6"/>
      <c r="AO24" s="6"/>
      <c r="AP24" s="495"/>
      <c r="AQ24" s="514"/>
      <c r="AR24" s="514"/>
      <c r="AS24" s="527"/>
      <c r="AT24" s="527"/>
    </row>
    <row r="25" spans="1:46" ht="53.5" customHeight="1" x14ac:dyDescent="0.35">
      <c r="A25" s="1478">
        <v>45516</v>
      </c>
      <c r="B25" s="472">
        <v>1</v>
      </c>
      <c r="C25" s="493"/>
      <c r="D25" s="494"/>
      <c r="E25" s="494"/>
      <c r="F25" s="495"/>
      <c r="G25" s="566"/>
      <c r="H25" s="514"/>
      <c r="I25" s="641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/>
      <c r="X25" s="495"/>
      <c r="Y25" s="465"/>
      <c r="Z25" s="502"/>
      <c r="AA25" s="579"/>
      <c r="AB25" s="527"/>
      <c r="AC25" s="66"/>
      <c r="AD25" s="470"/>
      <c r="AE25" s="6"/>
      <c r="AF25" s="6"/>
      <c r="AG25" s="495"/>
      <c r="AH25" s="6"/>
      <c r="AI25" s="502"/>
      <c r="AJ25" s="515"/>
      <c r="AK25" s="527"/>
      <c r="AM25" s="470"/>
      <c r="AN25" s="6"/>
      <c r="AO25" s="6">
        <v>42</v>
      </c>
      <c r="AP25" s="495"/>
      <c r="AQ25" s="6"/>
      <c r="AR25" s="6"/>
      <c r="AS25" s="47" t="s">
        <v>152</v>
      </c>
      <c r="AT25" s="527"/>
    </row>
    <row r="26" spans="1:46" ht="42" customHeight="1" x14ac:dyDescent="0.35">
      <c r="A26" s="1477"/>
      <c r="B26" s="472">
        <v>2</v>
      </c>
      <c r="C26" s="493"/>
      <c r="D26" s="494"/>
      <c r="E26" s="494">
        <v>72</v>
      </c>
      <c r="F26" s="495"/>
      <c r="G26" s="566"/>
      <c r="H26" s="515"/>
      <c r="I26" s="641" t="s">
        <v>82</v>
      </c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/>
      <c r="V26" s="494"/>
      <c r="W26" s="6"/>
      <c r="X26" s="495"/>
      <c r="Y26" s="641"/>
      <c r="Z26" s="515"/>
      <c r="AA26" s="579"/>
      <c r="AB26" s="527"/>
      <c r="AC26" s="66"/>
      <c r="AD26" s="470"/>
      <c r="AE26" s="494"/>
      <c r="AF26" s="6"/>
      <c r="AG26" s="495"/>
      <c r="AH26" s="641"/>
      <c r="AI26" s="515"/>
      <c r="AJ26" s="573"/>
      <c r="AK26" s="527"/>
      <c r="AM26" s="470"/>
      <c r="AN26" s="494"/>
      <c r="AO26" s="6">
        <v>35</v>
      </c>
      <c r="AP26" s="495"/>
      <c r="AQ26" s="566"/>
      <c r="AR26" s="515"/>
      <c r="AS26" s="47" t="s">
        <v>152</v>
      </c>
      <c r="AT26" s="527"/>
    </row>
    <row r="27" spans="1:46" ht="49.95" customHeight="1" x14ac:dyDescent="0.35">
      <c r="A27" s="1478">
        <v>45517</v>
      </c>
      <c r="B27" s="534">
        <v>1</v>
      </c>
      <c r="C27" s="493"/>
      <c r="D27" s="494"/>
      <c r="E27" s="494">
        <v>29</v>
      </c>
      <c r="F27" s="495"/>
      <c r="G27" s="566"/>
      <c r="H27" s="514"/>
      <c r="I27" s="573" t="s">
        <v>152</v>
      </c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>
        <v>32</v>
      </c>
      <c r="X27" s="495"/>
      <c r="Y27" s="566"/>
      <c r="Z27" s="515"/>
      <c r="AA27" s="579" t="s">
        <v>152</v>
      </c>
      <c r="AB27" s="527"/>
      <c r="AC27" s="66"/>
      <c r="AD27" s="470"/>
      <c r="AE27" s="6"/>
      <c r="AF27" s="6">
        <v>16</v>
      </c>
      <c r="AG27" s="495"/>
      <c r="AH27" s="566"/>
      <c r="AI27" s="502"/>
      <c r="AJ27" s="515" t="s">
        <v>152</v>
      </c>
      <c r="AK27" s="527"/>
      <c r="AM27" s="470"/>
      <c r="AN27" s="6"/>
      <c r="AO27" s="6"/>
      <c r="AP27" s="495"/>
      <c r="AQ27" s="502"/>
      <c r="AR27" s="6"/>
      <c r="AS27" s="573"/>
      <c r="AT27" s="527"/>
    </row>
    <row r="28" spans="1:46" ht="72" customHeight="1" x14ac:dyDescent="0.35">
      <c r="A28" s="1477"/>
      <c r="B28" s="472">
        <v>2</v>
      </c>
      <c r="C28" s="493"/>
      <c r="D28" s="494"/>
      <c r="E28" s="494"/>
      <c r="F28" s="495"/>
      <c r="G28" s="515"/>
      <c r="H28" s="515"/>
      <c r="I28" s="573"/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/>
      <c r="V28" s="6"/>
      <c r="W28" s="66"/>
      <c r="X28" s="495"/>
      <c r="Y28" s="515"/>
      <c r="Z28" s="6"/>
      <c r="AA28" s="579"/>
      <c r="AB28" s="527"/>
      <c r="AC28" s="66"/>
      <c r="AD28" s="470"/>
      <c r="AE28" s="6"/>
      <c r="AF28" s="6"/>
      <c r="AG28" s="495"/>
      <c r="AH28" s="566"/>
      <c r="AI28" s="502"/>
      <c r="AJ28" s="573"/>
      <c r="AK28" s="527"/>
      <c r="AM28" s="470"/>
      <c r="AN28" s="6"/>
      <c r="AO28" s="6">
        <v>18</v>
      </c>
      <c r="AP28" s="495"/>
      <c r="AQ28" s="502"/>
      <c r="AR28" s="6"/>
      <c r="AS28" s="47" t="s">
        <v>152</v>
      </c>
      <c r="AT28" s="527"/>
    </row>
    <row r="29" spans="1:46" ht="66" customHeight="1" x14ac:dyDescent="0.35">
      <c r="A29" s="1478">
        <v>45518</v>
      </c>
      <c r="B29" s="472">
        <v>1</v>
      </c>
      <c r="C29" s="493"/>
      <c r="D29" s="494"/>
      <c r="E29" s="494"/>
      <c r="F29" s="495"/>
      <c r="G29" s="515"/>
      <c r="H29" s="514"/>
      <c r="I29" s="573"/>
      <c r="J29" s="527"/>
      <c r="K29" s="66"/>
      <c r="L29" s="470"/>
      <c r="M29" s="6"/>
      <c r="N29" s="6"/>
      <c r="O29" s="495"/>
      <c r="P29" s="566"/>
      <c r="Q29" s="515"/>
      <c r="R29" s="515"/>
      <c r="S29" s="527"/>
      <c r="T29" s="66"/>
      <c r="U29" s="470"/>
      <c r="V29" s="6"/>
      <c r="W29" s="6"/>
      <c r="X29" s="495"/>
      <c r="Y29" s="515"/>
      <c r="Z29" s="514"/>
      <c r="AA29" s="579"/>
      <c r="AB29" s="527"/>
      <c r="AC29" s="66"/>
      <c r="AD29" s="470"/>
      <c r="AE29" s="6">
        <v>54</v>
      </c>
      <c r="AF29" s="6"/>
      <c r="AG29" s="495"/>
      <c r="AH29" s="566"/>
      <c r="AI29" s="514"/>
      <c r="AJ29" s="515" t="s">
        <v>956</v>
      </c>
      <c r="AK29" s="527"/>
      <c r="AM29" s="470"/>
      <c r="AN29" s="6"/>
      <c r="AO29" s="6">
        <v>28</v>
      </c>
      <c r="AP29" s="495"/>
      <c r="AQ29" s="502"/>
      <c r="AR29" s="514"/>
      <c r="AS29" s="47" t="s">
        <v>152</v>
      </c>
      <c r="AT29" s="527"/>
    </row>
    <row r="30" spans="1:46" ht="39.65" customHeight="1" x14ac:dyDescent="0.35">
      <c r="A30" s="1477"/>
      <c r="B30" s="534">
        <v>2</v>
      </c>
      <c r="C30" s="493"/>
      <c r="D30" s="494"/>
      <c r="E30" s="494"/>
      <c r="F30" s="495"/>
      <c r="G30" s="515"/>
      <c r="H30" s="514"/>
      <c r="I30" s="573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/>
      <c r="X30" s="495"/>
      <c r="Y30" s="515"/>
      <c r="Z30" s="514"/>
      <c r="AA30" s="579"/>
      <c r="AB30" s="527"/>
      <c r="AC30" s="66"/>
      <c r="AD30" s="470"/>
      <c r="AE30" s="6"/>
      <c r="AF30" s="6"/>
      <c r="AG30" s="495"/>
      <c r="AH30" s="566"/>
      <c r="AI30" s="515"/>
      <c r="AJ30" s="515"/>
      <c r="AK30" s="527"/>
      <c r="AM30" s="470"/>
      <c r="AN30" s="6"/>
      <c r="AO30" s="6"/>
      <c r="AP30" s="495"/>
      <c r="AQ30" s="469"/>
      <c r="AR30" s="502"/>
      <c r="AS30" s="636"/>
      <c r="AT30" s="527"/>
    </row>
    <row r="31" spans="1:46" ht="39.65" customHeight="1" x14ac:dyDescent="0.35">
      <c r="A31" s="1478">
        <v>45519</v>
      </c>
      <c r="B31" s="472">
        <v>1</v>
      </c>
      <c r="C31" s="493"/>
      <c r="D31" s="494"/>
      <c r="E31" s="494"/>
      <c r="F31" s="495"/>
      <c r="G31" s="566"/>
      <c r="H31" s="515"/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469"/>
      <c r="Z31" s="6"/>
      <c r="AA31" s="579"/>
      <c r="AB31" s="527"/>
      <c r="AC31" s="66"/>
      <c r="AD31" s="470"/>
      <c r="AE31" s="6"/>
      <c r="AF31" s="6"/>
      <c r="AG31" s="495"/>
      <c r="AH31" s="566"/>
      <c r="AI31" s="6"/>
      <c r="AJ31" s="6"/>
      <c r="AK31" s="527"/>
      <c r="AM31" s="470"/>
      <c r="AN31" s="6"/>
      <c r="AO31" s="6"/>
      <c r="AP31" s="495"/>
      <c r="AQ31" s="509"/>
      <c r="AR31" s="6"/>
      <c r="AS31" s="6"/>
      <c r="AT31" s="527"/>
    </row>
    <row r="32" spans="1:46" ht="63" customHeight="1" x14ac:dyDescent="0.35">
      <c r="A32" s="1477"/>
      <c r="B32" s="472">
        <v>2</v>
      </c>
      <c r="C32" s="493"/>
      <c r="D32" s="494"/>
      <c r="E32" s="494"/>
      <c r="F32" s="495"/>
      <c r="G32" s="566"/>
      <c r="H32" s="565"/>
      <c r="I32" s="573"/>
      <c r="J32" s="527"/>
      <c r="K32" s="66"/>
      <c r="L32" s="470"/>
      <c r="M32" s="6"/>
      <c r="N32" s="6"/>
      <c r="O32" s="495"/>
      <c r="P32" s="509"/>
      <c r="Q32" s="6"/>
      <c r="R32" s="6"/>
      <c r="S32" s="527"/>
      <c r="T32" s="66"/>
      <c r="U32" s="470"/>
      <c r="V32" s="6"/>
      <c r="W32" s="494"/>
      <c r="X32" s="495"/>
      <c r="Y32" s="566"/>
      <c r="Z32" s="566"/>
      <c r="AA32" s="579"/>
      <c r="AB32" s="527"/>
      <c r="AC32" s="66"/>
      <c r="AD32" s="470"/>
      <c r="AE32" s="6"/>
      <c r="AF32" s="494"/>
      <c r="AG32" s="495"/>
      <c r="AH32" s="566"/>
      <c r="AI32" s="566"/>
      <c r="AJ32" s="579"/>
      <c r="AK32" s="527"/>
      <c r="AM32" s="470"/>
      <c r="AN32" s="6"/>
      <c r="AO32" s="6"/>
      <c r="AP32" s="495"/>
      <c r="AQ32" s="509"/>
      <c r="AR32" s="502"/>
      <c r="AS32" s="565"/>
      <c r="AT32" s="527"/>
    </row>
    <row r="33" spans="1:46" ht="43.2" customHeight="1" x14ac:dyDescent="0.35">
      <c r="A33" s="1478">
        <v>45520</v>
      </c>
      <c r="B33" s="472">
        <v>1</v>
      </c>
      <c r="C33" s="493"/>
      <c r="D33" s="494"/>
      <c r="E33" s="494"/>
      <c r="F33" s="495"/>
      <c r="G33" s="566"/>
      <c r="H33" s="515"/>
      <c r="I33" s="579"/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/>
      <c r="X33" s="495"/>
      <c r="Y33" s="509"/>
      <c r="Z33" s="6"/>
      <c r="AA33" s="579"/>
      <c r="AB33" s="527"/>
      <c r="AC33" s="66"/>
      <c r="AD33" s="470"/>
      <c r="AE33" s="6"/>
      <c r="AF33" s="6"/>
      <c r="AG33" s="495"/>
      <c r="AH33" s="509"/>
      <c r="AI33" s="502"/>
      <c r="AJ33" s="579"/>
      <c r="AK33" s="527"/>
      <c r="AM33" s="470"/>
      <c r="AN33" s="6"/>
      <c r="AO33" s="6"/>
      <c r="AP33" s="495"/>
      <c r="AQ33" s="509"/>
      <c r="AR33" s="502"/>
      <c r="AS33" s="6"/>
      <c r="AT33" s="527"/>
    </row>
    <row r="34" spans="1:46" ht="67.95" customHeight="1" x14ac:dyDescent="0.35">
      <c r="A34" s="1477"/>
      <c r="B34" s="534">
        <v>2</v>
      </c>
      <c r="C34" s="494"/>
      <c r="D34" s="494"/>
      <c r="E34" s="494"/>
      <c r="F34" s="495"/>
      <c r="G34" s="565"/>
      <c r="H34" s="515"/>
      <c r="I34" s="579"/>
      <c r="J34" s="527"/>
      <c r="K34" s="66"/>
      <c r="L34" s="470"/>
      <c r="M34" s="6"/>
      <c r="N34" s="6"/>
      <c r="O34" s="495"/>
      <c r="P34" s="509"/>
      <c r="Q34" s="515"/>
      <c r="R34" s="6"/>
      <c r="S34" s="527"/>
      <c r="T34" s="66"/>
      <c r="U34" s="470"/>
      <c r="V34" s="6"/>
      <c r="W34" s="6"/>
      <c r="X34" s="495"/>
      <c r="Y34" s="502"/>
      <c r="Z34" s="502"/>
      <c r="AA34" s="579"/>
      <c r="AB34" s="527"/>
      <c r="AC34" s="66"/>
      <c r="AD34" s="470"/>
      <c r="AE34" s="6"/>
      <c r="AF34" s="6"/>
      <c r="AG34" s="495"/>
      <c r="AH34" s="509"/>
      <c r="AI34" s="6"/>
      <c r="AJ34" s="502"/>
      <c r="AK34" s="527"/>
      <c r="AM34" s="470"/>
      <c r="AN34" s="6"/>
      <c r="AO34" s="6"/>
      <c r="AP34" s="495"/>
      <c r="AQ34" s="509"/>
      <c r="AR34" s="6"/>
      <c r="AS34" s="636"/>
      <c r="AT34" s="527"/>
    </row>
    <row r="35" spans="1:46" ht="51" customHeight="1" x14ac:dyDescent="0.35">
      <c r="A35" s="1478">
        <v>45521</v>
      </c>
      <c r="B35" s="472">
        <v>1</v>
      </c>
      <c r="C35" s="494"/>
      <c r="D35" s="494"/>
      <c r="E35" s="47"/>
      <c r="F35" s="495"/>
      <c r="G35" s="465"/>
      <c r="H35" s="509"/>
      <c r="I35" s="573"/>
      <c r="J35" s="527"/>
      <c r="K35" s="66"/>
      <c r="L35" s="470"/>
      <c r="M35" s="6"/>
      <c r="N35" s="6"/>
      <c r="O35" s="495"/>
      <c r="P35" s="465"/>
      <c r="Q35" s="576"/>
      <c r="R35" s="515"/>
      <c r="S35" s="527"/>
      <c r="T35" s="66"/>
      <c r="U35" s="470"/>
      <c r="V35" s="6"/>
      <c r="W35" s="47"/>
      <c r="X35" s="495"/>
      <c r="Y35" s="465"/>
      <c r="Z35" s="502"/>
      <c r="AA35" s="579"/>
      <c r="AB35" s="527"/>
      <c r="AC35" s="66"/>
      <c r="AD35" s="470"/>
      <c r="AE35" s="6"/>
      <c r="AF35" s="6"/>
      <c r="AG35" s="495"/>
      <c r="AH35" s="465"/>
      <c r="AI35" s="6"/>
      <c r="AJ35" s="565"/>
      <c r="AK35" s="527"/>
      <c r="AM35" s="470"/>
      <c r="AN35" s="6"/>
      <c r="AO35" s="47"/>
      <c r="AP35" s="495"/>
      <c r="AQ35" s="465"/>
      <c r="AR35" s="573"/>
      <c r="AS35" s="636"/>
      <c r="AT35" s="527"/>
    </row>
    <row r="36" spans="1:46" ht="46.95" customHeight="1" x14ac:dyDescent="0.35">
      <c r="A36" s="1477"/>
      <c r="B36" s="472">
        <v>2</v>
      </c>
      <c r="C36" s="47"/>
      <c r="D36" s="6"/>
      <c r="E36" s="47"/>
      <c r="F36" s="495"/>
      <c r="G36" s="573"/>
      <c r="H36" s="515"/>
      <c r="I36" s="641"/>
      <c r="J36" s="527"/>
      <c r="K36" s="66"/>
      <c r="L36" s="465"/>
      <c r="M36" s="6"/>
      <c r="N36" s="6"/>
      <c r="O36" s="495"/>
      <c r="P36" s="465"/>
      <c r="Q36" s="515"/>
      <c r="R36" s="502"/>
      <c r="S36" s="527"/>
      <c r="T36" s="66"/>
      <c r="U36" s="470"/>
      <c r="V36" s="6"/>
      <c r="W36" s="6"/>
      <c r="X36" s="495"/>
      <c r="Y36" s="465"/>
      <c r="Z36" s="515"/>
      <c r="AA36" s="579"/>
      <c r="AB36" s="527"/>
      <c r="AC36" s="66"/>
      <c r="AD36" s="470"/>
      <c r="AE36" s="6"/>
      <c r="AF36" s="47"/>
      <c r="AG36" s="495"/>
      <c r="AH36" s="465"/>
      <c r="AI36" s="502"/>
      <c r="AJ36" s="579"/>
      <c r="AK36" s="527"/>
      <c r="AM36" s="470"/>
      <c r="AN36" s="6"/>
      <c r="AO36" s="470"/>
      <c r="AP36" s="495"/>
      <c r="AQ36" s="509"/>
      <c r="AR36" s="469"/>
      <c r="AS36" s="465"/>
      <c r="AT36" s="527"/>
    </row>
    <row r="37" spans="1:46" ht="59.5" customHeight="1" x14ac:dyDescent="0.35">
      <c r="A37" s="1478">
        <v>45522</v>
      </c>
      <c r="B37" s="534">
        <v>1</v>
      </c>
      <c r="C37" s="47"/>
      <c r="D37" s="494"/>
      <c r="E37" s="47">
        <v>28</v>
      </c>
      <c r="F37" s="495"/>
      <c r="G37" s="573"/>
      <c r="H37" s="469"/>
      <c r="I37" s="641" t="s">
        <v>152</v>
      </c>
      <c r="J37" s="527"/>
      <c r="K37" s="66"/>
      <c r="L37" s="470"/>
      <c r="M37" s="6"/>
      <c r="N37" s="6"/>
      <c r="O37" s="495"/>
      <c r="P37" s="509"/>
      <c r="Q37" s="6"/>
      <c r="R37" s="6"/>
      <c r="S37" s="527"/>
      <c r="T37" s="66"/>
      <c r="U37" s="470"/>
      <c r="V37" s="6"/>
      <c r="W37" s="6">
        <v>91</v>
      </c>
      <c r="X37" s="495"/>
      <c r="Y37" s="509"/>
      <c r="Z37" s="502"/>
      <c r="AA37" s="579" t="s">
        <v>152</v>
      </c>
      <c r="AB37" s="527"/>
      <c r="AC37" s="66"/>
      <c r="AD37" s="470"/>
      <c r="AE37" s="6"/>
      <c r="AF37" s="6"/>
      <c r="AG37" s="495"/>
      <c r="AH37" s="469"/>
      <c r="AI37" s="6"/>
      <c r="AJ37" s="579"/>
      <c r="AK37" s="527"/>
      <c r="AM37" s="470"/>
      <c r="AN37" s="6"/>
      <c r="AO37" s="6"/>
      <c r="AP37" s="495"/>
      <c r="AQ37" s="509"/>
      <c r="AR37" s="6"/>
      <c r="AS37" s="6"/>
      <c r="AT37" s="527"/>
    </row>
    <row r="38" spans="1:46" ht="55.95" customHeight="1" x14ac:dyDescent="0.35">
      <c r="A38" s="1477"/>
      <c r="B38" s="472">
        <v>2</v>
      </c>
      <c r="C38" s="47"/>
      <c r="D38" s="494"/>
      <c r="E38" s="47"/>
      <c r="F38" s="637"/>
      <c r="G38" s="573"/>
      <c r="H38" s="469"/>
      <c r="I38" s="641"/>
      <c r="J38" s="527"/>
      <c r="K38" s="66"/>
      <c r="L38" s="470"/>
      <c r="M38" s="6"/>
      <c r="N38" s="6"/>
      <c r="O38" s="508"/>
      <c r="P38" s="469"/>
      <c r="Q38" s="469"/>
      <c r="R38" s="6"/>
      <c r="S38" s="527"/>
      <c r="T38" s="66"/>
      <c r="U38" s="470">
        <v>360</v>
      </c>
      <c r="V38" s="6"/>
      <c r="W38" s="6"/>
      <c r="X38" s="508"/>
      <c r="Y38" s="469" t="s">
        <v>957</v>
      </c>
      <c r="Z38" s="502"/>
      <c r="AA38" s="579"/>
      <c r="AB38" s="527"/>
      <c r="AC38" s="66"/>
      <c r="AD38" s="470">
        <v>48</v>
      </c>
      <c r="AE38" s="6"/>
      <c r="AF38" s="6"/>
      <c r="AG38" s="508"/>
      <c r="AH38" s="469" t="s">
        <v>958</v>
      </c>
      <c r="AI38" s="6"/>
      <c r="AJ38" s="579"/>
      <c r="AK38" s="527"/>
      <c r="AM38" s="470"/>
      <c r="AN38" s="6"/>
      <c r="AO38" s="6"/>
      <c r="AP38" s="508"/>
      <c r="AQ38" s="469"/>
      <c r="AR38" s="6"/>
      <c r="AS38" s="465"/>
      <c r="AT38" s="527"/>
    </row>
    <row r="39" spans="1:46" ht="70.95" customHeight="1" x14ac:dyDescent="0.35">
      <c r="A39" s="1478">
        <v>45523</v>
      </c>
      <c r="B39" s="472">
        <v>1</v>
      </c>
      <c r="C39" s="47"/>
      <c r="D39" s="494"/>
      <c r="E39" s="47"/>
      <c r="F39" s="637"/>
      <c r="G39" s="573"/>
      <c r="H39" s="469"/>
      <c r="I39" s="641"/>
      <c r="J39" s="527"/>
      <c r="K39" s="66"/>
      <c r="L39" s="470"/>
      <c r="M39" s="6"/>
      <c r="N39" s="6"/>
      <c r="O39" s="495"/>
      <c r="P39" s="573"/>
      <c r="Q39" s="514"/>
      <c r="R39" s="6"/>
      <c r="S39" s="527"/>
      <c r="T39" s="66"/>
      <c r="U39" s="470"/>
      <c r="V39" s="6"/>
      <c r="W39" s="6"/>
      <c r="X39" s="495"/>
      <c r="Y39" s="509"/>
      <c r="Z39" s="514"/>
      <c r="AA39" s="579"/>
      <c r="AB39" s="527"/>
      <c r="AC39" s="66"/>
      <c r="AD39" s="470"/>
      <c r="AE39" s="6"/>
      <c r="AF39" s="6"/>
      <c r="AG39" s="495"/>
      <c r="AH39" s="573"/>
      <c r="AI39" s="514"/>
      <c r="AJ39" s="579"/>
      <c r="AK39" s="527"/>
      <c r="AM39" s="470">
        <v>25</v>
      </c>
      <c r="AN39" s="6"/>
      <c r="AO39" s="6"/>
      <c r="AP39" s="573"/>
      <c r="AQ39" s="515" t="s">
        <v>959</v>
      </c>
      <c r="AR39" s="573"/>
      <c r="AS39" s="579"/>
      <c r="AT39" s="568"/>
    </row>
    <row r="40" spans="1:46" ht="72.650000000000006" customHeight="1" x14ac:dyDescent="0.35">
      <c r="A40" s="1477"/>
      <c r="B40" s="472">
        <v>2</v>
      </c>
      <c r="C40" s="494"/>
      <c r="D40" s="494"/>
      <c r="E40" s="494"/>
      <c r="F40" s="508"/>
      <c r="G40" s="573"/>
      <c r="H40" s="469"/>
      <c r="I40" s="469"/>
      <c r="J40" s="527"/>
      <c r="K40" s="66"/>
      <c r="L40" s="470"/>
      <c r="M40" s="6"/>
      <c r="N40" s="6"/>
      <c r="O40" s="508"/>
      <c r="P40" s="566"/>
      <c r="Q40" s="514"/>
      <c r="R40" s="573"/>
      <c r="S40" s="527"/>
      <c r="T40" s="66"/>
      <c r="U40" s="470"/>
      <c r="V40" s="6"/>
      <c r="W40" s="6"/>
      <c r="X40" s="508"/>
      <c r="Y40" s="566"/>
      <c r="Z40" s="514"/>
      <c r="AA40" s="579"/>
      <c r="AB40" s="527"/>
      <c r="AC40" s="66"/>
      <c r="AD40" s="470"/>
      <c r="AE40" s="6"/>
      <c r="AF40" s="6"/>
      <c r="AG40" s="508"/>
      <c r="AH40" s="465"/>
      <c r="AI40" s="515"/>
      <c r="AJ40" s="579"/>
      <c r="AK40" s="527"/>
      <c r="AM40" s="465"/>
      <c r="AN40" s="6"/>
      <c r="AO40" s="6"/>
      <c r="AP40" s="508"/>
      <c r="AQ40" s="566"/>
      <c r="AR40" s="514"/>
      <c r="AS40" s="573"/>
      <c r="AT40" s="527"/>
    </row>
    <row r="41" spans="1:46" ht="39.65" customHeight="1" x14ac:dyDescent="0.35">
      <c r="A41" s="1478">
        <v>45524</v>
      </c>
      <c r="B41" s="472">
        <v>1</v>
      </c>
      <c r="C41" s="493"/>
      <c r="D41" s="494"/>
      <c r="E41" s="494"/>
      <c r="F41" s="508"/>
      <c r="G41" s="566"/>
      <c r="H41" s="515"/>
      <c r="I41" s="515"/>
      <c r="J41" s="527"/>
      <c r="K41" s="66"/>
      <c r="L41" s="470"/>
      <c r="M41" s="6"/>
      <c r="N41" s="6"/>
      <c r="O41" s="508"/>
      <c r="P41" s="509"/>
      <c r="Q41" s="6"/>
      <c r="R41" s="573"/>
      <c r="S41" s="527"/>
      <c r="T41" s="66"/>
      <c r="U41" s="470"/>
      <c r="V41" s="6"/>
      <c r="W41" s="6"/>
      <c r="X41" s="508"/>
      <c r="Y41" s="509"/>
      <c r="Z41" s="502"/>
      <c r="AA41" s="579"/>
      <c r="AB41" s="508"/>
      <c r="AC41" s="66"/>
      <c r="AD41" s="470"/>
      <c r="AE41" s="6"/>
      <c r="AF41" s="6"/>
      <c r="AG41" s="508"/>
      <c r="AH41" s="465"/>
      <c r="AI41" s="502"/>
      <c r="AJ41" s="6"/>
      <c r="AK41" s="508"/>
      <c r="AM41" s="470"/>
      <c r="AN41" s="6"/>
      <c r="AO41" s="6"/>
      <c r="AP41" s="508"/>
      <c r="AQ41" s="509"/>
      <c r="AR41" s="502"/>
      <c r="AS41" s="573"/>
      <c r="AT41" s="508"/>
    </row>
    <row r="42" spans="1:46" ht="52.95" customHeight="1" x14ac:dyDescent="0.35">
      <c r="A42" s="1477"/>
      <c r="B42" s="472">
        <v>2</v>
      </c>
      <c r="C42" s="494"/>
      <c r="D42" s="494"/>
      <c r="E42" s="494"/>
      <c r="F42" s="508"/>
      <c r="G42" s="566"/>
      <c r="H42" s="515"/>
      <c r="I42" s="573"/>
      <c r="J42" s="527"/>
      <c r="K42" s="66"/>
      <c r="L42" s="470"/>
      <c r="M42" s="6"/>
      <c r="N42" s="6"/>
      <c r="O42" s="508"/>
      <c r="P42" s="509"/>
      <c r="Q42" s="502"/>
      <c r="R42" s="6"/>
      <c r="S42" s="527"/>
      <c r="T42" s="66"/>
      <c r="U42" s="470"/>
      <c r="V42" s="6"/>
      <c r="W42" s="6"/>
      <c r="X42" s="508"/>
      <c r="Y42" s="469"/>
      <c r="Z42" s="6"/>
      <c r="AA42" s="579"/>
      <c r="AB42" s="527"/>
      <c r="AC42" s="66"/>
      <c r="AD42" s="470"/>
      <c r="AE42" s="6"/>
      <c r="AF42" s="6"/>
      <c r="AG42" s="508"/>
      <c r="AH42" s="509"/>
      <c r="AI42" s="502"/>
      <c r="AJ42" s="6"/>
      <c r="AK42" s="527"/>
      <c r="AM42" s="470"/>
      <c r="AN42" s="6"/>
      <c r="AO42" s="6"/>
      <c r="AP42" s="508"/>
      <c r="AQ42" s="509"/>
      <c r="AR42" s="6"/>
      <c r="AS42" s="6"/>
      <c r="AT42" s="527"/>
    </row>
    <row r="43" spans="1:46" ht="65.5" customHeight="1" x14ac:dyDescent="0.35">
      <c r="A43" s="1478">
        <v>45525</v>
      </c>
      <c r="B43" s="472">
        <v>1</v>
      </c>
      <c r="C43" s="494"/>
      <c r="D43" s="494"/>
      <c r="E43" s="494">
        <v>34</v>
      </c>
      <c r="F43" s="495"/>
      <c r="G43" s="514"/>
      <c r="H43" s="514"/>
      <c r="I43" s="641" t="s">
        <v>152</v>
      </c>
      <c r="J43" s="527"/>
      <c r="K43" s="66"/>
      <c r="L43" s="470"/>
      <c r="M43" s="6"/>
      <c r="N43" s="6"/>
      <c r="O43" s="508"/>
      <c r="P43" s="509"/>
      <c r="Q43" s="6"/>
      <c r="R43" s="6"/>
      <c r="S43" s="527"/>
      <c r="T43" s="66"/>
      <c r="U43" s="470"/>
      <c r="V43" s="6"/>
      <c r="W43" s="6"/>
      <c r="X43" s="508"/>
      <c r="Y43" s="509"/>
      <c r="Z43" s="6"/>
      <c r="AA43" s="579"/>
      <c r="AB43" s="527"/>
      <c r="AC43" s="66"/>
      <c r="AD43" s="470"/>
      <c r="AE43" s="6"/>
      <c r="AF43" s="6"/>
      <c r="AG43" s="508"/>
      <c r="AH43" s="502"/>
      <c r="AI43" s="515"/>
      <c r="AJ43" s="6"/>
      <c r="AK43" s="527"/>
      <c r="AM43" s="470"/>
      <c r="AN43" s="6"/>
      <c r="AO43" s="6"/>
      <c r="AP43" s="508"/>
      <c r="AQ43" s="502"/>
      <c r="AR43" s="515"/>
      <c r="AS43" s="6"/>
      <c r="AT43" s="508"/>
    </row>
    <row r="44" spans="1:46" ht="69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469"/>
      <c r="I44" s="469"/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/>
      <c r="W44" s="494"/>
      <c r="X44" s="495"/>
      <c r="Y44" s="514"/>
      <c r="Z44" s="515"/>
      <c r="AA44" s="579"/>
      <c r="AB44" s="527"/>
      <c r="AC44" s="66"/>
      <c r="AD44" s="470"/>
      <c r="AE44" s="6"/>
      <c r="AF44" s="6"/>
      <c r="AG44" s="508"/>
      <c r="AH44" s="509"/>
      <c r="AI44" s="502"/>
      <c r="AJ44" s="579"/>
      <c r="AK44" s="527"/>
      <c r="AM44" s="470"/>
      <c r="AN44" s="6"/>
      <c r="AO44" s="6"/>
      <c r="AP44" s="508"/>
      <c r="AQ44" s="509"/>
      <c r="AR44" s="502"/>
      <c r="AS44" s="502"/>
      <c r="AT44" s="508"/>
    </row>
    <row r="45" spans="1:46" ht="69" customHeight="1" x14ac:dyDescent="0.35">
      <c r="A45" s="1478">
        <v>45526</v>
      </c>
      <c r="B45" s="472">
        <v>1</v>
      </c>
      <c r="C45" s="494"/>
      <c r="D45" s="494"/>
      <c r="E45" s="494"/>
      <c r="F45" s="495"/>
      <c r="G45" s="514"/>
      <c r="H45" s="514"/>
      <c r="I45" s="573"/>
      <c r="J45" s="527"/>
      <c r="K45" s="66"/>
      <c r="L45" s="470"/>
      <c r="M45" s="6"/>
      <c r="N45" s="6"/>
      <c r="O45" s="508"/>
      <c r="P45" s="509"/>
      <c r="Q45" s="502"/>
      <c r="R45" s="6"/>
      <c r="S45" s="508"/>
      <c r="T45" s="66"/>
      <c r="U45" s="470"/>
      <c r="V45" s="502">
        <v>102</v>
      </c>
      <c r="W45" s="6"/>
      <c r="X45" s="508"/>
      <c r="Y45" s="514"/>
      <c r="Z45" s="502" t="s">
        <v>96</v>
      </c>
      <c r="AA45" s="502"/>
      <c r="AB45" s="508"/>
      <c r="AC45" s="66"/>
      <c r="AD45" s="470"/>
      <c r="AE45" s="6"/>
      <c r="AF45" s="6"/>
      <c r="AG45" s="508"/>
      <c r="AH45" s="509"/>
      <c r="AI45" s="502"/>
      <c r="AJ45" s="502"/>
      <c r="AK45" s="508"/>
      <c r="AM45" s="470"/>
      <c r="AN45" s="6"/>
      <c r="AO45" s="6"/>
      <c r="AP45" s="508"/>
      <c r="AQ45" s="509"/>
      <c r="AR45" s="502"/>
      <c r="AS45" s="6"/>
      <c r="AT45" s="508"/>
    </row>
    <row r="46" spans="1:46" ht="48.65" customHeight="1" x14ac:dyDescent="0.35">
      <c r="A46" s="1477"/>
      <c r="B46" s="472">
        <v>2</v>
      </c>
      <c r="C46" s="494"/>
      <c r="D46" s="494"/>
      <c r="E46" s="494"/>
      <c r="F46" s="495"/>
      <c r="G46" s="514"/>
      <c r="H46" s="514"/>
      <c r="I46" s="641"/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>
        <v>15</v>
      </c>
      <c r="V46" s="6"/>
      <c r="W46" s="6"/>
      <c r="X46" s="508"/>
      <c r="Y46" s="6" t="s">
        <v>113</v>
      </c>
      <c r="Z46" s="6"/>
      <c r="AA46" s="502"/>
      <c r="AB46" s="527"/>
      <c r="AC46" s="66"/>
      <c r="AD46" s="470"/>
      <c r="AE46" s="6"/>
      <c r="AF46" s="6"/>
      <c r="AG46" s="508"/>
      <c r="AH46" s="469"/>
      <c r="AI46" s="502"/>
      <c r="AJ46" s="579"/>
      <c r="AK46" s="527"/>
      <c r="AM46" s="470"/>
      <c r="AN46" s="6"/>
      <c r="AO46" s="6"/>
      <c r="AP46" s="508"/>
      <c r="AQ46" s="509"/>
      <c r="AR46" s="515"/>
      <c r="AS46" s="6"/>
      <c r="AT46" s="527"/>
    </row>
    <row r="47" spans="1:46" ht="58.95" customHeight="1" x14ac:dyDescent="0.35">
      <c r="A47" s="1478">
        <v>45527</v>
      </c>
      <c r="B47" s="472">
        <v>1</v>
      </c>
      <c r="C47" s="494"/>
      <c r="D47" s="494"/>
      <c r="E47" s="494"/>
      <c r="F47" s="495"/>
      <c r="G47" s="514"/>
      <c r="H47" s="515"/>
      <c r="I47" s="641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14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579"/>
      <c r="AK47" s="508"/>
      <c r="AM47" s="470"/>
      <c r="AN47" s="6"/>
      <c r="AO47" s="6"/>
      <c r="AP47" s="508"/>
      <c r="AQ47" s="509"/>
      <c r="AR47" s="515"/>
      <c r="AS47" s="6"/>
      <c r="AT47" s="508"/>
    </row>
    <row r="48" spans="1:46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27"/>
      <c r="K48" s="66"/>
      <c r="L48" s="470"/>
      <c r="M48" s="6"/>
      <c r="N48" s="6"/>
      <c r="O48" s="495"/>
      <c r="P48" s="515"/>
      <c r="Q48" s="515"/>
      <c r="R48" s="573"/>
      <c r="S48" s="527"/>
      <c r="T48" s="66"/>
      <c r="U48" s="470"/>
      <c r="V48" s="6"/>
      <c r="W48" s="6"/>
      <c r="X48" s="495"/>
      <c r="Y48" s="515"/>
      <c r="Z48" s="515"/>
      <c r="AA48" s="573"/>
      <c r="AB48" s="527"/>
      <c r="AC48" s="66"/>
      <c r="AD48" s="470"/>
      <c r="AE48" s="6"/>
      <c r="AF48" s="6"/>
      <c r="AG48" s="495"/>
      <c r="AH48" s="515"/>
      <c r="AI48" s="515"/>
      <c r="AJ48" s="573"/>
      <c r="AK48" s="527"/>
      <c r="AM48" s="470"/>
      <c r="AN48" s="6"/>
      <c r="AO48" s="470"/>
      <c r="AP48" s="6"/>
      <c r="AQ48" s="495"/>
      <c r="AR48" s="515"/>
      <c r="AS48" s="515"/>
      <c r="AT48" s="508"/>
    </row>
    <row r="49" spans="1:46" ht="43.2" customHeight="1" x14ac:dyDescent="0.35">
      <c r="A49" s="1478">
        <v>45528</v>
      </c>
      <c r="B49" s="472">
        <v>1</v>
      </c>
      <c r="C49" s="494"/>
      <c r="D49" s="494"/>
      <c r="E49" s="494"/>
      <c r="F49" s="495"/>
      <c r="G49" s="515"/>
      <c r="H49" s="514"/>
      <c r="I49" s="641"/>
      <c r="J49" s="527"/>
      <c r="K49" s="66"/>
      <c r="L49" s="470"/>
      <c r="M49" s="6"/>
      <c r="N49" s="6"/>
      <c r="O49" s="495"/>
      <c r="P49" s="515"/>
      <c r="Q49" s="514"/>
      <c r="R49" s="573"/>
      <c r="S49" s="527"/>
      <c r="T49" s="66"/>
      <c r="U49" s="470"/>
      <c r="V49" s="6"/>
      <c r="W49" s="6"/>
      <c r="X49" s="495"/>
      <c r="Y49" s="515"/>
      <c r="Z49" s="502"/>
      <c r="AA49" s="502"/>
      <c r="AB49" s="527"/>
      <c r="AC49" s="66"/>
      <c r="AD49" s="470"/>
      <c r="AE49" s="6"/>
      <c r="AF49" s="6"/>
      <c r="AG49" s="495"/>
      <c r="AH49" s="515"/>
      <c r="AI49" s="514"/>
      <c r="AJ49" s="573"/>
      <c r="AK49" s="527"/>
      <c r="AM49" s="470"/>
      <c r="AN49" s="6"/>
      <c r="AO49" s="6"/>
      <c r="AP49" s="515"/>
      <c r="AQ49" s="514"/>
      <c r="AR49" s="573"/>
      <c r="AS49" s="527"/>
      <c r="AT49" s="527"/>
    </row>
    <row r="50" spans="1:46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>
        <v>101</v>
      </c>
      <c r="V50" s="6"/>
      <c r="W50" s="6"/>
      <c r="X50" s="495"/>
      <c r="Y50" s="514" t="s">
        <v>315</v>
      </c>
      <c r="Z50" s="514"/>
      <c r="AA50" s="579"/>
      <c r="AB50" s="527"/>
      <c r="AC50" s="66"/>
      <c r="AD50" s="470"/>
      <c r="AE50" s="6"/>
      <c r="AF50" s="6"/>
      <c r="AG50" s="495"/>
      <c r="AH50" s="514"/>
      <c r="AI50" s="514"/>
      <c r="AJ50" s="573"/>
      <c r="AK50" s="527"/>
      <c r="AM50" s="470"/>
      <c r="AN50" s="6"/>
      <c r="AO50" s="6"/>
      <c r="AP50" s="514"/>
      <c r="AQ50" s="514"/>
      <c r="AR50" s="573"/>
      <c r="AS50" s="527"/>
      <c r="AT50" s="527"/>
    </row>
    <row r="51" spans="1:46" ht="34.950000000000003" customHeight="1" x14ac:dyDescent="0.35">
      <c r="A51" s="1478">
        <v>45529</v>
      </c>
      <c r="B51" s="472">
        <v>1</v>
      </c>
      <c r="C51" s="494"/>
      <c r="D51" s="494"/>
      <c r="E51" s="494"/>
      <c r="F51" s="495"/>
      <c r="G51" s="514"/>
      <c r="H51" s="514"/>
      <c r="I51" s="641"/>
      <c r="J51" s="527"/>
      <c r="K51" s="66"/>
      <c r="L51" s="470"/>
      <c r="M51" s="6"/>
      <c r="N51" s="6"/>
      <c r="O51" s="495"/>
      <c r="P51" s="514"/>
      <c r="Q51" s="514"/>
      <c r="R51" s="573"/>
      <c r="S51" s="527"/>
      <c r="T51" s="66"/>
      <c r="U51" s="470"/>
      <c r="V51" s="6"/>
      <c r="W51" s="6"/>
      <c r="X51" s="495"/>
      <c r="Y51" s="514"/>
      <c r="Z51" s="514"/>
      <c r="AA51" s="579"/>
      <c r="AB51" s="527"/>
      <c r="AC51" s="66"/>
      <c r="AD51" s="470"/>
      <c r="AE51" s="6"/>
      <c r="AF51" s="6"/>
      <c r="AG51" s="495"/>
      <c r="AH51" s="514"/>
      <c r="AI51" s="514"/>
      <c r="AJ51" s="573"/>
      <c r="AK51" s="527"/>
      <c r="AM51" s="470"/>
      <c r="AN51" s="6"/>
      <c r="AO51" s="6"/>
      <c r="AP51" s="514"/>
      <c r="AQ51" s="514"/>
      <c r="AR51" s="573"/>
      <c r="AS51" s="527"/>
      <c r="AT51" s="527"/>
    </row>
    <row r="52" spans="1:46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641"/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/>
      <c r="W52" s="6"/>
      <c r="X52" s="495"/>
      <c r="Y52" s="515"/>
      <c r="Z52" s="514"/>
      <c r="AA52" s="579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9"/>
      <c r="AR52" s="6"/>
      <c r="AS52" s="527"/>
      <c r="AT52" s="527"/>
    </row>
    <row r="53" spans="1:46" ht="48" customHeight="1" x14ac:dyDescent="0.35">
      <c r="A53" s="1478">
        <v>45530</v>
      </c>
      <c r="B53" s="472">
        <v>1</v>
      </c>
      <c r="C53" s="494"/>
      <c r="D53" s="494"/>
      <c r="E53" s="494"/>
      <c r="F53" s="495"/>
      <c r="G53" s="514"/>
      <c r="H53" s="514"/>
      <c r="I53" s="641"/>
      <c r="J53" s="527"/>
      <c r="K53" s="66"/>
      <c r="L53" s="470"/>
      <c r="M53" s="6"/>
      <c r="N53" s="6"/>
      <c r="O53" s="508"/>
      <c r="P53" s="469"/>
      <c r="Q53" s="515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6"/>
      <c r="AJ53" s="502"/>
      <c r="AK53" s="508"/>
      <c r="AM53" s="470"/>
      <c r="AN53" s="502"/>
      <c r="AO53" s="6"/>
      <c r="AP53" s="508"/>
      <c r="AQ53" s="469"/>
      <c r="AR53" s="6"/>
      <c r="AS53" s="6"/>
      <c r="AT53" s="508"/>
    </row>
    <row r="54" spans="1:46" ht="45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5"/>
      <c r="I54" s="573"/>
      <c r="J54" s="527"/>
      <c r="K54" s="66"/>
      <c r="L54" s="470"/>
      <c r="M54" s="6"/>
      <c r="N54" s="6"/>
      <c r="O54" s="495"/>
      <c r="P54" s="514"/>
      <c r="Q54" s="515"/>
      <c r="R54" s="514"/>
      <c r="S54" s="527"/>
      <c r="T54" s="66"/>
      <c r="U54" s="470"/>
      <c r="V54" s="6"/>
      <c r="W54" s="6"/>
      <c r="X54" s="495"/>
      <c r="Y54" s="515"/>
      <c r="Z54" s="515"/>
      <c r="AA54" s="515"/>
      <c r="AB54" s="527"/>
      <c r="AC54" s="66"/>
      <c r="AD54" s="470"/>
      <c r="AE54" s="6"/>
      <c r="AF54" s="6"/>
      <c r="AG54" s="508"/>
      <c r="AH54" s="509"/>
      <c r="AI54" s="515"/>
      <c r="AJ54" s="6"/>
      <c r="AK54" s="527"/>
      <c r="AM54" s="470"/>
      <c r="AN54" s="6"/>
      <c r="AO54" s="6"/>
      <c r="AP54" s="495"/>
      <c r="AQ54" s="469"/>
      <c r="AR54" s="515"/>
      <c r="AS54" s="514"/>
      <c r="AT54" s="527"/>
    </row>
    <row r="55" spans="1:46" ht="39.65" customHeight="1" x14ac:dyDescent="0.35">
      <c r="A55" s="1478">
        <v>45531</v>
      </c>
      <c r="B55" s="472">
        <v>1</v>
      </c>
      <c r="C55" s="493"/>
      <c r="D55" s="494"/>
      <c r="E55" s="494"/>
      <c r="F55" s="495"/>
      <c r="G55" s="514"/>
      <c r="H55" s="514"/>
      <c r="I55" s="641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4"/>
      <c r="AA55" s="579"/>
      <c r="AB55" s="508"/>
      <c r="AC55" s="66"/>
      <c r="AD55" s="470"/>
      <c r="AE55" s="6"/>
      <c r="AF55" s="6"/>
      <c r="AG55" s="508"/>
      <c r="AH55" s="509"/>
      <c r="AI55" s="515"/>
      <c r="AJ55" s="502"/>
      <c r="AK55" s="508"/>
      <c r="AM55" s="470"/>
      <c r="AN55" s="6"/>
      <c r="AO55" s="6"/>
      <c r="AP55" s="508"/>
      <c r="AQ55" s="509"/>
      <c r="AR55" s="502"/>
      <c r="AS55" s="6"/>
      <c r="AT55" s="508"/>
    </row>
    <row r="56" spans="1:46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641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02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95"/>
      <c r="AQ56" s="515"/>
      <c r="AR56" s="502"/>
      <c r="AS56" s="6"/>
      <c r="AT56" s="527"/>
    </row>
    <row r="57" spans="1:46" ht="52.2" customHeight="1" x14ac:dyDescent="0.35">
      <c r="A57" s="1478">
        <v>45532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>
        <v>30</v>
      </c>
      <c r="X57" s="495"/>
      <c r="Y57" s="515"/>
      <c r="Z57" s="514"/>
      <c r="AA57" s="502" t="s">
        <v>152</v>
      </c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95"/>
      <c r="AQ57" s="515"/>
      <c r="AR57" s="514"/>
      <c r="AS57" s="6"/>
      <c r="AT57" s="527"/>
    </row>
    <row r="58" spans="1:46" ht="78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5"/>
      <c r="I58" s="641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>
        <v>22</v>
      </c>
      <c r="X58" s="495"/>
      <c r="Y58" s="515"/>
      <c r="Z58" s="514"/>
      <c r="AA58" s="502" t="s">
        <v>152</v>
      </c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/>
      <c r="AP58" s="495"/>
      <c r="AQ58" s="515"/>
      <c r="AR58" s="514"/>
      <c r="AS58" s="6"/>
      <c r="AT58" s="527"/>
    </row>
    <row r="59" spans="1:46" ht="73.2" customHeight="1" x14ac:dyDescent="0.35">
      <c r="A59" s="1478">
        <v>45533</v>
      </c>
      <c r="B59" s="472">
        <v>1</v>
      </c>
      <c r="C59" s="493"/>
      <c r="D59" s="494"/>
      <c r="E59" s="494"/>
      <c r="F59" s="495"/>
      <c r="G59" s="515"/>
      <c r="H59" s="514"/>
      <c r="I59" s="641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514"/>
      <c r="AA59" s="579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508"/>
      <c r="AQ59" s="469"/>
      <c r="AR59" s="6"/>
      <c r="AS59" s="515"/>
      <c r="AT59" s="527"/>
    </row>
    <row r="60" spans="1:46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641"/>
      <c r="J60" s="527"/>
      <c r="K60" s="66"/>
      <c r="L60" s="470"/>
      <c r="M60" s="6"/>
      <c r="N60" s="6"/>
      <c r="O60" s="508"/>
      <c r="P60" s="509"/>
      <c r="Q60" s="515"/>
      <c r="R60" s="6"/>
      <c r="S60" s="527"/>
      <c r="T60" s="66"/>
      <c r="U60" s="470"/>
      <c r="V60" s="6"/>
      <c r="W60" s="6"/>
      <c r="X60" s="508"/>
      <c r="Y60" s="469"/>
      <c r="Z60" s="515"/>
      <c r="AA60" s="502"/>
      <c r="AB60" s="527"/>
      <c r="AC60" s="66"/>
      <c r="AD60" s="470"/>
      <c r="AE60" s="6"/>
      <c r="AF60" s="6"/>
      <c r="AG60" s="508"/>
      <c r="AH60" s="509"/>
      <c r="AI60" s="515"/>
      <c r="AJ60" s="502"/>
      <c r="AK60" s="527"/>
      <c r="AM60" s="470"/>
      <c r="AN60" s="6"/>
      <c r="AO60" s="6"/>
      <c r="AP60" s="508"/>
      <c r="AQ60" s="509"/>
      <c r="AR60" s="515"/>
      <c r="AS60" s="6"/>
      <c r="AT60" s="527"/>
    </row>
    <row r="61" spans="1:46" ht="32.5" customHeight="1" x14ac:dyDescent="0.35">
      <c r="A61" s="1478">
        <v>45534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502"/>
      <c r="AJ61" s="502"/>
      <c r="AK61" s="624"/>
      <c r="AM61" s="470"/>
      <c r="AN61" s="6"/>
      <c r="AO61" s="6"/>
      <c r="AP61" s="508"/>
      <c r="AQ61" s="469"/>
      <c r="AR61" s="6"/>
      <c r="AS61" s="6"/>
      <c r="AT61" s="624"/>
    </row>
    <row r="62" spans="1:46" ht="62.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641"/>
      <c r="J62" s="568"/>
      <c r="K62" s="66"/>
      <c r="L62" s="470"/>
      <c r="M62" s="6"/>
      <c r="N62" s="6"/>
      <c r="O62" s="508"/>
      <c r="P62" s="623"/>
      <c r="Q62" s="665"/>
      <c r="R62" s="524"/>
      <c r="S62" s="624"/>
      <c r="T62" s="66"/>
      <c r="U62" s="470"/>
      <c r="V62" s="6"/>
      <c r="W62" s="6"/>
      <c r="X62" s="508"/>
      <c r="Y62" s="469"/>
      <c r="Z62" s="502"/>
      <c r="AA62" s="579"/>
      <c r="AB62" s="624"/>
      <c r="AC62" s="66"/>
      <c r="AD62" s="470"/>
      <c r="AE62" s="6"/>
      <c r="AF62" s="6"/>
      <c r="AG62" s="508"/>
      <c r="AH62" s="1491"/>
      <c r="AI62" s="1492"/>
      <c r="AJ62" s="1493"/>
      <c r="AK62" s="624"/>
      <c r="AM62" s="470"/>
      <c r="AN62" s="6"/>
      <c r="AO62" s="6"/>
      <c r="AP62" s="508"/>
      <c r="AQ62" s="509"/>
      <c r="AR62" s="6"/>
      <c r="AS62" s="502"/>
      <c r="AT62" s="624"/>
    </row>
    <row r="63" spans="1:46" ht="64.2" customHeight="1" x14ac:dyDescent="0.35">
      <c r="A63" s="1478">
        <v>45535</v>
      </c>
      <c r="B63" s="472">
        <v>1</v>
      </c>
      <c r="C63" s="587"/>
      <c r="D63" s="588"/>
      <c r="E63" s="588"/>
      <c r="F63" s="589"/>
      <c r="G63" s="598"/>
      <c r="H63" s="590"/>
      <c r="I63" s="641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579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528"/>
      <c r="AQ64" s="529"/>
      <c r="AR64" s="530"/>
      <c r="AS64" s="530"/>
      <c r="AT64" s="594"/>
    </row>
    <row r="65" spans="1:42" ht="23.5" customHeight="1" x14ac:dyDescent="0.35">
      <c r="A65" s="423" t="s">
        <v>225</v>
      </c>
      <c r="C65" s="631">
        <f>SUM(C3:C64)</f>
        <v>392</v>
      </c>
      <c r="D65" s="65">
        <f>SUM(D3:D64)</f>
        <v>0</v>
      </c>
      <c r="E65" s="631">
        <f>SUM(E3:E64)</f>
        <v>163</v>
      </c>
      <c r="F65" s="65">
        <f>SUM(F3:F64)</f>
        <v>898</v>
      </c>
      <c r="L65" s="65">
        <f>SUM(L3:L64)</f>
        <v>458</v>
      </c>
      <c r="M65" s="65">
        <f>SUM(M3:M64)</f>
        <v>0</v>
      </c>
      <c r="N65" s="65">
        <f>SUM(N3:N64)</f>
        <v>0</v>
      </c>
      <c r="O65" s="65">
        <f>SUM(O3:O64)</f>
        <v>305</v>
      </c>
      <c r="U65" s="65">
        <f>SUM(U3:U64)</f>
        <v>864</v>
      </c>
      <c r="V65" s="65">
        <f>SUM(V3:V64)</f>
        <v>102</v>
      </c>
      <c r="W65" s="65">
        <f>SUM(W3:W64)</f>
        <v>175</v>
      </c>
      <c r="X65" s="65">
        <f>SUM(X3:X64)</f>
        <v>879</v>
      </c>
      <c r="AD65" s="65">
        <f>SUM(AD3:AD64)</f>
        <v>177</v>
      </c>
      <c r="AE65" s="65">
        <f>SUM(AE3:AE64)</f>
        <v>54</v>
      </c>
      <c r="AF65" s="65">
        <f>SUM(AF3:AF64)</f>
        <v>16</v>
      </c>
      <c r="AG65" s="65">
        <f>SUM(AG3:AG64)</f>
        <v>910</v>
      </c>
      <c r="AM65" s="65">
        <f>SUM(AM3:AM64)</f>
        <v>485</v>
      </c>
      <c r="AN65" s="65">
        <f>SUM(AN3:AN64)</f>
        <v>0</v>
      </c>
      <c r="AO65" s="65">
        <f>SUM(AO3:AO64)</f>
        <v>235</v>
      </c>
      <c r="AP65" s="65">
        <f>SUM(AP3:AP64)</f>
        <v>790</v>
      </c>
    </row>
    <row r="73" spans="1:42" ht="14.6" thickBot="1" x14ac:dyDescent="0.4"/>
    <row r="74" spans="1:42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21.75" customHeight="1" x14ac:dyDescent="0.4">
      <c r="B76" s="541" t="s">
        <v>218</v>
      </c>
      <c r="C76" s="542">
        <f>C65</f>
        <v>392</v>
      </c>
      <c r="D76" s="543">
        <f>C76/60</f>
        <v>6.5333333333333332</v>
      </c>
      <c r="E76" s="542">
        <f>D65</f>
        <v>0</v>
      </c>
      <c r="F76" s="544">
        <f>E76/60</f>
        <v>0</v>
      </c>
      <c r="G76" s="542">
        <f>E65</f>
        <v>163</v>
      </c>
      <c r="H76" s="543">
        <f>G76/60</f>
        <v>2.7166666666666668</v>
      </c>
      <c r="I76" s="542">
        <f>F65</f>
        <v>898</v>
      </c>
      <c r="J76" s="543">
        <f>I76/60</f>
        <v>14.966666666666667</v>
      </c>
    </row>
    <row r="77" spans="1:42" ht="19.5" customHeight="1" x14ac:dyDescent="0.4">
      <c r="B77" s="541" t="s">
        <v>219</v>
      </c>
      <c r="C77" s="545">
        <f>L65</f>
        <v>458</v>
      </c>
      <c r="D77" s="546">
        <f>C77/60</f>
        <v>7.6333333333333337</v>
      </c>
      <c r="E77" s="545">
        <f>M65</f>
        <v>0</v>
      </c>
      <c r="F77" s="547">
        <f>E77/60</f>
        <v>0</v>
      </c>
      <c r="G77" s="545">
        <f>N65</f>
        <v>0</v>
      </c>
      <c r="H77" s="546">
        <f>G77/60</f>
        <v>0</v>
      </c>
      <c r="I77" s="545">
        <f>O65</f>
        <v>305</v>
      </c>
      <c r="J77" s="546">
        <f>I77/60</f>
        <v>5.083333333333333</v>
      </c>
    </row>
    <row r="78" spans="1:42" ht="20.25" customHeight="1" x14ac:dyDescent="0.4">
      <c r="B78" s="541" t="s">
        <v>220</v>
      </c>
      <c r="C78" s="545">
        <f>U65</f>
        <v>864</v>
      </c>
      <c r="D78" s="546">
        <f>C78/60</f>
        <v>14.4</v>
      </c>
      <c r="E78" s="545">
        <f>V65</f>
        <v>102</v>
      </c>
      <c r="F78" s="547">
        <f>E78/60</f>
        <v>1.7</v>
      </c>
      <c r="G78" s="545">
        <f>W65</f>
        <v>175</v>
      </c>
      <c r="H78" s="546">
        <f>G78/60</f>
        <v>2.9166666666666665</v>
      </c>
      <c r="I78" s="545">
        <f>X65</f>
        <v>879</v>
      </c>
      <c r="J78" s="546">
        <f>I78/60</f>
        <v>14.65</v>
      </c>
    </row>
    <row r="79" spans="1:42" ht="22.5" customHeight="1" thickBot="1" x14ac:dyDescent="0.45">
      <c r="B79" s="541" t="s">
        <v>221</v>
      </c>
      <c r="C79" s="548">
        <f>AD65</f>
        <v>177</v>
      </c>
      <c r="D79" s="549">
        <f>C79/60</f>
        <v>2.95</v>
      </c>
      <c r="E79" s="548">
        <f>AE65</f>
        <v>54</v>
      </c>
      <c r="F79" s="550">
        <f>E79/60</f>
        <v>0.9</v>
      </c>
      <c r="G79" s="548">
        <f>AF65</f>
        <v>16</v>
      </c>
      <c r="H79" s="549">
        <f>G79/60</f>
        <v>0.26666666666666666</v>
      </c>
      <c r="I79" s="548">
        <f>AG65</f>
        <v>910</v>
      </c>
      <c r="J79" s="549">
        <f>I79/60</f>
        <v>15.166666666666666</v>
      </c>
    </row>
    <row r="80" spans="1:42" ht="22.5" customHeight="1" thickBot="1" x14ac:dyDescent="0.45">
      <c r="B80" s="541" t="s">
        <v>488</v>
      </c>
      <c r="C80" s="643">
        <f>AM65</f>
        <v>485</v>
      </c>
      <c r="D80" s="642">
        <f>C80/60</f>
        <v>8.0833333333333339</v>
      </c>
      <c r="E80" s="643">
        <f>AN65</f>
        <v>0</v>
      </c>
      <c r="F80" s="644">
        <f>E80/60</f>
        <v>0</v>
      </c>
      <c r="G80" s="643">
        <f>AO65</f>
        <v>235</v>
      </c>
      <c r="H80" s="642">
        <f>G80/60</f>
        <v>3.9166666666666665</v>
      </c>
      <c r="I80" s="643">
        <f>AP65</f>
        <v>790</v>
      </c>
      <c r="J80" s="642">
        <f>I80/60</f>
        <v>13.166666666666666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39.6</v>
      </c>
      <c r="E82" s="556"/>
      <c r="F82" s="557">
        <f>SUM(F76:F80)</f>
        <v>2.6</v>
      </c>
      <c r="G82" s="556"/>
      <c r="H82" s="557">
        <f>SUM(H76:H80)</f>
        <v>9.8166666666666664</v>
      </c>
      <c r="I82" s="556"/>
      <c r="J82" s="558">
        <f>AVERAGE(J76:J80)</f>
        <v>12.606666666666666</v>
      </c>
    </row>
  </sheetData>
  <mergeCells count="48">
    <mergeCell ref="AH62:AJ62"/>
    <mergeCell ref="A63:A64"/>
    <mergeCell ref="C74:D74"/>
    <mergeCell ref="E74:F74"/>
    <mergeCell ref="G74:H74"/>
    <mergeCell ref="I74:J74"/>
    <mergeCell ref="A61:A62"/>
    <mergeCell ref="A51:A52"/>
    <mergeCell ref="A53:A54"/>
    <mergeCell ref="A55:A56"/>
    <mergeCell ref="A57:A58"/>
    <mergeCell ref="A59:A60"/>
    <mergeCell ref="AQ18:AS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25:A26"/>
    <mergeCell ref="A7:A8"/>
    <mergeCell ref="A9:A10"/>
    <mergeCell ref="A11:A12"/>
    <mergeCell ref="A13:A14"/>
    <mergeCell ref="A17:A18"/>
    <mergeCell ref="AH14:AJ14"/>
    <mergeCell ref="A15:A16"/>
    <mergeCell ref="AD1:AG1"/>
    <mergeCell ref="AH1:AK1"/>
    <mergeCell ref="AM1:AP1"/>
    <mergeCell ref="AQ1:AT1"/>
    <mergeCell ref="A3:A4"/>
    <mergeCell ref="A5:A6"/>
    <mergeCell ref="C1:F1"/>
    <mergeCell ref="G1:J1"/>
    <mergeCell ref="L1:O1"/>
    <mergeCell ref="P1:S1"/>
    <mergeCell ref="U1:X1"/>
    <mergeCell ref="Y1:AB1"/>
  </mergeCells>
  <pageMargins left="0.7" right="0.7" top="0.75" bottom="0.75" header="0.3" footer="0.3"/>
  <pageSetup paperSize="9" orientation="portrait" horizontalDpi="180" verticalDpi="18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T82"/>
  <sheetViews>
    <sheetView zoomScale="60" zoomScaleNormal="60" workbookViewId="0">
      <pane xSplit="2" ySplit="2" topLeftCell="Z32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7.304687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53515625" style="423" customWidth="1"/>
    <col min="45" max="45" width="28.30468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.65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7" t="s">
        <v>199</v>
      </c>
      <c r="AR2" s="655" t="s">
        <v>200</v>
      </c>
      <c r="AS2" s="655" t="s">
        <v>201</v>
      </c>
      <c r="AT2" s="655" t="s">
        <v>204</v>
      </c>
    </row>
    <row r="3" spans="1:46" ht="78" customHeight="1" x14ac:dyDescent="0.35">
      <c r="A3" s="1478">
        <v>45536</v>
      </c>
      <c r="B3" s="501">
        <v>1</v>
      </c>
      <c r="C3" s="490"/>
      <c r="D3" s="491"/>
      <c r="E3" s="6"/>
      <c r="F3" s="492"/>
      <c r="G3" s="566"/>
      <c r="H3" s="514"/>
      <c r="I3" s="515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6"/>
      <c r="X3" s="508"/>
      <c r="Y3" s="469"/>
      <c r="Z3" s="521"/>
      <c r="AA3" s="515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520"/>
      <c r="AQ3" s="521"/>
      <c r="AR3" s="538"/>
      <c r="AS3" s="502"/>
      <c r="AT3" s="520"/>
    </row>
    <row r="4" spans="1:46" ht="70.2" customHeight="1" x14ac:dyDescent="0.35">
      <c r="A4" s="1477"/>
      <c r="B4" s="472">
        <v>2</v>
      </c>
      <c r="C4" s="493"/>
      <c r="D4" s="494"/>
      <c r="E4" s="494"/>
      <c r="F4" s="495"/>
      <c r="G4" s="565"/>
      <c r="H4" s="514"/>
      <c r="I4" s="641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/>
      <c r="X4" s="508"/>
      <c r="Y4" s="469"/>
      <c r="Z4" s="515"/>
      <c r="AA4" s="579"/>
      <c r="AB4" s="603"/>
      <c r="AC4" s="66"/>
      <c r="AD4" s="470"/>
      <c r="AE4" s="6"/>
      <c r="AF4" s="6"/>
      <c r="AG4" s="508"/>
      <c r="AH4" s="509"/>
      <c r="AI4" s="515"/>
      <c r="AJ4" s="6"/>
      <c r="AK4" s="508"/>
      <c r="AM4" s="470"/>
      <c r="AN4" s="6"/>
      <c r="AO4" s="6"/>
      <c r="AP4" s="508"/>
      <c r="AQ4" s="509"/>
      <c r="AR4" s="515"/>
      <c r="AS4" s="6"/>
      <c r="AT4" s="508"/>
    </row>
    <row r="5" spans="1:46" ht="60" customHeight="1" x14ac:dyDescent="0.35">
      <c r="A5" s="1478">
        <v>45537</v>
      </c>
      <c r="B5" s="472">
        <v>1</v>
      </c>
      <c r="C5" s="493"/>
      <c r="D5" s="494"/>
      <c r="E5" s="494"/>
      <c r="F5" s="495"/>
      <c r="G5" s="565"/>
      <c r="H5" s="565"/>
      <c r="I5" s="641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514"/>
      <c r="AA5" s="579"/>
      <c r="AB5" s="604"/>
      <c r="AC5" s="66"/>
      <c r="AD5" s="470"/>
      <c r="AE5" s="6"/>
      <c r="AF5" s="6"/>
      <c r="AG5" s="508"/>
      <c r="AH5" s="509"/>
      <c r="AI5" s="6"/>
      <c r="AJ5" s="661"/>
      <c r="AK5" s="508"/>
      <c r="AM5" s="470"/>
      <c r="AN5" s="6"/>
      <c r="AO5" s="6"/>
      <c r="AP5" s="508"/>
      <c r="AQ5" s="509"/>
      <c r="AR5" s="6"/>
      <c r="AS5" s="502"/>
      <c r="AT5" s="526"/>
    </row>
    <row r="6" spans="1:46" ht="80.5" customHeight="1" x14ac:dyDescent="0.35">
      <c r="A6" s="1477"/>
      <c r="B6" s="472">
        <v>2</v>
      </c>
      <c r="C6" s="493"/>
      <c r="D6" s="494"/>
      <c r="E6" s="494"/>
      <c r="F6" s="495"/>
      <c r="G6" s="566"/>
      <c r="H6" s="515"/>
      <c r="I6" s="641"/>
      <c r="J6" s="527"/>
      <c r="K6" s="66"/>
      <c r="L6" s="470"/>
      <c r="M6" s="6"/>
      <c r="N6" s="6"/>
      <c r="O6" s="508"/>
      <c r="P6" s="509"/>
      <c r="Q6" s="514"/>
      <c r="R6" s="6"/>
      <c r="S6" s="527"/>
      <c r="T6" s="66"/>
      <c r="U6" s="470"/>
      <c r="V6" s="6"/>
      <c r="W6" s="6"/>
      <c r="X6" s="508"/>
      <c r="Y6" s="469"/>
      <c r="Z6" s="514"/>
      <c r="AA6" s="579"/>
      <c r="AB6" s="527"/>
      <c r="AC6" s="66"/>
      <c r="AD6" s="470">
        <v>37</v>
      </c>
      <c r="AE6" s="6"/>
      <c r="AF6" s="6"/>
      <c r="AG6" s="508"/>
      <c r="AH6" s="509" t="s">
        <v>288</v>
      </c>
      <c r="AI6" s="6"/>
      <c r="AJ6" s="6"/>
      <c r="AK6" s="527"/>
      <c r="AM6" s="470"/>
      <c r="AN6" s="6"/>
      <c r="AO6" s="6"/>
      <c r="AP6" s="47"/>
      <c r="AQ6" s="508"/>
      <c r="AR6" s="509"/>
      <c r="AS6" s="502"/>
      <c r="AT6" s="527"/>
    </row>
    <row r="7" spans="1:46" ht="71.5" customHeight="1" x14ac:dyDescent="0.35">
      <c r="A7" s="1478">
        <v>45538</v>
      </c>
      <c r="B7" s="472">
        <v>1</v>
      </c>
      <c r="C7" s="493"/>
      <c r="D7" s="494"/>
      <c r="E7" s="494"/>
      <c r="F7" s="495"/>
      <c r="G7" s="566"/>
      <c r="H7" s="515"/>
      <c r="I7" s="527"/>
      <c r="J7" s="527"/>
      <c r="K7" s="66"/>
      <c r="L7" s="470">
        <v>127</v>
      </c>
      <c r="M7" s="509"/>
      <c r="N7" s="6"/>
      <c r="O7" s="508"/>
      <c r="P7" s="509" t="s">
        <v>45</v>
      </c>
      <c r="Q7" s="660"/>
      <c r="R7" s="6"/>
      <c r="S7" s="508"/>
      <c r="T7" s="66"/>
      <c r="U7" s="470"/>
      <c r="V7" s="6"/>
      <c r="W7" s="6"/>
      <c r="X7" s="508"/>
      <c r="Y7" s="469"/>
      <c r="Z7" s="514"/>
      <c r="AA7" s="579"/>
      <c r="AB7" s="508"/>
      <c r="AC7" s="66"/>
      <c r="AD7" s="470"/>
      <c r="AE7" s="6"/>
      <c r="AF7" s="6"/>
      <c r="AG7" s="508"/>
      <c r="AH7" s="509"/>
      <c r="AI7" s="660"/>
      <c r="AJ7" s="527"/>
      <c r="AK7" s="508"/>
      <c r="AM7" s="470"/>
      <c r="AN7" s="6"/>
      <c r="AO7" s="6"/>
      <c r="AP7" s="47"/>
      <c r="AQ7" s="508"/>
      <c r="AR7" s="509"/>
      <c r="AS7" s="660"/>
      <c r="AT7" s="573"/>
    </row>
    <row r="8" spans="1:46" ht="69.650000000000006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641"/>
      <c r="J8" s="527"/>
      <c r="K8" s="66"/>
      <c r="L8" s="470">
        <v>720</v>
      </c>
      <c r="M8" s="6"/>
      <c r="N8" s="6"/>
      <c r="O8" s="508"/>
      <c r="P8" s="509" t="s">
        <v>45</v>
      </c>
      <c r="Q8" s="6"/>
      <c r="R8" s="502"/>
      <c r="S8" s="527"/>
      <c r="T8" s="66"/>
      <c r="U8" s="470"/>
      <c r="V8" s="470"/>
      <c r="W8" s="470"/>
      <c r="X8" s="508"/>
      <c r="Y8" s="469"/>
      <c r="Z8" s="666"/>
      <c r="AA8" s="504"/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/>
      <c r="AN8" s="6"/>
      <c r="AO8" s="6">
        <v>34</v>
      </c>
      <c r="AP8" s="47"/>
      <c r="AQ8" s="508"/>
      <c r="AR8" s="509"/>
      <c r="AS8" s="6" t="s">
        <v>97</v>
      </c>
      <c r="AT8" s="527"/>
    </row>
    <row r="9" spans="1:46" ht="76.95" customHeight="1" x14ac:dyDescent="0.35">
      <c r="A9" s="1478">
        <v>45539</v>
      </c>
      <c r="B9" s="472">
        <v>1</v>
      </c>
      <c r="C9" s="493"/>
      <c r="D9" s="494"/>
      <c r="E9" s="494"/>
      <c r="F9" s="495"/>
      <c r="G9" s="565"/>
      <c r="H9" s="514"/>
      <c r="I9" s="641"/>
      <c r="J9" s="527"/>
      <c r="K9" s="66"/>
      <c r="L9" s="470">
        <v>720</v>
      </c>
      <c r="M9" s="6"/>
      <c r="N9" s="6"/>
      <c r="O9" s="508"/>
      <c r="P9" s="509" t="s">
        <v>45</v>
      </c>
      <c r="Q9" s="6"/>
      <c r="R9" s="502"/>
      <c r="S9" s="527"/>
      <c r="T9" s="66"/>
      <c r="U9" s="470"/>
      <c r="V9" s="6"/>
      <c r="W9" s="6"/>
      <c r="X9" s="508"/>
      <c r="Y9" s="469"/>
      <c r="Z9" s="6"/>
      <c r="AA9" s="579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508"/>
      <c r="AR9" s="509"/>
      <c r="AS9" s="6"/>
      <c r="AT9" s="636"/>
    </row>
    <row r="10" spans="1:46" ht="67.2" customHeight="1" x14ac:dyDescent="0.35">
      <c r="A10" s="1477"/>
      <c r="B10" s="472">
        <v>2</v>
      </c>
      <c r="C10" s="493"/>
      <c r="D10" s="493"/>
      <c r="E10" s="493"/>
      <c r="F10" s="495"/>
      <c r="G10" s="667"/>
      <c r="H10" s="668"/>
      <c r="I10" s="669"/>
      <c r="J10" s="527"/>
      <c r="K10" s="66"/>
      <c r="L10" s="470">
        <v>720</v>
      </c>
      <c r="M10" s="6"/>
      <c r="N10" s="6"/>
      <c r="O10" s="508"/>
      <c r="P10" s="509" t="s">
        <v>45</v>
      </c>
      <c r="Q10" s="6"/>
      <c r="R10" s="502"/>
      <c r="S10" s="527"/>
      <c r="T10" s="66"/>
      <c r="U10" s="470"/>
      <c r="V10" s="6"/>
      <c r="W10" s="6"/>
      <c r="X10" s="508"/>
      <c r="Y10" s="469"/>
      <c r="Z10" s="469"/>
      <c r="AA10" s="579"/>
      <c r="AB10" s="527"/>
      <c r="AC10" s="66"/>
      <c r="AD10" s="470"/>
      <c r="AE10" s="6"/>
      <c r="AF10" s="6"/>
      <c r="AG10" s="508"/>
      <c r="AH10" s="469"/>
      <c r="AI10" s="502"/>
      <c r="AJ10" s="515"/>
      <c r="AK10" s="527"/>
      <c r="AM10" s="470"/>
      <c r="AN10" s="6"/>
      <c r="AO10" s="6">
        <v>11</v>
      </c>
      <c r="AP10" s="47"/>
      <c r="AQ10" s="508"/>
      <c r="AR10" s="509"/>
      <c r="AS10" s="6" t="s">
        <v>97</v>
      </c>
      <c r="AT10" s="527"/>
    </row>
    <row r="11" spans="1:46" ht="60" customHeight="1" x14ac:dyDescent="0.35">
      <c r="A11" s="1478">
        <v>45540</v>
      </c>
      <c r="B11" s="472">
        <v>1</v>
      </c>
      <c r="C11" s="493"/>
      <c r="D11" s="493"/>
      <c r="E11" s="493"/>
      <c r="F11" s="495"/>
      <c r="G11" s="667"/>
      <c r="H11" s="668"/>
      <c r="I11" s="669"/>
      <c r="J11" s="568"/>
      <c r="K11" s="66"/>
      <c r="L11" s="470">
        <v>720</v>
      </c>
      <c r="M11" s="6"/>
      <c r="N11" s="6"/>
      <c r="O11" s="508"/>
      <c r="P11" s="509" t="s">
        <v>45</v>
      </c>
      <c r="Q11" s="6"/>
      <c r="R11" s="502"/>
      <c r="S11" s="508"/>
      <c r="T11" s="66"/>
      <c r="U11" s="470"/>
      <c r="V11" s="6"/>
      <c r="W11" s="6"/>
      <c r="X11" s="508"/>
      <c r="Y11" s="469"/>
      <c r="Z11" s="6"/>
      <c r="AA11" s="579"/>
      <c r="AB11" s="508"/>
      <c r="AC11" s="66"/>
      <c r="AD11" s="470"/>
      <c r="AE11" s="6"/>
      <c r="AF11" s="6"/>
      <c r="AG11" s="508"/>
      <c r="AH11" s="509"/>
      <c r="AI11" s="6"/>
      <c r="AJ11" s="515"/>
      <c r="AK11" s="508"/>
      <c r="AM11" s="470"/>
      <c r="AN11" s="6"/>
      <c r="AO11" s="6"/>
      <c r="AP11" s="508"/>
      <c r="AQ11" s="509"/>
      <c r="AR11" s="6"/>
      <c r="AS11" s="6"/>
      <c r="AT11" s="526"/>
    </row>
    <row r="12" spans="1:46" ht="55.2" customHeight="1" x14ac:dyDescent="0.35">
      <c r="A12" s="1477"/>
      <c r="B12" s="472">
        <v>2</v>
      </c>
      <c r="C12" s="493"/>
      <c r="D12" s="494"/>
      <c r="E12" s="494"/>
      <c r="F12" s="495">
        <v>95</v>
      </c>
      <c r="G12" s="565"/>
      <c r="H12" s="514"/>
      <c r="I12" s="641"/>
      <c r="J12" s="527" t="s">
        <v>960</v>
      </c>
      <c r="K12" s="66"/>
      <c r="L12" s="470">
        <v>720</v>
      </c>
      <c r="M12" s="6"/>
      <c r="N12" s="6"/>
      <c r="O12" s="508"/>
      <c r="P12" s="509" t="s">
        <v>45</v>
      </c>
      <c r="Q12" s="6"/>
      <c r="R12" s="502"/>
      <c r="S12" s="527"/>
      <c r="T12" s="66"/>
      <c r="U12" s="470"/>
      <c r="V12" s="6"/>
      <c r="W12" s="6"/>
      <c r="X12" s="508">
        <v>108</v>
      </c>
      <c r="Y12" s="469"/>
      <c r="Z12" s="6"/>
      <c r="AA12" s="579"/>
      <c r="AB12" s="527" t="s">
        <v>960</v>
      </c>
      <c r="AC12" s="66"/>
      <c r="AD12" s="470"/>
      <c r="AE12" s="6"/>
      <c r="AF12" s="6">
        <v>13</v>
      </c>
      <c r="AG12" s="508">
        <v>104</v>
      </c>
      <c r="AH12" s="509"/>
      <c r="AI12" s="502"/>
      <c r="AJ12" s="502" t="s">
        <v>325</v>
      </c>
      <c r="AK12" s="527" t="s">
        <v>960</v>
      </c>
      <c r="AM12" s="470"/>
      <c r="AN12" s="6"/>
      <c r="AO12" s="6"/>
      <c r="AP12" s="508">
        <v>98</v>
      </c>
      <c r="AQ12" s="509"/>
      <c r="AR12" s="6"/>
      <c r="AS12" s="502"/>
      <c r="AT12" s="527" t="s">
        <v>960</v>
      </c>
    </row>
    <row r="13" spans="1:46" ht="34.950000000000003" customHeight="1" x14ac:dyDescent="0.35">
      <c r="A13" s="1478">
        <v>45541</v>
      </c>
      <c r="B13" s="472">
        <v>1</v>
      </c>
      <c r="C13" s="493"/>
      <c r="D13" s="494"/>
      <c r="E13" s="494"/>
      <c r="F13" s="495"/>
      <c r="G13" s="565"/>
      <c r="H13" s="514"/>
      <c r="I13" s="641"/>
      <c r="J13" s="527"/>
      <c r="K13" s="66"/>
      <c r="L13" s="470">
        <v>473</v>
      </c>
      <c r="M13" s="6"/>
      <c r="N13" s="6">
        <v>28</v>
      </c>
      <c r="O13" s="495"/>
      <c r="P13" s="509" t="s">
        <v>45</v>
      </c>
      <c r="Q13" s="6"/>
      <c r="R13" s="6" t="s">
        <v>97</v>
      </c>
      <c r="S13" s="527"/>
      <c r="T13" s="66"/>
      <c r="U13" s="470"/>
      <c r="V13" s="6"/>
      <c r="W13" s="6"/>
      <c r="X13" s="495"/>
      <c r="Y13" s="469"/>
      <c r="Z13" s="502"/>
      <c r="AA13" s="579"/>
      <c r="AB13" s="527"/>
      <c r="AC13" s="66"/>
      <c r="AD13" s="470"/>
      <c r="AE13" s="6"/>
      <c r="AF13" s="6"/>
      <c r="AG13" s="495"/>
      <c r="AH13" s="509"/>
      <c r="AI13" s="6"/>
      <c r="AJ13" s="502"/>
      <c r="AK13" s="527"/>
      <c r="AM13" s="470"/>
      <c r="AN13" s="6"/>
      <c r="AO13" s="6"/>
      <c r="AP13" s="495"/>
      <c r="AQ13" s="509"/>
      <c r="AR13" s="6"/>
      <c r="AS13" s="6"/>
      <c r="AT13" s="527"/>
    </row>
    <row r="14" spans="1:46" ht="49.2" customHeight="1" x14ac:dyDescent="0.35">
      <c r="A14" s="1477"/>
      <c r="B14" s="472">
        <v>2</v>
      </c>
      <c r="C14" s="493"/>
      <c r="D14" s="494"/>
      <c r="E14" s="494"/>
      <c r="F14" s="495"/>
      <c r="G14" s="565"/>
      <c r="H14" s="515"/>
      <c r="I14" s="641"/>
      <c r="J14" s="527"/>
      <c r="K14" s="66"/>
      <c r="L14" s="470">
        <v>110</v>
      </c>
      <c r="M14" s="6"/>
      <c r="N14" s="6"/>
      <c r="O14" s="495"/>
      <c r="P14" s="469" t="s">
        <v>961</v>
      </c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79"/>
      <c r="AB14" s="527"/>
      <c r="AC14" s="66"/>
      <c r="AD14" s="470"/>
      <c r="AE14" s="6"/>
      <c r="AF14" s="6"/>
      <c r="AG14" s="495"/>
      <c r="AH14" s="1491"/>
      <c r="AI14" s="1492"/>
      <c r="AJ14" s="1493"/>
      <c r="AK14" s="527"/>
      <c r="AM14" s="470"/>
      <c r="AN14" s="6"/>
      <c r="AO14" s="6"/>
      <c r="AP14" s="495"/>
      <c r="AQ14" s="469"/>
      <c r="AR14" s="6"/>
      <c r="AS14" s="579"/>
      <c r="AT14" s="527"/>
    </row>
    <row r="15" spans="1:46" ht="48" customHeight="1" x14ac:dyDescent="0.35">
      <c r="A15" s="1478">
        <v>45542</v>
      </c>
      <c r="B15" s="472">
        <v>1</v>
      </c>
      <c r="C15" s="493"/>
      <c r="D15" s="494"/>
      <c r="E15" s="6"/>
      <c r="F15" s="495"/>
      <c r="G15" s="565"/>
      <c r="H15" s="515"/>
      <c r="I15" s="641"/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/>
      <c r="V15" s="6"/>
      <c r="W15" s="6"/>
      <c r="X15" s="495"/>
      <c r="Y15" s="565"/>
      <c r="Z15" s="515"/>
      <c r="AA15" s="579"/>
      <c r="AB15" s="527"/>
      <c r="AC15" s="66"/>
      <c r="AD15" s="470"/>
      <c r="AE15" s="6"/>
      <c r="AF15" s="66"/>
      <c r="AG15" s="495"/>
      <c r="AH15" s="566"/>
      <c r="AI15" s="515"/>
      <c r="AJ15" s="502"/>
      <c r="AK15" s="527"/>
      <c r="AM15" s="470"/>
      <c r="AN15" s="6"/>
      <c r="AO15" s="66"/>
      <c r="AP15" s="566"/>
      <c r="AQ15" s="515"/>
      <c r="AR15" s="515"/>
      <c r="AS15" s="515"/>
      <c r="AT15" s="527"/>
    </row>
    <row r="16" spans="1:46" ht="54.65" customHeight="1" x14ac:dyDescent="0.35">
      <c r="A16" s="1477"/>
      <c r="B16" s="472">
        <v>2</v>
      </c>
      <c r="C16" s="493"/>
      <c r="D16" s="493"/>
      <c r="E16" s="493"/>
      <c r="F16" s="495"/>
      <c r="G16" s="670"/>
      <c r="H16" s="671"/>
      <c r="I16" s="672"/>
      <c r="J16" s="527"/>
      <c r="K16" s="66"/>
      <c r="L16" s="470"/>
      <c r="M16" s="6"/>
      <c r="N16" s="6"/>
      <c r="O16" s="495"/>
      <c r="P16" s="670"/>
      <c r="Q16" s="671"/>
      <c r="R16" s="672"/>
      <c r="S16" s="527"/>
      <c r="T16" s="66"/>
      <c r="U16" s="470"/>
      <c r="V16" s="6"/>
      <c r="W16" s="6"/>
      <c r="X16" s="495"/>
      <c r="Y16" s="670"/>
      <c r="Z16" s="671"/>
      <c r="AA16" s="672"/>
      <c r="AB16" s="527"/>
      <c r="AC16" s="66"/>
      <c r="AD16" s="470"/>
      <c r="AE16" s="6"/>
      <c r="AF16" s="6"/>
      <c r="AG16" s="495"/>
      <c r="AH16" s="673"/>
      <c r="AI16" s="671"/>
      <c r="AJ16" s="672"/>
      <c r="AK16" s="527"/>
      <c r="AM16" s="470">
        <v>137</v>
      </c>
      <c r="AN16" s="6"/>
      <c r="AO16" s="6"/>
      <c r="AP16" s="495"/>
      <c r="AQ16" s="670" t="s">
        <v>45</v>
      </c>
      <c r="AR16" s="671"/>
      <c r="AS16" s="672"/>
      <c r="AT16" s="527"/>
    </row>
    <row r="17" spans="1:46" ht="66" customHeight="1" x14ac:dyDescent="0.35">
      <c r="A17" s="1478">
        <v>45543</v>
      </c>
      <c r="B17" s="534">
        <v>1</v>
      </c>
      <c r="C17" s="493"/>
      <c r="D17" s="494"/>
      <c r="E17" s="494"/>
      <c r="F17" s="495"/>
      <c r="G17" s="566"/>
      <c r="H17" s="514"/>
      <c r="I17" s="641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>
        <v>12</v>
      </c>
      <c r="X17" s="495"/>
      <c r="Y17" s="565"/>
      <c r="Z17" s="514"/>
      <c r="AA17" s="641" t="s">
        <v>808</v>
      </c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>
        <v>19</v>
      </c>
      <c r="AP17" s="566"/>
      <c r="AQ17" s="514"/>
      <c r="AR17" s="515"/>
      <c r="AS17" s="579" t="s">
        <v>27</v>
      </c>
      <c r="AT17" s="527"/>
    </row>
    <row r="18" spans="1:46" ht="49.9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638"/>
      <c r="I18" s="641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494"/>
      <c r="X18" s="495"/>
      <c r="Y18" s="565"/>
      <c r="Z18" s="515"/>
      <c r="AA18" s="641"/>
      <c r="AB18" s="527"/>
      <c r="AC18" s="66"/>
      <c r="AD18" s="470"/>
      <c r="AE18" s="6"/>
      <c r="AF18" s="6">
        <v>10</v>
      </c>
      <c r="AG18" s="495"/>
      <c r="AH18" s="565"/>
      <c r="AI18" s="515"/>
      <c r="AJ18" s="514" t="s">
        <v>152</v>
      </c>
      <c r="AK18" s="527"/>
      <c r="AM18" s="470"/>
      <c r="AN18" s="6"/>
      <c r="AO18" s="6"/>
      <c r="AP18" s="495"/>
      <c r="AQ18" s="1508"/>
      <c r="AR18" s="1509"/>
      <c r="AS18" s="1510"/>
      <c r="AT18" s="527"/>
    </row>
    <row r="19" spans="1:46" ht="33.65" customHeight="1" x14ac:dyDescent="0.35">
      <c r="A19" s="1478">
        <v>45544</v>
      </c>
      <c r="B19" s="472">
        <v>1</v>
      </c>
      <c r="C19" s="66"/>
      <c r="D19" s="494"/>
      <c r="E19" s="494"/>
      <c r="F19" s="495"/>
      <c r="G19" s="465"/>
      <c r="H19" s="6"/>
      <c r="I19" s="641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/>
      <c r="X19" s="495"/>
      <c r="Y19" s="470"/>
      <c r="Z19" s="502"/>
      <c r="AA19" s="641"/>
      <c r="AB19" s="527"/>
      <c r="AC19" s="66"/>
      <c r="AD19" s="470"/>
      <c r="AE19" s="6"/>
      <c r="AF19" s="6">
        <v>10</v>
      </c>
      <c r="AG19" s="495"/>
      <c r="AH19" s="470"/>
      <c r="AI19" s="6"/>
      <c r="AJ19" s="579" t="s">
        <v>336</v>
      </c>
      <c r="AK19" s="527"/>
      <c r="AM19" s="470"/>
      <c r="AN19" s="6"/>
      <c r="AO19" s="6"/>
      <c r="AP19" s="495"/>
      <c r="AQ19" s="470"/>
      <c r="AR19" s="6"/>
      <c r="AS19" s="515"/>
      <c r="AT19" s="527"/>
    </row>
    <row r="20" spans="1:46" ht="44.5" customHeight="1" x14ac:dyDescent="0.35">
      <c r="A20" s="1477"/>
      <c r="B20" s="472">
        <v>2</v>
      </c>
      <c r="C20" s="493"/>
      <c r="D20" s="494"/>
      <c r="E20" s="494"/>
      <c r="F20" s="495"/>
      <c r="G20" s="465"/>
      <c r="H20" s="663"/>
      <c r="I20" s="641"/>
      <c r="J20" s="527"/>
      <c r="K20" s="66"/>
      <c r="L20" s="470"/>
      <c r="M20" s="6"/>
      <c r="N20" s="6"/>
      <c r="O20" s="495"/>
      <c r="P20" s="465"/>
      <c r="Q20" s="663"/>
      <c r="R20" s="641"/>
      <c r="S20" s="527"/>
      <c r="T20" s="66"/>
      <c r="U20" s="470"/>
      <c r="V20" s="6"/>
      <c r="W20" s="6"/>
      <c r="X20" s="495"/>
      <c r="Y20" s="465"/>
      <c r="Z20" s="663"/>
      <c r="AA20" s="641"/>
      <c r="AB20" s="527"/>
      <c r="AC20" s="66"/>
      <c r="AD20" s="470"/>
      <c r="AE20" s="6"/>
      <c r="AF20" s="6"/>
      <c r="AG20" s="495"/>
      <c r="AH20" s="465"/>
      <c r="AI20" s="663"/>
      <c r="AJ20" s="641"/>
      <c r="AK20" s="527"/>
      <c r="AM20" s="470"/>
      <c r="AN20" s="6"/>
      <c r="AO20" s="6"/>
      <c r="AP20" s="495"/>
      <c r="AQ20" s="465"/>
      <c r="AR20" s="663"/>
      <c r="AS20" s="641"/>
      <c r="AT20" s="527"/>
    </row>
    <row r="21" spans="1:46" ht="39.65" customHeight="1" x14ac:dyDescent="0.35">
      <c r="A21" s="1478">
        <v>45545</v>
      </c>
      <c r="B21" s="472">
        <v>1</v>
      </c>
      <c r="C21" s="493"/>
      <c r="D21" s="494"/>
      <c r="E21" s="494"/>
      <c r="F21" s="495"/>
      <c r="G21" s="569"/>
      <c r="H21" s="514"/>
      <c r="I21" s="641"/>
      <c r="J21" s="674"/>
      <c r="K21" s="66"/>
      <c r="L21" s="470"/>
      <c r="M21" s="6"/>
      <c r="N21" s="6"/>
      <c r="O21" s="495"/>
      <c r="P21" s="470"/>
      <c r="Q21" s="6"/>
      <c r="R21" s="6"/>
      <c r="S21" s="674"/>
      <c r="T21" s="66"/>
      <c r="U21" s="470"/>
      <c r="V21" s="6"/>
      <c r="W21" s="6"/>
      <c r="X21" s="495"/>
      <c r="Y21" s="465"/>
      <c r="Z21" s="6"/>
      <c r="AA21" s="641"/>
      <c r="AB21" s="674"/>
      <c r="AC21" s="66"/>
      <c r="AD21" s="470"/>
      <c r="AE21" s="6"/>
      <c r="AF21" s="6"/>
      <c r="AG21" s="495"/>
      <c r="AH21" s="470"/>
      <c r="AI21" s="6"/>
      <c r="AJ21" s="641"/>
      <c r="AK21" s="674"/>
      <c r="AM21" s="470"/>
      <c r="AN21" s="6"/>
      <c r="AO21" s="6"/>
      <c r="AP21" s="495"/>
      <c r="AQ21" s="470"/>
      <c r="AR21" s="502"/>
      <c r="AS21" s="47"/>
      <c r="AT21" s="674"/>
    </row>
    <row r="22" spans="1:46" ht="49.95" customHeight="1" x14ac:dyDescent="0.35">
      <c r="A22" s="1477"/>
      <c r="B22" s="472">
        <v>2</v>
      </c>
      <c r="C22" s="493"/>
      <c r="D22" s="494"/>
      <c r="E22" s="494"/>
      <c r="F22" s="495">
        <v>179</v>
      </c>
      <c r="G22" s="562"/>
      <c r="H22" s="515"/>
      <c r="I22" s="641"/>
      <c r="J22" s="527" t="s">
        <v>960</v>
      </c>
      <c r="K22" s="66"/>
      <c r="L22" s="470"/>
      <c r="M22" s="6"/>
      <c r="N22" s="6"/>
      <c r="O22" s="495">
        <v>182</v>
      </c>
      <c r="P22" s="469"/>
      <c r="Q22" s="515"/>
      <c r="R22" s="6"/>
      <c r="S22" s="527" t="s">
        <v>960</v>
      </c>
      <c r="T22" s="66"/>
      <c r="U22" s="470"/>
      <c r="V22" s="6"/>
      <c r="W22" s="6"/>
      <c r="X22" s="495">
        <v>178</v>
      </c>
      <c r="Y22" s="465"/>
      <c r="Z22" s="515"/>
      <c r="AA22" s="579"/>
      <c r="AB22" s="527" t="s">
        <v>960</v>
      </c>
      <c r="AC22" s="66"/>
      <c r="AD22" s="470"/>
      <c r="AE22" s="6"/>
      <c r="AF22" s="6"/>
      <c r="AG22" s="495">
        <v>181</v>
      </c>
      <c r="AH22" s="470"/>
      <c r="AI22" s="6"/>
      <c r="AJ22" s="579"/>
      <c r="AK22" s="527" t="s">
        <v>960</v>
      </c>
      <c r="AM22" s="470"/>
      <c r="AN22" s="6"/>
      <c r="AO22" s="6"/>
      <c r="AP22" s="495">
        <v>191</v>
      </c>
      <c r="AQ22" s="470"/>
      <c r="AR22" s="515"/>
      <c r="AS22" s="47"/>
      <c r="AT22" s="527" t="s">
        <v>960</v>
      </c>
    </row>
    <row r="23" spans="1:46" ht="47.5" customHeight="1" x14ac:dyDescent="0.35">
      <c r="A23" s="1478">
        <v>45546</v>
      </c>
      <c r="B23" s="534">
        <v>1</v>
      </c>
      <c r="C23" s="493"/>
      <c r="D23" s="494"/>
      <c r="E23" s="494"/>
      <c r="F23" s="495"/>
      <c r="G23" s="566"/>
      <c r="H23" s="514"/>
      <c r="I23" s="641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465"/>
      <c r="Z23" s="515"/>
      <c r="AA23" s="641"/>
      <c r="AB23" s="527"/>
      <c r="AC23" s="66"/>
      <c r="AD23" s="470"/>
      <c r="AE23" s="6"/>
      <c r="AF23" s="509"/>
      <c r="AG23" s="495"/>
      <c r="AH23" s="470"/>
      <c r="AI23" s="514"/>
      <c r="AJ23" s="515"/>
      <c r="AK23" s="527"/>
      <c r="AM23" s="470"/>
      <c r="AN23" s="6"/>
      <c r="AO23" s="6"/>
      <c r="AP23" s="495"/>
      <c r="AQ23" s="6"/>
      <c r="AR23" s="514"/>
      <c r="AS23" s="573"/>
      <c r="AT23" s="527"/>
    </row>
    <row r="24" spans="1:46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5"/>
      <c r="I24" s="641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6"/>
      <c r="V24" s="495"/>
      <c r="W24" s="566"/>
      <c r="X24" s="495"/>
      <c r="Y24" s="641"/>
      <c r="Z24" s="514"/>
      <c r="AA24" s="641"/>
      <c r="AB24" s="527"/>
      <c r="AC24" s="66"/>
      <c r="AD24" s="470"/>
      <c r="AE24" s="6"/>
      <c r="AF24" s="509"/>
      <c r="AG24" s="495"/>
      <c r="AH24" s="641"/>
      <c r="AI24" s="514"/>
      <c r="AJ24" s="515"/>
      <c r="AK24" s="527"/>
      <c r="AM24" s="470"/>
      <c r="AN24" s="6"/>
      <c r="AO24" s="6"/>
      <c r="AP24" s="495"/>
      <c r="AQ24" s="514"/>
      <c r="AR24" s="514"/>
      <c r="AS24" s="527"/>
      <c r="AT24" s="527"/>
    </row>
    <row r="25" spans="1:46" ht="53.5" customHeight="1" x14ac:dyDescent="0.35">
      <c r="A25" s="1478">
        <v>45547</v>
      </c>
      <c r="B25" s="472">
        <v>1</v>
      </c>
      <c r="C25" s="493"/>
      <c r="D25" s="494"/>
      <c r="E25" s="494"/>
      <c r="F25" s="495">
        <v>37</v>
      </c>
      <c r="G25" s="566"/>
      <c r="H25" s="514"/>
      <c r="I25" s="641"/>
      <c r="J25" s="527" t="s">
        <v>960</v>
      </c>
      <c r="K25" s="66"/>
      <c r="L25" s="470"/>
      <c r="M25" s="6"/>
      <c r="N25" s="6"/>
      <c r="O25" s="495">
        <v>14</v>
      </c>
      <c r="P25" s="470"/>
      <c r="Q25" s="514"/>
      <c r="R25" s="6"/>
      <c r="S25" s="527" t="s">
        <v>960</v>
      </c>
      <c r="T25" s="66"/>
      <c r="U25" s="470"/>
      <c r="V25" s="6"/>
      <c r="W25" s="6">
        <v>60</v>
      </c>
      <c r="X25" s="495">
        <v>12</v>
      </c>
      <c r="Y25" s="465"/>
      <c r="Z25" s="502"/>
      <c r="AA25" s="579" t="s">
        <v>962</v>
      </c>
      <c r="AB25" s="527" t="s">
        <v>960</v>
      </c>
      <c r="AC25" s="66"/>
      <c r="AD25" s="470"/>
      <c r="AE25" s="6"/>
      <c r="AF25" s="6"/>
      <c r="AG25" s="495">
        <v>40</v>
      </c>
      <c r="AH25" s="6"/>
      <c r="AI25" s="502"/>
      <c r="AJ25" s="515"/>
      <c r="AK25" s="527" t="s">
        <v>960</v>
      </c>
      <c r="AM25" s="470"/>
      <c r="AN25" s="6"/>
      <c r="AO25" s="6"/>
      <c r="AP25" s="495">
        <v>20</v>
      </c>
      <c r="AQ25" s="6"/>
      <c r="AR25" s="6"/>
      <c r="AS25" s="47"/>
      <c r="AT25" s="527" t="s">
        <v>960</v>
      </c>
    </row>
    <row r="26" spans="1:46" ht="42" customHeight="1" x14ac:dyDescent="0.35">
      <c r="A26" s="1477"/>
      <c r="B26" s="472">
        <v>2</v>
      </c>
      <c r="C26" s="493"/>
      <c r="D26" s="494"/>
      <c r="E26" s="494"/>
      <c r="F26" s="495">
        <v>720</v>
      </c>
      <c r="G26" s="566"/>
      <c r="H26" s="515"/>
      <c r="I26" s="641"/>
      <c r="J26" s="527" t="s">
        <v>960</v>
      </c>
      <c r="K26" s="66"/>
      <c r="L26" s="470"/>
      <c r="M26" s="6"/>
      <c r="N26" s="6"/>
      <c r="O26" s="495">
        <v>720</v>
      </c>
      <c r="P26" s="566"/>
      <c r="Q26" s="515"/>
      <c r="R26" s="573"/>
      <c r="S26" s="527" t="s">
        <v>960</v>
      </c>
      <c r="T26" s="66"/>
      <c r="U26" s="470"/>
      <c r="V26" s="494"/>
      <c r="W26" s="6"/>
      <c r="X26" s="495">
        <v>720</v>
      </c>
      <c r="Y26" s="641"/>
      <c r="Z26" s="515"/>
      <c r="AA26" s="579"/>
      <c r="AB26" s="527" t="s">
        <v>960</v>
      </c>
      <c r="AC26" s="66"/>
      <c r="AD26" s="470"/>
      <c r="AE26" s="494"/>
      <c r="AF26" s="6"/>
      <c r="AG26" s="495">
        <v>720</v>
      </c>
      <c r="AH26" s="641"/>
      <c r="AI26" s="515"/>
      <c r="AJ26" s="573"/>
      <c r="AK26" s="527" t="s">
        <v>960</v>
      </c>
      <c r="AM26" s="470"/>
      <c r="AN26" s="494"/>
      <c r="AO26" s="6"/>
      <c r="AP26" s="495">
        <v>720</v>
      </c>
      <c r="AQ26" s="566"/>
      <c r="AR26" s="515"/>
      <c r="AS26" s="47"/>
      <c r="AT26" s="527" t="s">
        <v>960</v>
      </c>
    </row>
    <row r="27" spans="1:46" ht="49.95" customHeight="1" x14ac:dyDescent="0.35">
      <c r="A27" s="1478">
        <v>45548</v>
      </c>
      <c r="B27" s="534">
        <v>1</v>
      </c>
      <c r="C27" s="493"/>
      <c r="D27" s="494"/>
      <c r="E27" s="494"/>
      <c r="F27" s="495">
        <v>720</v>
      </c>
      <c r="G27" s="566"/>
      <c r="H27" s="514"/>
      <c r="I27" s="573"/>
      <c r="J27" s="527" t="s">
        <v>960</v>
      </c>
      <c r="K27" s="66"/>
      <c r="L27" s="470"/>
      <c r="M27" s="6"/>
      <c r="N27" s="6"/>
      <c r="O27" s="495">
        <v>720</v>
      </c>
      <c r="P27" s="566"/>
      <c r="Q27" s="514"/>
      <c r="R27" s="515"/>
      <c r="S27" s="527" t="s">
        <v>960</v>
      </c>
      <c r="T27" s="66"/>
      <c r="U27" s="470"/>
      <c r="V27" s="6"/>
      <c r="W27" s="6"/>
      <c r="X27" s="495">
        <v>720</v>
      </c>
      <c r="Y27" s="566"/>
      <c r="Z27" s="515"/>
      <c r="AA27" s="579"/>
      <c r="AB27" s="527" t="s">
        <v>960</v>
      </c>
      <c r="AC27" s="66"/>
      <c r="AD27" s="470"/>
      <c r="AE27" s="6"/>
      <c r="AF27" s="6"/>
      <c r="AG27" s="495">
        <v>720</v>
      </c>
      <c r="AH27" s="566"/>
      <c r="AI27" s="502"/>
      <c r="AJ27" s="515"/>
      <c r="AK27" s="527" t="s">
        <v>960</v>
      </c>
      <c r="AM27" s="470"/>
      <c r="AN27" s="6"/>
      <c r="AO27" s="6"/>
      <c r="AP27" s="495">
        <v>720</v>
      </c>
      <c r="AQ27" s="502"/>
      <c r="AR27" s="6"/>
      <c r="AS27" s="573"/>
      <c r="AT27" s="527" t="s">
        <v>960</v>
      </c>
    </row>
    <row r="28" spans="1:46" ht="72" customHeight="1" x14ac:dyDescent="0.35">
      <c r="A28" s="1477"/>
      <c r="B28" s="472">
        <v>2</v>
      </c>
      <c r="C28" s="493"/>
      <c r="D28" s="494"/>
      <c r="E28" s="494"/>
      <c r="F28" s="495">
        <v>720</v>
      </c>
      <c r="G28" s="515"/>
      <c r="H28" s="515"/>
      <c r="I28" s="573"/>
      <c r="J28" s="527" t="s">
        <v>960</v>
      </c>
      <c r="K28" s="66"/>
      <c r="L28" s="470"/>
      <c r="M28" s="6"/>
      <c r="N28" s="6"/>
      <c r="O28" s="495">
        <v>720</v>
      </c>
      <c r="P28" s="515"/>
      <c r="Q28" s="515"/>
      <c r="R28" s="515"/>
      <c r="S28" s="527" t="s">
        <v>960</v>
      </c>
      <c r="T28" s="66"/>
      <c r="U28" s="470"/>
      <c r="V28" s="6"/>
      <c r="W28" s="66"/>
      <c r="X28" s="495">
        <v>720</v>
      </c>
      <c r="Y28" s="515"/>
      <c r="Z28" s="6"/>
      <c r="AA28" s="579"/>
      <c r="AB28" s="527" t="s">
        <v>960</v>
      </c>
      <c r="AC28" s="66"/>
      <c r="AD28" s="470"/>
      <c r="AE28" s="6"/>
      <c r="AF28" s="6"/>
      <c r="AG28" s="495">
        <v>720</v>
      </c>
      <c r="AH28" s="566"/>
      <c r="AI28" s="502"/>
      <c r="AJ28" s="573"/>
      <c r="AK28" s="527" t="s">
        <v>960</v>
      </c>
      <c r="AM28" s="470"/>
      <c r="AN28" s="6"/>
      <c r="AO28" s="6"/>
      <c r="AP28" s="495">
        <v>720</v>
      </c>
      <c r="AQ28" s="502"/>
      <c r="AR28" s="6"/>
      <c r="AS28" s="47"/>
      <c r="AT28" s="527" t="s">
        <v>960</v>
      </c>
    </row>
    <row r="29" spans="1:46" ht="66" customHeight="1" x14ac:dyDescent="0.35">
      <c r="A29" s="1478">
        <v>45549</v>
      </c>
      <c r="B29" s="472">
        <v>1</v>
      </c>
      <c r="C29" s="493"/>
      <c r="D29" s="494"/>
      <c r="E29" s="494"/>
      <c r="F29" s="495">
        <v>720</v>
      </c>
      <c r="G29" s="515"/>
      <c r="H29" s="514"/>
      <c r="I29" s="573"/>
      <c r="J29" s="527" t="s">
        <v>960</v>
      </c>
      <c r="K29" s="66"/>
      <c r="L29" s="470"/>
      <c r="M29" s="6"/>
      <c r="N29" s="6"/>
      <c r="O29" s="495">
        <v>720</v>
      </c>
      <c r="P29" s="566"/>
      <c r="Q29" s="515"/>
      <c r="R29" s="515"/>
      <c r="S29" s="527" t="s">
        <v>960</v>
      </c>
      <c r="T29" s="66"/>
      <c r="U29" s="470"/>
      <c r="V29" s="6"/>
      <c r="W29" s="6"/>
      <c r="X29" s="495">
        <v>720</v>
      </c>
      <c r="Y29" s="515"/>
      <c r="Z29" s="514"/>
      <c r="AA29" s="579"/>
      <c r="AB29" s="527" t="s">
        <v>960</v>
      </c>
      <c r="AC29" s="66"/>
      <c r="AD29" s="470"/>
      <c r="AE29" s="6"/>
      <c r="AF29" s="6"/>
      <c r="AG29" s="495">
        <v>720</v>
      </c>
      <c r="AH29" s="566"/>
      <c r="AI29" s="514"/>
      <c r="AJ29" s="515"/>
      <c r="AK29" s="527" t="s">
        <v>960</v>
      </c>
      <c r="AM29" s="470"/>
      <c r="AN29" s="6"/>
      <c r="AO29" s="6"/>
      <c r="AP29" s="495">
        <v>720</v>
      </c>
      <c r="AQ29" s="502"/>
      <c r="AR29" s="514"/>
      <c r="AS29" s="47"/>
      <c r="AT29" s="527" t="s">
        <v>960</v>
      </c>
    </row>
    <row r="30" spans="1:46" ht="39.65" customHeight="1" x14ac:dyDescent="0.35">
      <c r="A30" s="1477"/>
      <c r="B30" s="534">
        <v>2</v>
      </c>
      <c r="C30" s="493"/>
      <c r="D30" s="494"/>
      <c r="E30" s="494"/>
      <c r="F30" s="495">
        <v>720</v>
      </c>
      <c r="G30" s="515"/>
      <c r="H30" s="514"/>
      <c r="I30" s="573"/>
      <c r="J30" s="527" t="s">
        <v>960</v>
      </c>
      <c r="K30" s="66"/>
      <c r="L30" s="470"/>
      <c r="M30" s="6"/>
      <c r="N30" s="6"/>
      <c r="O30" s="495">
        <v>720</v>
      </c>
      <c r="P30" s="566"/>
      <c r="Q30" s="515"/>
      <c r="R30" s="515"/>
      <c r="S30" s="527" t="s">
        <v>960</v>
      </c>
      <c r="T30" s="66"/>
      <c r="U30" s="470"/>
      <c r="V30" s="6"/>
      <c r="W30" s="6"/>
      <c r="X30" s="495">
        <v>720</v>
      </c>
      <c r="Y30" s="515"/>
      <c r="Z30" s="514"/>
      <c r="AA30" s="579"/>
      <c r="AB30" s="527" t="s">
        <v>960</v>
      </c>
      <c r="AC30" s="66"/>
      <c r="AD30" s="470"/>
      <c r="AE30" s="6"/>
      <c r="AF30" s="6"/>
      <c r="AG30" s="495">
        <v>720</v>
      </c>
      <c r="AH30" s="566"/>
      <c r="AI30" s="515"/>
      <c r="AJ30" s="515"/>
      <c r="AK30" s="527" t="s">
        <v>960</v>
      </c>
      <c r="AM30" s="470"/>
      <c r="AN30" s="6"/>
      <c r="AO30" s="6"/>
      <c r="AP30" s="495">
        <v>720</v>
      </c>
      <c r="AQ30" s="469"/>
      <c r="AR30" s="502"/>
      <c r="AS30" s="636"/>
      <c r="AT30" s="527" t="s">
        <v>960</v>
      </c>
    </row>
    <row r="31" spans="1:46" ht="39.65" customHeight="1" x14ac:dyDescent="0.35">
      <c r="A31" s="1478">
        <v>45550</v>
      </c>
      <c r="B31" s="472">
        <v>1</v>
      </c>
      <c r="C31" s="493"/>
      <c r="D31" s="494"/>
      <c r="E31" s="494"/>
      <c r="F31" s="495">
        <v>720</v>
      </c>
      <c r="G31" s="566"/>
      <c r="H31" s="515"/>
      <c r="I31" s="515"/>
      <c r="J31" s="527" t="s">
        <v>960</v>
      </c>
      <c r="K31" s="66"/>
      <c r="L31" s="470"/>
      <c r="M31" s="6"/>
      <c r="N31" s="6"/>
      <c r="O31" s="495">
        <v>720</v>
      </c>
      <c r="P31" s="509"/>
      <c r="Q31" s="6"/>
      <c r="R31" s="6"/>
      <c r="S31" s="527" t="s">
        <v>960</v>
      </c>
      <c r="T31" s="66"/>
      <c r="U31" s="470"/>
      <c r="V31" s="6"/>
      <c r="W31" s="6"/>
      <c r="X31" s="495">
        <v>720</v>
      </c>
      <c r="Y31" s="469"/>
      <c r="Z31" s="6"/>
      <c r="AA31" s="579"/>
      <c r="AB31" s="527" t="s">
        <v>960</v>
      </c>
      <c r="AC31" s="66"/>
      <c r="AD31" s="470"/>
      <c r="AE31" s="6"/>
      <c r="AF31" s="6"/>
      <c r="AG31" s="495">
        <v>720</v>
      </c>
      <c r="AH31" s="566"/>
      <c r="AI31" s="6"/>
      <c r="AJ31" s="6"/>
      <c r="AK31" s="527" t="s">
        <v>960</v>
      </c>
      <c r="AM31" s="470"/>
      <c r="AN31" s="6"/>
      <c r="AO31" s="6"/>
      <c r="AP31" s="495">
        <v>720</v>
      </c>
      <c r="AQ31" s="509"/>
      <c r="AR31" s="6"/>
      <c r="AS31" s="6"/>
      <c r="AT31" s="527" t="s">
        <v>960</v>
      </c>
    </row>
    <row r="32" spans="1:46" ht="63" customHeight="1" x14ac:dyDescent="0.35">
      <c r="A32" s="1477"/>
      <c r="B32" s="472">
        <v>2</v>
      </c>
      <c r="C32" s="493"/>
      <c r="D32" s="494"/>
      <c r="E32" s="494"/>
      <c r="F32" s="495">
        <v>720</v>
      </c>
      <c r="G32" s="566"/>
      <c r="H32" s="565"/>
      <c r="I32" s="573"/>
      <c r="J32" s="527" t="s">
        <v>960</v>
      </c>
      <c r="K32" s="66"/>
      <c r="L32" s="470"/>
      <c r="M32" s="6"/>
      <c r="N32" s="6"/>
      <c r="O32" s="495">
        <v>720</v>
      </c>
      <c r="P32" s="509"/>
      <c r="Q32" s="6"/>
      <c r="R32" s="6"/>
      <c r="S32" s="527" t="s">
        <v>960</v>
      </c>
      <c r="T32" s="66"/>
      <c r="U32" s="470"/>
      <c r="V32" s="6"/>
      <c r="W32" s="494"/>
      <c r="X32" s="495">
        <v>720</v>
      </c>
      <c r="Y32" s="566"/>
      <c r="Z32" s="566"/>
      <c r="AA32" s="579"/>
      <c r="AB32" s="527" t="s">
        <v>960</v>
      </c>
      <c r="AC32" s="66"/>
      <c r="AD32" s="470"/>
      <c r="AE32" s="6"/>
      <c r="AF32" s="494"/>
      <c r="AG32" s="495">
        <v>720</v>
      </c>
      <c r="AH32" s="566"/>
      <c r="AI32" s="566"/>
      <c r="AJ32" s="579"/>
      <c r="AK32" s="527" t="s">
        <v>960</v>
      </c>
      <c r="AM32" s="470"/>
      <c r="AN32" s="6"/>
      <c r="AO32" s="6"/>
      <c r="AP32" s="495">
        <v>720</v>
      </c>
      <c r="AQ32" s="509"/>
      <c r="AR32" s="502"/>
      <c r="AS32" s="565"/>
      <c r="AT32" s="527" t="s">
        <v>960</v>
      </c>
    </row>
    <row r="33" spans="1:46" ht="43.2" customHeight="1" x14ac:dyDescent="0.35">
      <c r="A33" s="1478">
        <v>45551</v>
      </c>
      <c r="B33" s="472">
        <v>1</v>
      </c>
      <c r="C33" s="493"/>
      <c r="D33" s="494"/>
      <c r="E33" s="494"/>
      <c r="F33" s="495">
        <v>720</v>
      </c>
      <c r="G33" s="566"/>
      <c r="H33" s="515"/>
      <c r="I33" s="579"/>
      <c r="J33" s="527" t="s">
        <v>960</v>
      </c>
      <c r="K33" s="66"/>
      <c r="L33" s="470"/>
      <c r="M33" s="6"/>
      <c r="N33" s="6"/>
      <c r="O33" s="495">
        <v>720</v>
      </c>
      <c r="P33" s="509"/>
      <c r="Q33" s="6"/>
      <c r="R33" s="6"/>
      <c r="S33" s="527" t="s">
        <v>960</v>
      </c>
      <c r="T33" s="66"/>
      <c r="U33" s="470"/>
      <c r="V33" s="6"/>
      <c r="W33" s="6"/>
      <c r="X33" s="495">
        <v>720</v>
      </c>
      <c r="Y33" s="509"/>
      <c r="Z33" s="6"/>
      <c r="AA33" s="579"/>
      <c r="AB33" s="527" t="s">
        <v>960</v>
      </c>
      <c r="AC33" s="66"/>
      <c r="AD33" s="470"/>
      <c r="AE33" s="6"/>
      <c r="AF33" s="6"/>
      <c r="AG33" s="495">
        <v>720</v>
      </c>
      <c r="AH33" s="509"/>
      <c r="AI33" s="502"/>
      <c r="AJ33" s="579"/>
      <c r="AK33" s="527" t="s">
        <v>960</v>
      </c>
      <c r="AM33" s="470"/>
      <c r="AN33" s="6"/>
      <c r="AO33" s="6"/>
      <c r="AP33" s="495">
        <v>720</v>
      </c>
      <c r="AQ33" s="509"/>
      <c r="AR33" s="502"/>
      <c r="AS33" s="6"/>
      <c r="AT33" s="527" t="s">
        <v>960</v>
      </c>
    </row>
    <row r="34" spans="1:46" ht="67.95" customHeight="1" x14ac:dyDescent="0.35">
      <c r="A34" s="1477"/>
      <c r="B34" s="534">
        <v>2</v>
      </c>
      <c r="C34" s="494"/>
      <c r="D34" s="494"/>
      <c r="E34" s="494"/>
      <c r="F34" s="495">
        <v>720</v>
      </c>
      <c r="G34" s="565"/>
      <c r="H34" s="515"/>
      <c r="I34" s="579"/>
      <c r="J34" s="527" t="s">
        <v>960</v>
      </c>
      <c r="K34" s="66"/>
      <c r="L34" s="470"/>
      <c r="M34" s="6"/>
      <c r="N34" s="6"/>
      <c r="O34" s="495">
        <v>720</v>
      </c>
      <c r="P34" s="509"/>
      <c r="Q34" s="515"/>
      <c r="R34" s="6"/>
      <c r="S34" s="527" t="s">
        <v>960</v>
      </c>
      <c r="T34" s="66"/>
      <c r="U34" s="470"/>
      <c r="V34" s="6"/>
      <c r="W34" s="6"/>
      <c r="X34" s="495">
        <v>720</v>
      </c>
      <c r="Y34" s="502"/>
      <c r="Z34" s="502"/>
      <c r="AA34" s="579"/>
      <c r="AB34" s="527" t="s">
        <v>960</v>
      </c>
      <c r="AC34" s="66"/>
      <c r="AD34" s="470"/>
      <c r="AE34" s="6"/>
      <c r="AF34" s="6"/>
      <c r="AG34" s="495">
        <v>720</v>
      </c>
      <c r="AH34" s="509"/>
      <c r="AI34" s="6"/>
      <c r="AJ34" s="502"/>
      <c r="AK34" s="527" t="s">
        <v>960</v>
      </c>
      <c r="AM34" s="470"/>
      <c r="AN34" s="6"/>
      <c r="AO34" s="6"/>
      <c r="AP34" s="495">
        <v>720</v>
      </c>
      <c r="AQ34" s="509"/>
      <c r="AR34" s="6"/>
      <c r="AS34" s="636"/>
      <c r="AT34" s="527" t="s">
        <v>960</v>
      </c>
    </row>
    <row r="35" spans="1:46" ht="51" customHeight="1" x14ac:dyDescent="0.35">
      <c r="A35" s="1478">
        <v>45552</v>
      </c>
      <c r="B35" s="472">
        <v>1</v>
      </c>
      <c r="C35" s="494"/>
      <c r="D35" s="494"/>
      <c r="E35" s="47"/>
      <c r="F35" s="495">
        <v>720</v>
      </c>
      <c r="G35" s="465"/>
      <c r="H35" s="509"/>
      <c r="I35" s="573"/>
      <c r="J35" s="527" t="s">
        <v>960</v>
      </c>
      <c r="K35" s="66"/>
      <c r="L35" s="470"/>
      <c r="M35" s="6"/>
      <c r="N35" s="6"/>
      <c r="O35" s="495">
        <v>720</v>
      </c>
      <c r="P35" s="465"/>
      <c r="Q35" s="576"/>
      <c r="R35" s="515"/>
      <c r="S35" s="527" t="s">
        <v>960</v>
      </c>
      <c r="T35" s="66"/>
      <c r="U35" s="470"/>
      <c r="V35" s="6"/>
      <c r="W35" s="47"/>
      <c r="X35" s="495">
        <v>720</v>
      </c>
      <c r="Y35" s="465"/>
      <c r="Z35" s="502"/>
      <c r="AA35" s="579"/>
      <c r="AB35" s="527" t="s">
        <v>960</v>
      </c>
      <c r="AC35" s="66"/>
      <c r="AD35" s="470"/>
      <c r="AE35" s="6"/>
      <c r="AF35" s="6"/>
      <c r="AG35" s="495">
        <v>720</v>
      </c>
      <c r="AH35" s="465"/>
      <c r="AI35" s="6"/>
      <c r="AJ35" s="565"/>
      <c r="AK35" s="527" t="s">
        <v>960</v>
      </c>
      <c r="AM35" s="470"/>
      <c r="AN35" s="6"/>
      <c r="AO35" s="47"/>
      <c r="AP35" s="495">
        <v>720</v>
      </c>
      <c r="AQ35" s="465"/>
      <c r="AR35" s="573"/>
      <c r="AS35" s="636"/>
      <c r="AT35" s="527" t="s">
        <v>960</v>
      </c>
    </row>
    <row r="36" spans="1:46" ht="46.95" customHeight="1" x14ac:dyDescent="0.35">
      <c r="A36" s="1477"/>
      <c r="B36" s="472">
        <v>2</v>
      </c>
      <c r="C36" s="47"/>
      <c r="D36" s="6"/>
      <c r="E36" s="47"/>
      <c r="F36" s="495">
        <v>720</v>
      </c>
      <c r="G36" s="573"/>
      <c r="H36" s="515"/>
      <c r="I36" s="641"/>
      <c r="J36" s="527" t="s">
        <v>960</v>
      </c>
      <c r="K36" s="66"/>
      <c r="L36" s="465"/>
      <c r="M36" s="6"/>
      <c r="N36" s="6"/>
      <c r="O36" s="495">
        <v>720</v>
      </c>
      <c r="P36" s="465"/>
      <c r="Q36" s="515"/>
      <c r="R36" s="502"/>
      <c r="S36" s="527" t="s">
        <v>960</v>
      </c>
      <c r="T36" s="66"/>
      <c r="U36" s="470"/>
      <c r="V36" s="6"/>
      <c r="W36" s="6"/>
      <c r="X36" s="495">
        <v>720</v>
      </c>
      <c r="Y36" s="465"/>
      <c r="Z36" s="515"/>
      <c r="AA36" s="579"/>
      <c r="AB36" s="527" t="s">
        <v>960</v>
      </c>
      <c r="AC36" s="66"/>
      <c r="AD36" s="470"/>
      <c r="AE36" s="6"/>
      <c r="AF36" s="47"/>
      <c r="AG36" s="495">
        <v>720</v>
      </c>
      <c r="AH36" s="465"/>
      <c r="AI36" s="502"/>
      <c r="AJ36" s="579"/>
      <c r="AK36" s="527" t="s">
        <v>960</v>
      </c>
      <c r="AM36" s="470"/>
      <c r="AN36" s="6"/>
      <c r="AO36" s="470"/>
      <c r="AP36" s="495">
        <v>720</v>
      </c>
      <c r="AQ36" s="509"/>
      <c r="AR36" s="469"/>
      <c r="AS36" s="465"/>
      <c r="AT36" s="527" t="s">
        <v>960</v>
      </c>
    </row>
    <row r="37" spans="1:46" ht="59.5" customHeight="1" x14ac:dyDescent="0.35">
      <c r="A37" s="1478">
        <v>45553</v>
      </c>
      <c r="B37" s="534">
        <v>1</v>
      </c>
      <c r="C37" s="47"/>
      <c r="D37" s="494"/>
      <c r="E37" s="47"/>
      <c r="F37" s="495">
        <v>720</v>
      </c>
      <c r="G37" s="573"/>
      <c r="H37" s="469"/>
      <c r="I37" s="641"/>
      <c r="J37" s="527" t="s">
        <v>960</v>
      </c>
      <c r="K37" s="66"/>
      <c r="L37" s="470"/>
      <c r="M37" s="6"/>
      <c r="N37" s="6"/>
      <c r="O37" s="495">
        <v>720</v>
      </c>
      <c r="P37" s="509"/>
      <c r="Q37" s="6"/>
      <c r="R37" s="6"/>
      <c r="S37" s="527" t="s">
        <v>960</v>
      </c>
      <c r="T37" s="66"/>
      <c r="U37" s="470"/>
      <c r="V37" s="6"/>
      <c r="W37" s="6"/>
      <c r="X37" s="495">
        <v>720</v>
      </c>
      <c r="Y37" s="509"/>
      <c r="Z37" s="502"/>
      <c r="AA37" s="579"/>
      <c r="AB37" s="527" t="s">
        <v>960</v>
      </c>
      <c r="AC37" s="66"/>
      <c r="AD37" s="470"/>
      <c r="AE37" s="6"/>
      <c r="AF37" s="6"/>
      <c r="AG37" s="495">
        <v>720</v>
      </c>
      <c r="AH37" s="469"/>
      <c r="AI37" s="6"/>
      <c r="AJ37" s="579"/>
      <c r="AK37" s="527" t="s">
        <v>960</v>
      </c>
      <c r="AM37" s="470"/>
      <c r="AN37" s="6"/>
      <c r="AO37" s="6"/>
      <c r="AP37" s="495">
        <v>720</v>
      </c>
      <c r="AQ37" s="509"/>
      <c r="AR37" s="6"/>
      <c r="AS37" s="6"/>
      <c r="AT37" s="527" t="s">
        <v>960</v>
      </c>
    </row>
    <row r="38" spans="1:46" ht="55.95" customHeight="1" x14ac:dyDescent="0.35">
      <c r="A38" s="1477"/>
      <c r="B38" s="472">
        <v>2</v>
      </c>
      <c r="C38" s="47"/>
      <c r="D38" s="494"/>
      <c r="E38" s="47"/>
      <c r="F38" s="495">
        <v>720</v>
      </c>
      <c r="G38" s="573"/>
      <c r="H38" s="469"/>
      <c r="I38" s="641"/>
      <c r="J38" s="527" t="s">
        <v>960</v>
      </c>
      <c r="K38" s="66"/>
      <c r="L38" s="470"/>
      <c r="M38" s="6"/>
      <c r="N38" s="6"/>
      <c r="O38" s="495">
        <v>720</v>
      </c>
      <c r="P38" s="469"/>
      <c r="Q38" s="469"/>
      <c r="R38" s="6"/>
      <c r="S38" s="527" t="s">
        <v>960</v>
      </c>
      <c r="T38" s="66"/>
      <c r="U38" s="470"/>
      <c r="V38" s="6"/>
      <c r="W38" s="6"/>
      <c r="X38" s="495">
        <v>720</v>
      </c>
      <c r="Y38" s="469"/>
      <c r="Z38" s="502"/>
      <c r="AA38" s="579"/>
      <c r="AB38" s="527" t="s">
        <v>960</v>
      </c>
      <c r="AC38" s="66"/>
      <c r="AD38" s="470"/>
      <c r="AE38" s="6"/>
      <c r="AF38" s="6"/>
      <c r="AG38" s="495">
        <v>720</v>
      </c>
      <c r="AH38" s="469"/>
      <c r="AI38" s="6"/>
      <c r="AJ38" s="579"/>
      <c r="AK38" s="527" t="s">
        <v>960</v>
      </c>
      <c r="AM38" s="470"/>
      <c r="AN38" s="6"/>
      <c r="AO38" s="6"/>
      <c r="AP38" s="495">
        <v>720</v>
      </c>
      <c r="AQ38" s="469"/>
      <c r="AR38" s="6"/>
      <c r="AS38" s="465"/>
      <c r="AT38" s="527" t="s">
        <v>960</v>
      </c>
    </row>
    <row r="39" spans="1:46" ht="70.95" customHeight="1" x14ac:dyDescent="0.35">
      <c r="A39" s="1478">
        <v>45554</v>
      </c>
      <c r="B39" s="472">
        <v>1</v>
      </c>
      <c r="C39" s="47"/>
      <c r="D39" s="494"/>
      <c r="E39" s="47"/>
      <c r="F39" s="495">
        <v>720</v>
      </c>
      <c r="G39" s="573"/>
      <c r="H39" s="469"/>
      <c r="I39" s="641"/>
      <c r="J39" s="527" t="s">
        <v>960</v>
      </c>
      <c r="K39" s="66"/>
      <c r="L39" s="470"/>
      <c r="M39" s="6"/>
      <c r="N39" s="6"/>
      <c r="O39" s="495">
        <v>720</v>
      </c>
      <c r="P39" s="573"/>
      <c r="Q39" s="514"/>
      <c r="R39" s="6"/>
      <c r="S39" s="527" t="s">
        <v>960</v>
      </c>
      <c r="T39" s="66"/>
      <c r="U39" s="470"/>
      <c r="V39" s="6"/>
      <c r="W39" s="6"/>
      <c r="X39" s="495">
        <v>720</v>
      </c>
      <c r="Y39" s="509"/>
      <c r="Z39" s="514"/>
      <c r="AA39" s="579"/>
      <c r="AB39" s="527" t="s">
        <v>960</v>
      </c>
      <c r="AC39" s="66"/>
      <c r="AD39" s="470"/>
      <c r="AE39" s="6"/>
      <c r="AF39" s="6"/>
      <c r="AG39" s="495">
        <v>720</v>
      </c>
      <c r="AH39" s="573"/>
      <c r="AI39" s="514"/>
      <c r="AJ39" s="579"/>
      <c r="AK39" s="527" t="s">
        <v>960</v>
      </c>
      <c r="AM39" s="470"/>
      <c r="AN39" s="6"/>
      <c r="AO39" s="6"/>
      <c r="AP39" s="495">
        <v>720</v>
      </c>
      <c r="AQ39" s="515"/>
      <c r="AR39" s="573"/>
      <c r="AS39" s="579"/>
      <c r="AT39" s="527" t="s">
        <v>960</v>
      </c>
    </row>
    <row r="40" spans="1:46" ht="72.650000000000006" customHeight="1" x14ac:dyDescent="0.35">
      <c r="A40" s="1477"/>
      <c r="B40" s="472">
        <v>2</v>
      </c>
      <c r="C40" s="494"/>
      <c r="D40" s="494"/>
      <c r="E40" s="494"/>
      <c r="F40" s="495">
        <v>720</v>
      </c>
      <c r="G40" s="573"/>
      <c r="H40" s="469"/>
      <c r="I40" s="469"/>
      <c r="J40" s="527" t="s">
        <v>960</v>
      </c>
      <c r="K40" s="66"/>
      <c r="L40" s="470"/>
      <c r="M40" s="6"/>
      <c r="N40" s="6"/>
      <c r="O40" s="495">
        <v>720</v>
      </c>
      <c r="P40" s="566"/>
      <c r="Q40" s="514"/>
      <c r="R40" s="573"/>
      <c r="S40" s="527" t="s">
        <v>960</v>
      </c>
      <c r="T40" s="66"/>
      <c r="U40" s="470"/>
      <c r="V40" s="6"/>
      <c r="W40" s="6"/>
      <c r="X40" s="495">
        <v>720</v>
      </c>
      <c r="Y40" s="566"/>
      <c r="Z40" s="514"/>
      <c r="AA40" s="579"/>
      <c r="AB40" s="527" t="s">
        <v>960</v>
      </c>
      <c r="AC40" s="66"/>
      <c r="AD40" s="470"/>
      <c r="AE40" s="6"/>
      <c r="AF40" s="6"/>
      <c r="AG40" s="495">
        <v>720</v>
      </c>
      <c r="AH40" s="465"/>
      <c r="AI40" s="515"/>
      <c r="AJ40" s="579"/>
      <c r="AK40" s="527" t="s">
        <v>960</v>
      </c>
      <c r="AM40" s="465"/>
      <c r="AN40" s="6"/>
      <c r="AO40" s="6"/>
      <c r="AP40" s="495">
        <v>720</v>
      </c>
      <c r="AQ40" s="566"/>
      <c r="AR40" s="514"/>
      <c r="AS40" s="573"/>
      <c r="AT40" s="527" t="s">
        <v>960</v>
      </c>
    </row>
    <row r="41" spans="1:46" ht="39.65" customHeight="1" x14ac:dyDescent="0.35">
      <c r="A41" s="1478">
        <v>45555</v>
      </c>
      <c r="B41" s="472">
        <v>1</v>
      </c>
      <c r="C41" s="493"/>
      <c r="D41" s="494"/>
      <c r="E41" s="494"/>
      <c r="F41" s="495">
        <v>720</v>
      </c>
      <c r="G41" s="566"/>
      <c r="H41" s="515"/>
      <c r="I41" s="515"/>
      <c r="J41" s="527" t="s">
        <v>960</v>
      </c>
      <c r="K41" s="66"/>
      <c r="L41" s="470"/>
      <c r="M41" s="6"/>
      <c r="N41" s="6"/>
      <c r="O41" s="495">
        <v>720</v>
      </c>
      <c r="P41" s="509"/>
      <c r="Q41" s="6"/>
      <c r="R41" s="573"/>
      <c r="S41" s="527" t="s">
        <v>960</v>
      </c>
      <c r="T41" s="66"/>
      <c r="U41" s="470"/>
      <c r="V41" s="6"/>
      <c r="W41" s="6"/>
      <c r="X41" s="495">
        <v>720</v>
      </c>
      <c r="Y41" s="509"/>
      <c r="Z41" s="502"/>
      <c r="AA41" s="579"/>
      <c r="AB41" s="527" t="s">
        <v>960</v>
      </c>
      <c r="AC41" s="66"/>
      <c r="AD41" s="470"/>
      <c r="AE41" s="6"/>
      <c r="AF41" s="6"/>
      <c r="AG41" s="495">
        <v>720</v>
      </c>
      <c r="AH41" s="465"/>
      <c r="AI41" s="502"/>
      <c r="AJ41" s="6"/>
      <c r="AK41" s="527" t="s">
        <v>960</v>
      </c>
      <c r="AM41" s="470"/>
      <c r="AN41" s="6"/>
      <c r="AO41" s="6"/>
      <c r="AP41" s="495">
        <v>720</v>
      </c>
      <c r="AQ41" s="509"/>
      <c r="AR41" s="502"/>
      <c r="AS41" s="573"/>
      <c r="AT41" s="527" t="s">
        <v>960</v>
      </c>
    </row>
    <row r="42" spans="1:46" ht="52.95" customHeight="1" x14ac:dyDescent="0.35">
      <c r="A42" s="1477"/>
      <c r="B42" s="472">
        <v>2</v>
      </c>
      <c r="C42" s="494"/>
      <c r="D42" s="494"/>
      <c r="E42" s="494"/>
      <c r="F42" s="495">
        <v>720</v>
      </c>
      <c r="G42" s="566"/>
      <c r="H42" s="515"/>
      <c r="I42" s="573"/>
      <c r="J42" s="527" t="s">
        <v>960</v>
      </c>
      <c r="K42" s="66"/>
      <c r="L42" s="470"/>
      <c r="M42" s="6"/>
      <c r="N42" s="6"/>
      <c r="O42" s="495">
        <v>720</v>
      </c>
      <c r="P42" s="509"/>
      <c r="Q42" s="502"/>
      <c r="R42" s="6"/>
      <c r="S42" s="527" t="s">
        <v>960</v>
      </c>
      <c r="T42" s="66"/>
      <c r="U42" s="470"/>
      <c r="V42" s="6"/>
      <c r="W42" s="6"/>
      <c r="X42" s="495">
        <v>720</v>
      </c>
      <c r="Y42" s="469"/>
      <c r="Z42" s="6"/>
      <c r="AA42" s="579"/>
      <c r="AB42" s="527" t="s">
        <v>960</v>
      </c>
      <c r="AC42" s="66"/>
      <c r="AD42" s="470"/>
      <c r="AE42" s="6"/>
      <c r="AF42" s="6"/>
      <c r="AG42" s="495">
        <v>720</v>
      </c>
      <c r="AH42" s="509"/>
      <c r="AI42" s="502"/>
      <c r="AJ42" s="6"/>
      <c r="AK42" s="527" t="s">
        <v>960</v>
      </c>
      <c r="AM42" s="470"/>
      <c r="AN42" s="6"/>
      <c r="AO42" s="6"/>
      <c r="AP42" s="495">
        <v>720</v>
      </c>
      <c r="AQ42" s="509"/>
      <c r="AR42" s="6"/>
      <c r="AS42" s="6"/>
      <c r="AT42" s="527" t="s">
        <v>960</v>
      </c>
    </row>
    <row r="43" spans="1:46" ht="65.5" customHeight="1" x14ac:dyDescent="0.35">
      <c r="A43" s="1478">
        <v>45556</v>
      </c>
      <c r="B43" s="472">
        <v>1</v>
      </c>
      <c r="C43" s="494"/>
      <c r="D43" s="494"/>
      <c r="E43" s="494"/>
      <c r="F43" s="495">
        <v>720</v>
      </c>
      <c r="G43" s="514"/>
      <c r="H43" s="514"/>
      <c r="I43" s="641"/>
      <c r="J43" s="527" t="s">
        <v>960</v>
      </c>
      <c r="K43" s="66"/>
      <c r="L43" s="470"/>
      <c r="M43" s="6"/>
      <c r="N43" s="6"/>
      <c r="O43" s="495">
        <v>720</v>
      </c>
      <c r="P43" s="509"/>
      <c r="Q43" s="6"/>
      <c r="R43" s="6"/>
      <c r="S43" s="527" t="s">
        <v>960</v>
      </c>
      <c r="T43" s="66"/>
      <c r="U43" s="470"/>
      <c r="V43" s="6"/>
      <c r="W43" s="6"/>
      <c r="X43" s="495">
        <v>720</v>
      </c>
      <c r="Y43" s="509"/>
      <c r="Z43" s="6"/>
      <c r="AA43" s="579"/>
      <c r="AB43" s="527" t="s">
        <v>960</v>
      </c>
      <c r="AC43" s="66"/>
      <c r="AD43" s="470"/>
      <c r="AE43" s="6"/>
      <c r="AF43" s="6"/>
      <c r="AG43" s="495">
        <v>720</v>
      </c>
      <c r="AH43" s="502"/>
      <c r="AI43" s="515"/>
      <c r="AJ43" s="6"/>
      <c r="AK43" s="527" t="s">
        <v>960</v>
      </c>
      <c r="AM43" s="470"/>
      <c r="AN43" s="6"/>
      <c r="AO43" s="6"/>
      <c r="AP43" s="495">
        <v>720</v>
      </c>
      <c r="AQ43" s="502"/>
      <c r="AR43" s="515"/>
      <c r="AS43" s="6"/>
      <c r="AT43" s="527" t="s">
        <v>960</v>
      </c>
    </row>
    <row r="44" spans="1:46" ht="69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469"/>
      <c r="I44" s="469"/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/>
      <c r="W44" s="494"/>
      <c r="X44" s="495"/>
      <c r="Y44" s="514"/>
      <c r="Z44" s="515"/>
      <c r="AA44" s="579"/>
      <c r="AB44" s="527"/>
      <c r="AC44" s="66"/>
      <c r="AD44" s="470"/>
      <c r="AE44" s="6"/>
      <c r="AF44" s="6"/>
      <c r="AG44" s="508"/>
      <c r="AH44" s="509"/>
      <c r="AI44" s="502"/>
      <c r="AJ44" s="579"/>
      <c r="AK44" s="527"/>
      <c r="AM44" s="470"/>
      <c r="AN44" s="6"/>
      <c r="AO44" s="6"/>
      <c r="AP44" s="508"/>
      <c r="AQ44" s="509"/>
      <c r="AR44" s="502"/>
      <c r="AS44" s="502"/>
      <c r="AT44" s="527"/>
    </row>
    <row r="45" spans="1:46" ht="69" customHeight="1" x14ac:dyDescent="0.35">
      <c r="A45" s="1478">
        <v>45557</v>
      </c>
      <c r="B45" s="472">
        <v>1</v>
      </c>
      <c r="C45" s="494"/>
      <c r="D45" s="494"/>
      <c r="E45" s="494">
        <v>16</v>
      </c>
      <c r="F45" s="495">
        <v>46</v>
      </c>
      <c r="G45" s="514"/>
      <c r="H45" s="514"/>
      <c r="I45" s="573" t="s">
        <v>152</v>
      </c>
      <c r="J45" s="527" t="s">
        <v>960</v>
      </c>
      <c r="K45" s="66"/>
      <c r="L45" s="470"/>
      <c r="M45" s="6"/>
      <c r="N45" s="6"/>
      <c r="O45" s="508">
        <v>87</v>
      </c>
      <c r="P45" s="509"/>
      <c r="Q45" s="502"/>
      <c r="R45" s="6"/>
      <c r="S45" s="527" t="s">
        <v>960</v>
      </c>
      <c r="T45" s="66"/>
      <c r="U45" s="470">
        <v>30</v>
      </c>
      <c r="V45" s="502"/>
      <c r="W45" s="6"/>
      <c r="X45" s="495">
        <v>89</v>
      </c>
      <c r="Y45" s="509" t="s">
        <v>166</v>
      </c>
      <c r="Z45" s="502"/>
      <c r="AA45" s="502"/>
      <c r="AB45" s="527" t="s">
        <v>960</v>
      </c>
      <c r="AC45" s="66"/>
      <c r="AD45" s="470"/>
      <c r="AE45" s="6"/>
      <c r="AF45" s="6"/>
      <c r="AG45" s="508">
        <v>115</v>
      </c>
      <c r="AH45" s="509"/>
      <c r="AI45" s="502"/>
      <c r="AJ45" s="502"/>
      <c r="AK45" s="527" t="s">
        <v>960</v>
      </c>
      <c r="AM45" s="470"/>
      <c r="AN45" s="6"/>
      <c r="AO45" s="6">
        <v>13</v>
      </c>
      <c r="AP45" s="508">
        <v>78</v>
      </c>
      <c r="AQ45" s="509"/>
      <c r="AR45" s="502"/>
      <c r="AS45" s="6" t="s">
        <v>964</v>
      </c>
      <c r="AT45" s="527" t="s">
        <v>963</v>
      </c>
    </row>
    <row r="46" spans="1:46" ht="48.65" customHeight="1" x14ac:dyDescent="0.35">
      <c r="A46" s="1477"/>
      <c r="B46" s="472">
        <v>2</v>
      </c>
      <c r="C46" s="494"/>
      <c r="D46" s="494"/>
      <c r="E46" s="494">
        <v>10</v>
      </c>
      <c r="F46" s="495"/>
      <c r="G46" s="514"/>
      <c r="H46" s="514"/>
      <c r="I46" s="502" t="s">
        <v>965</v>
      </c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/>
      <c r="W46" s="6">
        <v>10</v>
      </c>
      <c r="X46" s="508"/>
      <c r="Y46" s="6"/>
      <c r="Z46" s="6"/>
      <c r="AA46" s="502" t="s">
        <v>965</v>
      </c>
      <c r="AB46" s="527"/>
      <c r="AC46" s="66"/>
      <c r="AD46" s="470"/>
      <c r="AE46" s="6"/>
      <c r="AF46" s="6"/>
      <c r="AG46" s="508"/>
      <c r="AH46" s="469"/>
      <c r="AI46" s="502"/>
      <c r="AJ46" s="579"/>
      <c r="AK46" s="527"/>
      <c r="AM46" s="470"/>
      <c r="AN46" s="6"/>
      <c r="AO46" s="6">
        <v>15</v>
      </c>
      <c r="AP46" s="508"/>
      <c r="AQ46" s="509"/>
      <c r="AR46" s="515"/>
      <c r="AS46" s="502" t="s">
        <v>965</v>
      </c>
      <c r="AT46" s="527"/>
    </row>
    <row r="47" spans="1:46" ht="58.95" customHeight="1" x14ac:dyDescent="0.35">
      <c r="A47" s="1478">
        <v>45558</v>
      </c>
      <c r="B47" s="472">
        <v>1</v>
      </c>
      <c r="C47" s="494"/>
      <c r="D47" s="494"/>
      <c r="E47" s="494">
        <v>12</v>
      </c>
      <c r="F47" s="495"/>
      <c r="G47" s="514"/>
      <c r="H47" s="515"/>
      <c r="I47" s="573" t="s">
        <v>152</v>
      </c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14"/>
      <c r="Z47" s="502"/>
      <c r="AA47" s="502"/>
      <c r="AB47" s="527"/>
      <c r="AC47" s="66"/>
      <c r="AD47" s="470">
        <v>678</v>
      </c>
      <c r="AE47" s="6"/>
      <c r="AF47" s="6"/>
      <c r="AG47" s="508"/>
      <c r="AH47" s="469" t="s">
        <v>968</v>
      </c>
      <c r="AI47" s="515"/>
      <c r="AJ47" s="579"/>
      <c r="AK47" s="508"/>
      <c r="AM47" s="470"/>
      <c r="AN47" s="6"/>
      <c r="AO47" s="6"/>
      <c r="AP47" s="508"/>
      <c r="AQ47" s="509"/>
      <c r="AR47" s="515"/>
      <c r="AS47" s="6"/>
      <c r="AT47" s="508"/>
    </row>
    <row r="48" spans="1:46" ht="34.950000000000003" customHeight="1" x14ac:dyDescent="0.35">
      <c r="A48" s="1477"/>
      <c r="B48" s="472">
        <v>2</v>
      </c>
      <c r="C48" s="494"/>
      <c r="D48" s="494"/>
      <c r="E48" s="494">
        <v>66</v>
      </c>
      <c r="F48" s="495"/>
      <c r="G48" s="515"/>
      <c r="H48" s="515"/>
      <c r="I48" s="573" t="s">
        <v>966</v>
      </c>
      <c r="J48" s="527"/>
      <c r="K48" s="66"/>
      <c r="L48" s="470"/>
      <c r="M48" s="6"/>
      <c r="N48" s="6"/>
      <c r="O48" s="495"/>
      <c r="P48" s="515"/>
      <c r="Q48" s="515"/>
      <c r="R48" s="573"/>
      <c r="S48" s="527"/>
      <c r="T48" s="66"/>
      <c r="U48" s="470"/>
      <c r="V48" s="6"/>
      <c r="W48" s="6"/>
      <c r="X48" s="495"/>
      <c r="Y48" s="515"/>
      <c r="Z48" s="515"/>
      <c r="AA48" s="573"/>
      <c r="AB48" s="527"/>
      <c r="AC48" s="66"/>
      <c r="AD48" s="470">
        <v>720</v>
      </c>
      <c r="AE48" s="6"/>
      <c r="AF48" s="6"/>
      <c r="AG48" s="495"/>
      <c r="AH48" s="469" t="s">
        <v>968</v>
      </c>
      <c r="AI48" s="515"/>
      <c r="AJ48" s="573"/>
      <c r="AK48" s="527"/>
      <c r="AM48" s="470"/>
      <c r="AN48" s="6"/>
      <c r="AO48" s="470">
        <v>10</v>
      </c>
      <c r="AP48" s="6"/>
      <c r="AQ48" s="495"/>
      <c r="AR48" s="515"/>
      <c r="AS48" s="502" t="s">
        <v>325</v>
      </c>
      <c r="AT48" s="508"/>
    </row>
    <row r="49" spans="1:46" ht="43.2" customHeight="1" x14ac:dyDescent="0.35">
      <c r="A49" s="1478">
        <v>45559</v>
      </c>
      <c r="B49" s="472">
        <v>1</v>
      </c>
      <c r="C49" s="494"/>
      <c r="D49" s="494"/>
      <c r="E49" s="494"/>
      <c r="F49" s="495"/>
      <c r="G49" s="515"/>
      <c r="H49" s="514"/>
      <c r="I49" s="573"/>
      <c r="J49" s="527"/>
      <c r="K49" s="66"/>
      <c r="L49" s="470"/>
      <c r="M49" s="6"/>
      <c r="N49" s="6"/>
      <c r="O49" s="495"/>
      <c r="P49" s="515"/>
      <c r="Q49" s="514"/>
      <c r="R49" s="573"/>
      <c r="S49" s="527"/>
      <c r="T49" s="66"/>
      <c r="U49" s="470"/>
      <c r="V49" s="6">
        <v>60</v>
      </c>
      <c r="W49" s="6"/>
      <c r="X49" s="495"/>
      <c r="Y49" s="515"/>
      <c r="Z49" s="502" t="s">
        <v>967</v>
      </c>
      <c r="AA49" s="502"/>
      <c r="AB49" s="527"/>
      <c r="AC49" s="66"/>
      <c r="AD49" s="470">
        <v>720</v>
      </c>
      <c r="AE49" s="6"/>
      <c r="AF49" s="6"/>
      <c r="AG49" s="495"/>
      <c r="AH49" s="469" t="s">
        <v>968</v>
      </c>
      <c r="AI49" s="514"/>
      <c r="AJ49" s="573"/>
      <c r="AK49" s="527"/>
      <c r="AM49" s="470"/>
      <c r="AN49" s="6"/>
      <c r="AO49" s="6">
        <v>17</v>
      </c>
      <c r="AP49" s="515"/>
      <c r="AQ49" s="514"/>
      <c r="AR49" s="573"/>
      <c r="AS49" s="527" t="s">
        <v>152</v>
      </c>
      <c r="AT49" s="527"/>
    </row>
    <row r="50" spans="1:46" ht="51.65" customHeight="1" x14ac:dyDescent="0.35">
      <c r="A50" s="1477"/>
      <c r="B50" s="472">
        <v>2</v>
      </c>
      <c r="C50" s="494"/>
      <c r="D50" s="494"/>
      <c r="E50" s="494">
        <v>40</v>
      </c>
      <c r="F50" s="495"/>
      <c r="G50" s="514"/>
      <c r="H50" s="514"/>
      <c r="I50" s="573" t="s">
        <v>152</v>
      </c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>
        <v>22</v>
      </c>
      <c r="W50" s="6"/>
      <c r="X50" s="495"/>
      <c r="Y50" s="514"/>
      <c r="Z50" s="514" t="s">
        <v>394</v>
      </c>
      <c r="AA50" s="579"/>
      <c r="AB50" s="527"/>
      <c r="AC50" s="66"/>
      <c r="AD50" s="470">
        <v>204</v>
      </c>
      <c r="AE50" s="6"/>
      <c r="AF50" s="6"/>
      <c r="AG50" s="495"/>
      <c r="AH50" s="469" t="s">
        <v>968</v>
      </c>
      <c r="AI50" s="514"/>
      <c r="AJ50" s="573"/>
      <c r="AK50" s="527"/>
      <c r="AM50" s="470"/>
      <c r="AN50" s="6"/>
      <c r="AO50" s="6">
        <v>161</v>
      </c>
      <c r="AP50" s="514"/>
      <c r="AQ50" s="514"/>
      <c r="AR50" s="573"/>
      <c r="AS50" s="527" t="s">
        <v>152</v>
      </c>
      <c r="AT50" s="527"/>
    </row>
    <row r="51" spans="1:46" ht="34.950000000000003" customHeight="1" x14ac:dyDescent="0.35">
      <c r="A51" s="1478">
        <v>45560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495"/>
      <c r="P51" s="514"/>
      <c r="Q51" s="514"/>
      <c r="R51" s="573"/>
      <c r="S51" s="527"/>
      <c r="T51" s="66"/>
      <c r="U51" s="470"/>
      <c r="V51" s="6"/>
      <c r="W51" s="6"/>
      <c r="X51" s="495"/>
      <c r="Y51" s="514"/>
      <c r="Z51" s="514"/>
      <c r="AA51" s="579"/>
      <c r="AB51" s="527"/>
      <c r="AC51" s="66"/>
      <c r="AD51" s="470"/>
      <c r="AE51" s="6"/>
      <c r="AF51" s="6"/>
      <c r="AG51" s="495"/>
      <c r="AH51" s="514"/>
      <c r="AI51" s="514"/>
      <c r="AJ51" s="573"/>
      <c r="AK51" s="527"/>
      <c r="AM51" s="470"/>
      <c r="AN51" s="6"/>
      <c r="AO51" s="6">
        <v>80</v>
      </c>
      <c r="AP51" s="514"/>
      <c r="AQ51" s="514"/>
      <c r="AR51" s="573"/>
      <c r="AS51" s="527" t="s">
        <v>152</v>
      </c>
      <c r="AT51" s="527"/>
    </row>
    <row r="52" spans="1:46" ht="49.2" customHeight="1" x14ac:dyDescent="0.35">
      <c r="A52" s="1477"/>
      <c r="B52" s="472">
        <v>2</v>
      </c>
      <c r="C52" s="494"/>
      <c r="D52" s="494"/>
      <c r="E52" s="494">
        <v>15</v>
      </c>
      <c r="F52" s="495"/>
      <c r="G52" s="515"/>
      <c r="H52" s="515"/>
      <c r="I52" s="573" t="s">
        <v>152</v>
      </c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>
        <v>14</v>
      </c>
      <c r="W52" s="6"/>
      <c r="X52" s="495"/>
      <c r="Y52" s="515"/>
      <c r="Z52" s="515" t="s">
        <v>317</v>
      </c>
      <c r="AA52" s="579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9"/>
      <c r="AR52" s="6"/>
      <c r="AS52" s="527"/>
      <c r="AT52" s="527"/>
    </row>
    <row r="53" spans="1:46" ht="48" customHeight="1" x14ac:dyDescent="0.35">
      <c r="A53" s="1478">
        <v>45561</v>
      </c>
      <c r="B53" s="472">
        <v>1</v>
      </c>
      <c r="C53" s="494"/>
      <c r="D53" s="494"/>
      <c r="E53" s="494"/>
      <c r="F53" s="495"/>
      <c r="G53" s="514"/>
      <c r="H53" s="514"/>
      <c r="I53" s="641"/>
      <c r="J53" s="527"/>
      <c r="K53" s="66"/>
      <c r="L53" s="470"/>
      <c r="M53" s="6"/>
      <c r="N53" s="6"/>
      <c r="O53" s="508"/>
      <c r="P53" s="469"/>
      <c r="Q53" s="515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6"/>
      <c r="AJ53" s="502"/>
      <c r="AK53" s="508"/>
      <c r="AM53" s="470"/>
      <c r="AN53" s="502"/>
      <c r="AO53" s="6"/>
      <c r="AP53" s="508"/>
      <c r="AQ53" s="469"/>
      <c r="AR53" s="6"/>
      <c r="AS53" s="6"/>
      <c r="AT53" s="508"/>
    </row>
    <row r="54" spans="1:46" ht="45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5"/>
      <c r="I54" s="573"/>
      <c r="J54" s="527"/>
      <c r="K54" s="66"/>
      <c r="L54" s="470"/>
      <c r="M54" s="6"/>
      <c r="N54" s="6"/>
      <c r="O54" s="495"/>
      <c r="P54" s="514"/>
      <c r="Q54" s="515"/>
      <c r="R54" s="514"/>
      <c r="S54" s="527"/>
      <c r="T54" s="66"/>
      <c r="U54" s="470"/>
      <c r="V54" s="6"/>
      <c r="W54" s="6"/>
      <c r="X54" s="495"/>
      <c r="Y54" s="515"/>
      <c r="Z54" s="515"/>
      <c r="AA54" s="515"/>
      <c r="AB54" s="527"/>
      <c r="AC54" s="66"/>
      <c r="AD54" s="470"/>
      <c r="AE54" s="6"/>
      <c r="AF54" s="6"/>
      <c r="AG54" s="508"/>
      <c r="AH54" s="509"/>
      <c r="AI54" s="515"/>
      <c r="AJ54" s="6"/>
      <c r="AK54" s="527"/>
      <c r="AM54" s="470"/>
      <c r="AN54" s="6"/>
      <c r="AO54" s="6">
        <v>11</v>
      </c>
      <c r="AP54" s="495"/>
      <c r="AQ54" s="469"/>
      <c r="AR54" s="515"/>
      <c r="AS54" s="527" t="s">
        <v>152</v>
      </c>
      <c r="AT54" s="527"/>
    </row>
    <row r="55" spans="1:46" ht="39.65" customHeight="1" x14ac:dyDescent="0.35">
      <c r="A55" s="1478">
        <v>45562</v>
      </c>
      <c r="B55" s="472">
        <v>1</v>
      </c>
      <c r="C55" s="493"/>
      <c r="D55" s="494"/>
      <c r="E55" s="494"/>
      <c r="F55" s="495"/>
      <c r="G55" s="514"/>
      <c r="H55" s="514"/>
      <c r="I55" s="641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4"/>
      <c r="AA55" s="579"/>
      <c r="AB55" s="508"/>
      <c r="AC55" s="66"/>
      <c r="AD55" s="470"/>
      <c r="AE55" s="6"/>
      <c r="AF55" s="6"/>
      <c r="AG55" s="508"/>
      <c r="AH55" s="509"/>
      <c r="AI55" s="515"/>
      <c r="AJ55" s="502"/>
      <c r="AK55" s="508"/>
      <c r="AM55" s="470"/>
      <c r="AN55" s="6"/>
      <c r="AO55" s="6">
        <v>60</v>
      </c>
      <c r="AP55" s="508"/>
      <c r="AQ55" s="509"/>
      <c r="AR55" s="502"/>
      <c r="AS55" s="527" t="s">
        <v>152</v>
      </c>
      <c r="AT55" s="508"/>
    </row>
    <row r="56" spans="1:46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641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>
        <v>14</v>
      </c>
      <c r="W56" s="6"/>
      <c r="X56" s="495"/>
      <c r="Y56" s="469"/>
      <c r="Z56" s="514" t="s">
        <v>394</v>
      </c>
      <c r="AA56" s="502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95"/>
      <c r="AQ56" s="515"/>
      <c r="AR56" s="502"/>
      <c r="AS56" s="6"/>
      <c r="AT56" s="527"/>
    </row>
    <row r="57" spans="1:46" ht="52.2" customHeight="1" x14ac:dyDescent="0.35">
      <c r="A57" s="1478">
        <v>45563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02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95"/>
      <c r="AQ57" s="515"/>
      <c r="AR57" s="514"/>
      <c r="AS57" s="6"/>
      <c r="AT57" s="527"/>
    </row>
    <row r="58" spans="1:46" ht="78" customHeight="1" x14ac:dyDescent="0.35">
      <c r="A58" s="1477"/>
      <c r="B58" s="500">
        <v>2</v>
      </c>
      <c r="C58" s="493"/>
      <c r="D58" s="494"/>
      <c r="E58" s="494">
        <v>60</v>
      </c>
      <c r="F58" s="495"/>
      <c r="G58" s="515"/>
      <c r="H58" s="515"/>
      <c r="I58" s="641" t="s">
        <v>152</v>
      </c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/>
      <c r="X58" s="495"/>
      <c r="Y58" s="515"/>
      <c r="Z58" s="514"/>
      <c r="AA58" s="502"/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/>
      <c r="AP58" s="495"/>
      <c r="AQ58" s="515"/>
      <c r="AR58" s="514"/>
      <c r="AS58" s="6"/>
      <c r="AT58" s="527"/>
    </row>
    <row r="59" spans="1:46" ht="73.2" customHeight="1" x14ac:dyDescent="0.35">
      <c r="A59" s="1478">
        <v>45564</v>
      </c>
      <c r="B59" s="472">
        <v>1</v>
      </c>
      <c r="C59" s="493"/>
      <c r="D59" s="494"/>
      <c r="E59" s="494"/>
      <c r="F59" s="495"/>
      <c r="G59" s="515"/>
      <c r="H59" s="514"/>
      <c r="I59" s="641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514"/>
      <c r="AA59" s="579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508"/>
      <c r="AQ59" s="469"/>
      <c r="AR59" s="6"/>
      <c r="AS59" s="515"/>
      <c r="AT59" s="527"/>
    </row>
    <row r="60" spans="1:46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641"/>
      <c r="J60" s="527"/>
      <c r="K60" s="66"/>
      <c r="L60" s="470"/>
      <c r="M60" s="6"/>
      <c r="N60" s="6"/>
      <c r="O60" s="508"/>
      <c r="P60" s="509"/>
      <c r="Q60" s="515"/>
      <c r="R60" s="6"/>
      <c r="S60" s="527"/>
      <c r="T60" s="66"/>
      <c r="U60" s="470"/>
      <c r="V60" s="6"/>
      <c r="W60" s="6"/>
      <c r="X60" s="508"/>
      <c r="Y60" s="469"/>
      <c r="Z60" s="515"/>
      <c r="AA60" s="502"/>
      <c r="AB60" s="527"/>
      <c r="AC60" s="66"/>
      <c r="AD60" s="470"/>
      <c r="AE60" s="6"/>
      <c r="AF60" s="6"/>
      <c r="AG60" s="508"/>
      <c r="AH60" s="509"/>
      <c r="AI60" s="515"/>
      <c r="AJ60" s="502"/>
      <c r="AK60" s="527"/>
      <c r="AM60" s="470"/>
      <c r="AN60" s="6"/>
      <c r="AO60" s="6"/>
      <c r="AP60" s="508"/>
      <c r="AQ60" s="509"/>
      <c r="AR60" s="515"/>
      <c r="AS60" s="6"/>
      <c r="AT60" s="527"/>
    </row>
    <row r="61" spans="1:46" ht="32.5" customHeight="1" x14ac:dyDescent="0.35">
      <c r="A61" s="1478">
        <v>45565</v>
      </c>
      <c r="B61" s="472">
        <v>1</v>
      </c>
      <c r="C61" s="618"/>
      <c r="D61" s="619">
        <v>322</v>
      </c>
      <c r="E61" s="494"/>
      <c r="F61" s="620"/>
      <c r="G61" s="514"/>
      <c r="H61" s="576" t="s">
        <v>366</v>
      </c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502"/>
      <c r="AJ61" s="502"/>
      <c r="AK61" s="624"/>
      <c r="AM61" s="470"/>
      <c r="AN61" s="6"/>
      <c r="AO61" s="6"/>
      <c r="AP61" s="508"/>
      <c r="AQ61" s="469"/>
      <c r="AR61" s="6"/>
      <c r="AS61" s="6"/>
      <c r="AT61" s="624"/>
    </row>
    <row r="62" spans="1:46" ht="62.5" customHeight="1" x14ac:dyDescent="0.35">
      <c r="A62" s="1477"/>
      <c r="B62" s="500">
        <v>2</v>
      </c>
      <c r="C62" s="618"/>
      <c r="D62" s="619">
        <v>207</v>
      </c>
      <c r="E62" s="619"/>
      <c r="F62" s="620"/>
      <c r="G62" s="617"/>
      <c r="H62" s="576" t="s">
        <v>969</v>
      </c>
      <c r="I62" s="641"/>
      <c r="J62" s="568"/>
      <c r="K62" s="66"/>
      <c r="L62" s="470"/>
      <c r="M62" s="6"/>
      <c r="N62" s="6"/>
      <c r="O62" s="508"/>
      <c r="P62" s="623"/>
      <c r="Q62" s="665"/>
      <c r="R62" s="524"/>
      <c r="S62" s="624"/>
      <c r="T62" s="66"/>
      <c r="U62" s="470"/>
      <c r="V62" s="6"/>
      <c r="W62" s="6"/>
      <c r="X62" s="508"/>
      <c r="Y62" s="469"/>
      <c r="Z62" s="502"/>
      <c r="AA62" s="579"/>
      <c r="AB62" s="624"/>
      <c r="AC62" s="66"/>
      <c r="AD62" s="470"/>
      <c r="AE62" s="6"/>
      <c r="AF62" s="6"/>
      <c r="AG62" s="508"/>
      <c r="AH62" s="1491"/>
      <c r="AI62" s="1492"/>
      <c r="AJ62" s="1493"/>
      <c r="AK62" s="624"/>
      <c r="AM62" s="470"/>
      <c r="AN62" s="6"/>
      <c r="AO62" s="6">
        <v>20</v>
      </c>
      <c r="AP62" s="508"/>
      <c r="AQ62" s="509"/>
      <c r="AR62" s="6"/>
      <c r="AS62" s="502" t="s">
        <v>508</v>
      </c>
      <c r="AT62" s="624"/>
    </row>
    <row r="63" spans="1:46" ht="64.2" customHeight="1" x14ac:dyDescent="0.35">
      <c r="A63" s="1478"/>
      <c r="B63" s="472">
        <v>1</v>
      </c>
      <c r="C63" s="587"/>
      <c r="D63" s="588"/>
      <c r="E63" s="588"/>
      <c r="F63" s="589"/>
      <c r="G63" s="598"/>
      <c r="H63" s="590"/>
      <c r="I63" s="641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579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5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528"/>
      <c r="AQ64" s="529"/>
      <c r="AR64" s="530"/>
      <c r="AS64" s="530"/>
      <c r="AT64" s="594"/>
    </row>
    <row r="65" spans="1:42" ht="23.5" customHeight="1" x14ac:dyDescent="0.35">
      <c r="A65" s="423" t="s">
        <v>225</v>
      </c>
      <c r="C65" s="631">
        <f>SUM(C3:C64)</f>
        <v>0</v>
      </c>
      <c r="D65" s="65">
        <f>SUM(D3:D64)</f>
        <v>529</v>
      </c>
      <c r="E65" s="631">
        <f>SUM(E3:E64)</f>
        <v>219</v>
      </c>
      <c r="F65" s="65">
        <f>SUM(F3:F64)</f>
        <v>13317</v>
      </c>
      <c r="L65" s="65">
        <f>SUM(L3:L64)</f>
        <v>4310</v>
      </c>
      <c r="M65" s="65">
        <f>SUM(M3:M64)</f>
        <v>0</v>
      </c>
      <c r="N65" s="65">
        <f>SUM(N3:N64)</f>
        <v>28</v>
      </c>
      <c r="O65" s="65">
        <f>SUM(O3:O64)</f>
        <v>13243</v>
      </c>
      <c r="U65" s="65">
        <f>SUM(U3:U64)</f>
        <v>30</v>
      </c>
      <c r="V65" s="65">
        <f>SUM(V3:V64)</f>
        <v>110</v>
      </c>
      <c r="W65" s="65">
        <f>SUM(W3:W64)</f>
        <v>82</v>
      </c>
      <c r="X65" s="65">
        <f>SUM(X3:X64)</f>
        <v>13347</v>
      </c>
      <c r="AD65" s="65">
        <f>SUM(AD3:AD64)</f>
        <v>2359</v>
      </c>
      <c r="AE65" s="65">
        <f>SUM(AE3:AE64)</f>
        <v>0</v>
      </c>
      <c r="AF65" s="65">
        <f>SUM(AF3:AF64)</f>
        <v>33</v>
      </c>
      <c r="AG65" s="65">
        <f>SUM(AG3:AG64)</f>
        <v>13400</v>
      </c>
      <c r="AM65" s="65">
        <f>SUM(AM3:AM64)</f>
        <v>137</v>
      </c>
      <c r="AN65" s="65">
        <f>SUM(AN3:AN64)</f>
        <v>0</v>
      </c>
      <c r="AO65" s="65">
        <f>SUM(AO3:AO64)</f>
        <v>451</v>
      </c>
      <c r="AP65" s="65">
        <f>SUM(AP3:AP64)</f>
        <v>13347</v>
      </c>
    </row>
    <row r="73" spans="1:42" ht="14.6" thickBot="1" x14ac:dyDescent="0.4"/>
    <row r="74" spans="1:42" ht="22.5" customHeight="1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20.25" customHeight="1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21.75" customHeight="1" x14ac:dyDescent="0.4">
      <c r="B76" s="541" t="s">
        <v>218</v>
      </c>
      <c r="C76" s="542">
        <f>C65</f>
        <v>0</v>
      </c>
      <c r="D76" s="543">
        <f>C76/60</f>
        <v>0</v>
      </c>
      <c r="E76" s="542">
        <f>D65</f>
        <v>529</v>
      </c>
      <c r="F76" s="544">
        <f>E76/60</f>
        <v>8.8166666666666664</v>
      </c>
      <c r="G76" s="542">
        <f>E65</f>
        <v>219</v>
      </c>
      <c r="H76" s="543">
        <f>G76/60</f>
        <v>3.65</v>
      </c>
      <c r="I76" s="542">
        <f>F65</f>
        <v>13317</v>
      </c>
      <c r="J76" s="543">
        <f>I76/60</f>
        <v>221.95</v>
      </c>
    </row>
    <row r="77" spans="1:42" ht="19.5" customHeight="1" x14ac:dyDescent="0.4">
      <c r="B77" s="541" t="s">
        <v>219</v>
      </c>
      <c r="C77" s="545">
        <f>L65</f>
        <v>4310</v>
      </c>
      <c r="D77" s="546">
        <f>C77/60</f>
        <v>71.833333333333329</v>
      </c>
      <c r="E77" s="545">
        <f>M65</f>
        <v>0</v>
      </c>
      <c r="F77" s="547">
        <f>E77/60</f>
        <v>0</v>
      </c>
      <c r="G77" s="545">
        <f>N65</f>
        <v>28</v>
      </c>
      <c r="H77" s="546">
        <f>G77/60</f>
        <v>0.46666666666666667</v>
      </c>
      <c r="I77" s="545">
        <f>O65</f>
        <v>13243</v>
      </c>
      <c r="J77" s="546">
        <f>I77/60</f>
        <v>220.71666666666667</v>
      </c>
    </row>
    <row r="78" spans="1:42" ht="20.25" customHeight="1" x14ac:dyDescent="0.4">
      <c r="B78" s="541" t="s">
        <v>220</v>
      </c>
      <c r="C78" s="545">
        <f>U65</f>
        <v>30</v>
      </c>
      <c r="D78" s="546">
        <f>C78/60</f>
        <v>0.5</v>
      </c>
      <c r="E78" s="545">
        <f>V65</f>
        <v>110</v>
      </c>
      <c r="F78" s="547">
        <f>E78/60</f>
        <v>1.8333333333333333</v>
      </c>
      <c r="G78" s="545">
        <f>W65</f>
        <v>82</v>
      </c>
      <c r="H78" s="546">
        <f>G78/60</f>
        <v>1.3666666666666667</v>
      </c>
      <c r="I78" s="545">
        <f>X65</f>
        <v>13347</v>
      </c>
      <c r="J78" s="546">
        <f>I78/60</f>
        <v>222.45</v>
      </c>
    </row>
    <row r="79" spans="1:42" ht="22.5" customHeight="1" thickBot="1" x14ac:dyDescent="0.45">
      <c r="B79" s="541" t="s">
        <v>221</v>
      </c>
      <c r="C79" s="548">
        <f>AD65</f>
        <v>2359</v>
      </c>
      <c r="D79" s="549">
        <f>C79/60</f>
        <v>39.31666666666667</v>
      </c>
      <c r="E79" s="548">
        <f>AE65</f>
        <v>0</v>
      </c>
      <c r="F79" s="550">
        <f>E79/60</f>
        <v>0</v>
      </c>
      <c r="G79" s="548">
        <f>AF65</f>
        <v>33</v>
      </c>
      <c r="H79" s="549">
        <f>G79/60</f>
        <v>0.55000000000000004</v>
      </c>
      <c r="I79" s="548">
        <f>AG65</f>
        <v>13400</v>
      </c>
      <c r="J79" s="549">
        <f>I79/60</f>
        <v>223.33333333333334</v>
      </c>
    </row>
    <row r="80" spans="1:42" ht="22.5" customHeight="1" thickBot="1" x14ac:dyDescent="0.45">
      <c r="B80" s="541" t="s">
        <v>488</v>
      </c>
      <c r="C80" s="643">
        <f>AM65</f>
        <v>137</v>
      </c>
      <c r="D80" s="642">
        <f>C80/60</f>
        <v>2.2833333333333332</v>
      </c>
      <c r="E80" s="643">
        <f>AN65</f>
        <v>0</v>
      </c>
      <c r="F80" s="644">
        <f>E80/60</f>
        <v>0</v>
      </c>
      <c r="G80" s="643">
        <f>AO65</f>
        <v>451</v>
      </c>
      <c r="H80" s="642">
        <f>G80/60</f>
        <v>7.5166666666666666</v>
      </c>
      <c r="I80" s="643">
        <f>AP65</f>
        <v>13347</v>
      </c>
      <c r="J80" s="642">
        <f>I80/60</f>
        <v>222.45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113.93333333333334</v>
      </c>
      <c r="E82" s="556"/>
      <c r="F82" s="557">
        <f>SUM(F76:F80)</f>
        <v>10.65</v>
      </c>
      <c r="G82" s="556"/>
      <c r="H82" s="557">
        <f>SUM(H76:H80)</f>
        <v>13.549999999999999</v>
      </c>
      <c r="I82" s="556"/>
      <c r="J82" s="558">
        <f>AVERAGE(J76:J80)</f>
        <v>222.17999999999998</v>
      </c>
    </row>
  </sheetData>
  <mergeCells count="48">
    <mergeCell ref="AH62:AJ62"/>
    <mergeCell ref="A63:A64"/>
    <mergeCell ref="C74:D74"/>
    <mergeCell ref="E74:F74"/>
    <mergeCell ref="G74:H74"/>
    <mergeCell ref="I74:J74"/>
    <mergeCell ref="A61:A62"/>
    <mergeCell ref="A51:A52"/>
    <mergeCell ref="A53:A54"/>
    <mergeCell ref="A55:A56"/>
    <mergeCell ref="A57:A58"/>
    <mergeCell ref="A59:A60"/>
    <mergeCell ref="AQ18:AS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25:A26"/>
    <mergeCell ref="A7:A8"/>
    <mergeCell ref="A9:A10"/>
    <mergeCell ref="A11:A12"/>
    <mergeCell ref="A13:A14"/>
    <mergeCell ref="A17:A18"/>
    <mergeCell ref="AH14:AJ14"/>
    <mergeCell ref="A15:A16"/>
    <mergeCell ref="AD1:AG1"/>
    <mergeCell ref="AH1:AK1"/>
    <mergeCell ref="AM1:AP1"/>
    <mergeCell ref="AQ1:AT1"/>
    <mergeCell ref="A3:A4"/>
    <mergeCell ref="A5:A6"/>
    <mergeCell ref="C1:F1"/>
    <mergeCell ref="G1:J1"/>
    <mergeCell ref="L1:O1"/>
    <mergeCell ref="P1:S1"/>
    <mergeCell ref="U1:X1"/>
    <mergeCell ref="Y1:AB1"/>
  </mergeCells>
  <pageMargins left="0.7" right="0.7" top="0.75" bottom="0.75" header="0.3" footer="0.3"/>
  <pageSetup paperSize="9" orientation="portrait" horizontalDpi="180" verticalDpi="18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T82"/>
  <sheetViews>
    <sheetView zoomScale="60" zoomScaleNormal="60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G12" sqref="G12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7.304687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53515625" style="423" customWidth="1"/>
    <col min="45" max="45" width="28.30468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7" t="s">
        <v>199</v>
      </c>
      <c r="AR2" s="655" t="s">
        <v>200</v>
      </c>
      <c r="AS2" s="655" t="s">
        <v>201</v>
      </c>
      <c r="AT2" s="655" t="s">
        <v>204</v>
      </c>
    </row>
    <row r="3" spans="1:46" ht="78" customHeight="1" x14ac:dyDescent="0.35">
      <c r="A3" s="1478">
        <v>45566</v>
      </c>
      <c r="B3" s="501">
        <v>1</v>
      </c>
      <c r="C3" s="490"/>
      <c r="D3" s="491"/>
      <c r="E3" s="6"/>
      <c r="F3" s="492"/>
      <c r="G3" s="566"/>
      <c r="H3" s="514"/>
      <c r="I3" s="515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6">
        <v>11</v>
      </c>
      <c r="X3" s="508"/>
      <c r="Y3" s="469"/>
      <c r="Z3" s="521"/>
      <c r="AA3" s="515" t="s">
        <v>152</v>
      </c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520"/>
      <c r="AQ3" s="521"/>
      <c r="AR3" s="538"/>
      <c r="AS3" s="502"/>
      <c r="AT3" s="520"/>
    </row>
    <row r="4" spans="1:46" ht="70.2" customHeight="1" x14ac:dyDescent="0.35">
      <c r="A4" s="1477"/>
      <c r="B4" s="472">
        <v>2</v>
      </c>
      <c r="C4" s="493"/>
      <c r="D4" s="494"/>
      <c r="E4" s="494"/>
      <c r="F4" s="495"/>
      <c r="G4" s="565"/>
      <c r="H4" s="514"/>
      <c r="I4" s="641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>
        <v>18</v>
      </c>
      <c r="W4" s="6">
        <v>30</v>
      </c>
      <c r="X4" s="508"/>
      <c r="Y4" s="469"/>
      <c r="Z4" s="515" t="s">
        <v>394</v>
      </c>
      <c r="AA4" s="515" t="s">
        <v>152</v>
      </c>
      <c r="AB4" s="603"/>
      <c r="AC4" s="66"/>
      <c r="AD4" s="470"/>
      <c r="AE4" s="6"/>
      <c r="AF4" s="6"/>
      <c r="AG4" s="508"/>
      <c r="AH4" s="509"/>
      <c r="AI4" s="515"/>
      <c r="AJ4" s="6"/>
      <c r="AK4" s="508"/>
      <c r="AM4" s="470"/>
      <c r="AN4" s="6"/>
      <c r="AO4" s="6"/>
      <c r="AP4" s="508"/>
      <c r="AQ4" s="509"/>
      <c r="AR4" s="515"/>
      <c r="AS4" s="6"/>
      <c r="AT4" s="508"/>
    </row>
    <row r="5" spans="1:46" ht="60" customHeight="1" x14ac:dyDescent="0.35">
      <c r="A5" s="1478">
        <v>45567</v>
      </c>
      <c r="B5" s="472">
        <v>1</v>
      </c>
      <c r="C5" s="493"/>
      <c r="D5" s="494"/>
      <c r="E5" s="494"/>
      <c r="F5" s="495"/>
      <c r="G5" s="565"/>
      <c r="H5" s="565"/>
      <c r="I5" s="641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514"/>
      <c r="AA5" s="579"/>
      <c r="AB5" s="604"/>
      <c r="AC5" s="66"/>
      <c r="AD5" s="470"/>
      <c r="AE5" s="6"/>
      <c r="AF5" s="6"/>
      <c r="AG5" s="508"/>
      <c r="AH5" s="509"/>
      <c r="AI5" s="6"/>
      <c r="AJ5" s="661"/>
      <c r="AK5" s="508"/>
      <c r="AM5" s="470"/>
      <c r="AN5" s="6"/>
      <c r="AO5" s="6"/>
      <c r="AP5" s="508"/>
      <c r="AQ5" s="509"/>
      <c r="AR5" s="6"/>
      <c r="AS5" s="502"/>
      <c r="AT5" s="526"/>
    </row>
    <row r="6" spans="1:46" ht="80.5" customHeight="1" x14ac:dyDescent="0.35">
      <c r="A6" s="1477"/>
      <c r="B6" s="472">
        <v>2</v>
      </c>
      <c r="C6" s="493"/>
      <c r="D6" s="494"/>
      <c r="E6" s="494">
        <v>32</v>
      </c>
      <c r="F6" s="495"/>
      <c r="G6" s="566"/>
      <c r="H6" s="515"/>
      <c r="I6" s="641" t="s">
        <v>152</v>
      </c>
      <c r="J6" s="527"/>
      <c r="K6" s="66"/>
      <c r="L6" s="470"/>
      <c r="M6" s="6"/>
      <c r="N6" s="6"/>
      <c r="O6" s="508"/>
      <c r="P6" s="509"/>
      <c r="Q6" s="514"/>
      <c r="R6" s="6"/>
      <c r="S6" s="527"/>
      <c r="T6" s="66"/>
      <c r="U6" s="470"/>
      <c r="V6" s="6"/>
      <c r="W6" s="6">
        <v>40</v>
      </c>
      <c r="X6" s="508"/>
      <c r="Y6" s="469"/>
      <c r="Z6" s="514"/>
      <c r="AA6" s="515" t="s">
        <v>152</v>
      </c>
      <c r="AB6" s="527"/>
      <c r="AC6" s="66"/>
      <c r="AD6" s="470"/>
      <c r="AE6" s="6"/>
      <c r="AF6" s="6"/>
      <c r="AG6" s="508"/>
      <c r="AH6" s="509"/>
      <c r="AI6" s="6"/>
      <c r="AJ6" s="6"/>
      <c r="AK6" s="527"/>
      <c r="AM6" s="470">
        <v>38</v>
      </c>
      <c r="AN6" s="6"/>
      <c r="AO6" s="6"/>
      <c r="AP6" s="47"/>
      <c r="AQ6" s="469" t="s">
        <v>970</v>
      </c>
      <c r="AR6" s="509"/>
      <c r="AS6" s="502"/>
      <c r="AT6" s="527"/>
    </row>
    <row r="7" spans="1:46" ht="71.5" customHeight="1" x14ac:dyDescent="0.35">
      <c r="A7" s="1478">
        <v>45568</v>
      </c>
      <c r="B7" s="472">
        <v>1</v>
      </c>
      <c r="C7" s="493"/>
      <c r="D7" s="494"/>
      <c r="E7" s="494">
        <v>23</v>
      </c>
      <c r="F7" s="495"/>
      <c r="G7" s="566"/>
      <c r="H7" s="515"/>
      <c r="I7" s="527" t="s">
        <v>232</v>
      </c>
      <c r="J7" s="527"/>
      <c r="K7" s="66"/>
      <c r="L7" s="470"/>
      <c r="M7" s="509"/>
      <c r="N7" s="6"/>
      <c r="O7" s="508"/>
      <c r="P7" s="509"/>
      <c r="Q7" s="660"/>
      <c r="R7" s="6"/>
      <c r="S7" s="508"/>
      <c r="T7" s="66"/>
      <c r="U7" s="470"/>
      <c r="V7" s="6"/>
      <c r="W7" s="6">
        <v>31</v>
      </c>
      <c r="X7" s="508"/>
      <c r="Y7" s="469"/>
      <c r="Z7" s="514"/>
      <c r="AA7" s="579" t="s">
        <v>328</v>
      </c>
      <c r="AB7" s="508"/>
      <c r="AC7" s="66"/>
      <c r="AD7" s="470"/>
      <c r="AE7" s="6"/>
      <c r="AF7" s="6"/>
      <c r="AG7" s="508"/>
      <c r="AH7" s="509"/>
      <c r="AI7" s="660"/>
      <c r="AJ7" s="527"/>
      <c r="AK7" s="508"/>
      <c r="AM7" s="470"/>
      <c r="AN7" s="6"/>
      <c r="AO7" s="6"/>
      <c r="AP7" s="47"/>
      <c r="AQ7" s="508"/>
      <c r="AR7" s="509"/>
      <c r="AS7" s="660"/>
      <c r="AT7" s="573"/>
    </row>
    <row r="8" spans="1:46" ht="69.650000000000006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641"/>
      <c r="J8" s="527"/>
      <c r="K8" s="66"/>
      <c r="L8" s="470"/>
      <c r="M8" s="6"/>
      <c r="N8" s="6"/>
      <c r="O8" s="508"/>
      <c r="P8" s="509"/>
      <c r="Q8" s="6"/>
      <c r="R8" s="502"/>
      <c r="S8" s="527"/>
      <c r="T8" s="66"/>
      <c r="U8" s="470"/>
      <c r="V8" s="470">
        <v>79</v>
      </c>
      <c r="W8" s="470"/>
      <c r="X8" s="508"/>
      <c r="Y8" s="469"/>
      <c r="Z8" s="564" t="s">
        <v>971</v>
      </c>
      <c r="AA8" s="504"/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/>
      <c r="AN8" s="6"/>
      <c r="AO8" s="6"/>
      <c r="AP8" s="47"/>
      <c r="AQ8" s="508"/>
      <c r="AR8" s="469"/>
      <c r="AS8" s="6"/>
      <c r="AT8" s="527"/>
    </row>
    <row r="9" spans="1:46" ht="76.95" customHeight="1" x14ac:dyDescent="0.35">
      <c r="A9" s="1478">
        <v>45569</v>
      </c>
      <c r="B9" s="472">
        <v>1</v>
      </c>
      <c r="C9" s="493"/>
      <c r="D9" s="494"/>
      <c r="E9" s="494"/>
      <c r="F9" s="495"/>
      <c r="G9" s="565"/>
      <c r="H9" s="514"/>
      <c r="I9" s="641"/>
      <c r="J9" s="527"/>
      <c r="K9" s="66"/>
      <c r="L9" s="470"/>
      <c r="M9" s="6"/>
      <c r="N9" s="6"/>
      <c r="O9" s="508"/>
      <c r="P9" s="509"/>
      <c r="Q9" s="6"/>
      <c r="R9" s="502"/>
      <c r="S9" s="527"/>
      <c r="T9" s="66"/>
      <c r="U9" s="470"/>
      <c r="V9" s="6"/>
      <c r="W9" s="6"/>
      <c r="X9" s="508"/>
      <c r="Y9" s="469"/>
      <c r="Z9" s="6"/>
      <c r="AA9" s="579"/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508"/>
      <c r="AR9" s="509"/>
      <c r="AS9" s="6"/>
      <c r="AT9" s="636"/>
    </row>
    <row r="10" spans="1:46" ht="67.2" customHeight="1" x14ac:dyDescent="0.35">
      <c r="A10" s="1477"/>
      <c r="B10" s="472">
        <v>2</v>
      </c>
      <c r="C10" s="493"/>
      <c r="D10" s="493"/>
      <c r="E10" s="493"/>
      <c r="F10" s="495"/>
      <c r="G10" s="667"/>
      <c r="H10" s="668"/>
      <c r="I10" s="669"/>
      <c r="J10" s="527"/>
      <c r="K10" s="66"/>
      <c r="L10" s="470"/>
      <c r="M10" s="6"/>
      <c r="N10" s="6"/>
      <c r="O10" s="508"/>
      <c r="P10" s="509"/>
      <c r="Q10" s="6"/>
      <c r="R10" s="502"/>
      <c r="S10" s="527"/>
      <c r="T10" s="66"/>
      <c r="U10" s="470">
        <v>187</v>
      </c>
      <c r="V10" s="6"/>
      <c r="W10" s="6"/>
      <c r="X10" s="508"/>
      <c r="Y10" s="469" t="s">
        <v>583</v>
      </c>
      <c r="Z10" s="469"/>
      <c r="AA10" s="579"/>
      <c r="AB10" s="527"/>
      <c r="AC10" s="66"/>
      <c r="AD10" s="470"/>
      <c r="AE10" s="6"/>
      <c r="AF10" s="6"/>
      <c r="AG10" s="508"/>
      <c r="AH10" s="469"/>
      <c r="AI10" s="502"/>
      <c r="AJ10" s="515"/>
      <c r="AK10" s="527"/>
      <c r="AM10" s="470"/>
      <c r="AN10" s="6"/>
      <c r="AO10" s="6"/>
      <c r="AP10" s="47"/>
      <c r="AQ10" s="508"/>
      <c r="AR10" s="509"/>
      <c r="AS10" s="6"/>
      <c r="AT10" s="527"/>
    </row>
    <row r="11" spans="1:46" ht="60" customHeight="1" x14ac:dyDescent="0.35">
      <c r="A11" s="1478">
        <v>45570</v>
      </c>
      <c r="B11" s="472">
        <v>1</v>
      </c>
      <c r="C11" s="493"/>
      <c r="D11" s="493"/>
      <c r="E11" s="493"/>
      <c r="F11" s="495"/>
      <c r="G11" s="667"/>
      <c r="H11" s="668"/>
      <c r="I11" s="669"/>
      <c r="J11" s="568"/>
      <c r="K11" s="66"/>
      <c r="L11" s="470"/>
      <c r="M11" s="6"/>
      <c r="N11" s="6"/>
      <c r="O11" s="508"/>
      <c r="P11" s="509"/>
      <c r="Q11" s="6"/>
      <c r="R11" s="502"/>
      <c r="S11" s="508"/>
      <c r="T11" s="66"/>
      <c r="U11" s="470"/>
      <c r="V11" s="6"/>
      <c r="W11" s="6">
        <v>20</v>
      </c>
      <c r="X11" s="508"/>
      <c r="Y11" s="469"/>
      <c r="Z11" s="6"/>
      <c r="AA11" s="579" t="s">
        <v>328</v>
      </c>
      <c r="AB11" s="508"/>
      <c r="AC11" s="66"/>
      <c r="AD11" s="470"/>
      <c r="AE11" s="6"/>
      <c r="AF11" s="6"/>
      <c r="AG11" s="508"/>
      <c r="AH11" s="509"/>
      <c r="AI11" s="6"/>
      <c r="AJ11" s="515"/>
      <c r="AK11" s="508"/>
      <c r="AM11" s="470"/>
      <c r="AN11" s="6"/>
      <c r="AO11" s="6"/>
      <c r="AP11" s="508"/>
      <c r="AQ11" s="509"/>
      <c r="AR11" s="6"/>
      <c r="AS11" s="6"/>
      <c r="AT11" s="526"/>
    </row>
    <row r="12" spans="1:46" ht="55.2" customHeight="1" x14ac:dyDescent="0.35">
      <c r="A12" s="1477"/>
      <c r="B12" s="472">
        <v>2</v>
      </c>
      <c r="C12" s="493">
        <v>171</v>
      </c>
      <c r="D12" s="494"/>
      <c r="E12" s="494"/>
      <c r="F12" s="495"/>
      <c r="G12" s="565" t="s">
        <v>972</v>
      </c>
      <c r="H12" s="514"/>
      <c r="I12" s="641"/>
      <c r="J12" s="527"/>
      <c r="K12" s="66"/>
      <c r="L12" s="470"/>
      <c r="M12" s="6"/>
      <c r="N12" s="6"/>
      <c r="O12" s="508"/>
      <c r="P12" s="509"/>
      <c r="Q12" s="6"/>
      <c r="R12" s="502"/>
      <c r="S12" s="527"/>
      <c r="T12" s="66"/>
      <c r="U12" s="470"/>
      <c r="V12" s="6">
        <v>21</v>
      </c>
      <c r="W12" s="6">
        <v>27</v>
      </c>
      <c r="X12" s="508"/>
      <c r="Y12" s="469"/>
      <c r="Z12" s="515" t="s">
        <v>394</v>
      </c>
      <c r="AA12" s="515" t="s">
        <v>152</v>
      </c>
      <c r="AB12" s="527"/>
      <c r="AC12" s="66"/>
      <c r="AD12" s="470"/>
      <c r="AE12" s="6"/>
      <c r="AF12" s="6"/>
      <c r="AG12" s="508"/>
      <c r="AH12" s="509"/>
      <c r="AI12" s="502"/>
      <c r="AJ12" s="502"/>
      <c r="AK12" s="527"/>
      <c r="AM12" s="470"/>
      <c r="AN12" s="6"/>
      <c r="AO12" s="6"/>
      <c r="AP12" s="508"/>
      <c r="AQ12" s="509"/>
      <c r="AR12" s="6"/>
      <c r="AS12" s="502"/>
      <c r="AT12" s="527"/>
    </row>
    <row r="13" spans="1:46" ht="34.950000000000003" customHeight="1" x14ac:dyDescent="0.35">
      <c r="A13" s="1478">
        <v>45571</v>
      </c>
      <c r="B13" s="472">
        <v>1</v>
      </c>
      <c r="C13" s="493"/>
      <c r="D13" s="494"/>
      <c r="E13" s="494"/>
      <c r="F13" s="495"/>
      <c r="G13" s="565"/>
      <c r="H13" s="514"/>
      <c r="I13" s="641"/>
      <c r="J13" s="527"/>
      <c r="K13" s="66"/>
      <c r="L13" s="470"/>
      <c r="M13" s="6"/>
      <c r="N13" s="6"/>
      <c r="O13" s="495"/>
      <c r="P13" s="509"/>
      <c r="Q13" s="6"/>
      <c r="R13" s="6"/>
      <c r="S13" s="527"/>
      <c r="T13" s="66"/>
      <c r="U13" s="470"/>
      <c r="V13" s="6"/>
      <c r="W13" s="6"/>
      <c r="X13" s="495"/>
      <c r="Y13" s="469"/>
      <c r="Z13" s="502"/>
      <c r="AA13" s="579"/>
      <c r="AB13" s="527"/>
      <c r="AC13" s="66"/>
      <c r="AD13" s="470"/>
      <c r="AE13" s="6"/>
      <c r="AF13" s="6"/>
      <c r="AG13" s="495"/>
      <c r="AH13" s="509"/>
      <c r="AI13" s="6"/>
      <c r="AJ13" s="502"/>
      <c r="AK13" s="527"/>
      <c r="AM13" s="470"/>
      <c r="AN13" s="6"/>
      <c r="AO13" s="6"/>
      <c r="AP13" s="495"/>
      <c r="AQ13" s="509"/>
      <c r="AR13" s="6"/>
      <c r="AS13" s="6"/>
      <c r="AT13" s="527"/>
    </row>
    <row r="14" spans="1:46" ht="49.2" customHeight="1" x14ac:dyDescent="0.35">
      <c r="A14" s="1477"/>
      <c r="B14" s="472">
        <v>2</v>
      </c>
      <c r="C14" s="493"/>
      <c r="D14" s="494"/>
      <c r="E14" s="494"/>
      <c r="F14" s="495"/>
      <c r="G14" s="565"/>
      <c r="H14" s="515"/>
      <c r="I14" s="641"/>
      <c r="J14" s="527"/>
      <c r="K14" s="66"/>
      <c r="L14" s="470"/>
      <c r="M14" s="6"/>
      <c r="N14" s="6"/>
      <c r="O14" s="495"/>
      <c r="P14" s="469"/>
      <c r="Q14" s="6"/>
      <c r="R14" s="6"/>
      <c r="S14" s="527"/>
      <c r="T14" s="66"/>
      <c r="U14" s="470"/>
      <c r="V14" s="6"/>
      <c r="W14" s="6"/>
      <c r="X14" s="495"/>
      <c r="Y14" s="469"/>
      <c r="Z14" s="502"/>
      <c r="AA14" s="579"/>
      <c r="AB14" s="527"/>
      <c r="AC14" s="66"/>
      <c r="AD14" s="470"/>
      <c r="AE14" s="6"/>
      <c r="AF14" s="6"/>
      <c r="AG14" s="495"/>
      <c r="AH14" s="1491"/>
      <c r="AI14" s="1492"/>
      <c r="AJ14" s="1493"/>
      <c r="AK14" s="527"/>
      <c r="AM14" s="470">
        <v>30</v>
      </c>
      <c r="AN14" s="6"/>
      <c r="AO14" s="6"/>
      <c r="AP14" s="495"/>
      <c r="AQ14" s="469" t="s">
        <v>513</v>
      </c>
      <c r="AR14" s="6"/>
      <c r="AS14" s="579"/>
      <c r="AT14" s="527"/>
    </row>
    <row r="15" spans="1:46" ht="48" customHeight="1" x14ac:dyDescent="0.35">
      <c r="A15" s="1478">
        <v>45572</v>
      </c>
      <c r="B15" s="472">
        <v>1</v>
      </c>
      <c r="C15" s="493"/>
      <c r="D15" s="494"/>
      <c r="E15" s="6"/>
      <c r="F15" s="495"/>
      <c r="G15" s="565"/>
      <c r="H15" s="515"/>
      <c r="I15" s="641"/>
      <c r="J15" s="527"/>
      <c r="K15" s="66"/>
      <c r="L15" s="470"/>
      <c r="M15" s="6"/>
      <c r="N15" s="6"/>
      <c r="O15" s="495"/>
      <c r="P15" s="566"/>
      <c r="Q15" s="515"/>
      <c r="R15" s="515"/>
      <c r="S15" s="527"/>
      <c r="T15" s="66"/>
      <c r="U15" s="470"/>
      <c r="V15" s="6"/>
      <c r="W15" s="6"/>
      <c r="X15" s="495"/>
      <c r="Y15" s="565"/>
      <c r="Z15" s="515"/>
      <c r="AA15" s="579"/>
      <c r="AB15" s="527"/>
      <c r="AC15" s="66"/>
      <c r="AD15" s="470"/>
      <c r="AE15" s="6"/>
      <c r="AF15" s="66"/>
      <c r="AG15" s="495"/>
      <c r="AH15" s="566"/>
      <c r="AI15" s="515"/>
      <c r="AJ15" s="502"/>
      <c r="AK15" s="527"/>
      <c r="AM15" s="470"/>
      <c r="AN15" s="6"/>
      <c r="AO15" s="66"/>
      <c r="AP15" s="566"/>
      <c r="AQ15" s="515"/>
      <c r="AR15" s="515"/>
      <c r="AS15" s="515"/>
      <c r="AT15" s="527"/>
    </row>
    <row r="16" spans="1:46" ht="54.65" customHeight="1" x14ac:dyDescent="0.35">
      <c r="A16" s="1477"/>
      <c r="B16" s="472">
        <v>2</v>
      </c>
      <c r="C16" s="493"/>
      <c r="D16" s="493"/>
      <c r="E16" s="493"/>
      <c r="F16" s="495"/>
      <c r="G16" s="670"/>
      <c r="H16" s="671"/>
      <c r="I16" s="672"/>
      <c r="J16" s="527"/>
      <c r="K16" s="66"/>
      <c r="L16" s="470"/>
      <c r="M16" s="6"/>
      <c r="N16" s="6"/>
      <c r="O16" s="495"/>
      <c r="P16" s="670"/>
      <c r="Q16" s="671"/>
      <c r="R16" s="672"/>
      <c r="S16" s="527"/>
      <c r="T16" s="66"/>
      <c r="U16" s="470"/>
      <c r="V16" s="6"/>
      <c r="W16" s="6"/>
      <c r="X16" s="495"/>
      <c r="Y16" s="670"/>
      <c r="Z16" s="671"/>
      <c r="AA16" s="672"/>
      <c r="AB16" s="527"/>
      <c r="AC16" s="66"/>
      <c r="AD16" s="470"/>
      <c r="AE16" s="6"/>
      <c r="AF16" s="6"/>
      <c r="AG16" s="495"/>
      <c r="AH16" s="673"/>
      <c r="AI16" s="671"/>
      <c r="AJ16" s="672"/>
      <c r="AK16" s="527"/>
      <c r="AM16" s="470"/>
      <c r="AN16" s="6"/>
      <c r="AO16" s="6"/>
      <c r="AP16" s="495"/>
      <c r="AQ16" s="670"/>
      <c r="AR16" s="671"/>
      <c r="AS16" s="672"/>
      <c r="AT16" s="527"/>
    </row>
    <row r="17" spans="1:46" ht="66" customHeight="1" x14ac:dyDescent="0.35">
      <c r="A17" s="1478">
        <v>45573</v>
      </c>
      <c r="B17" s="534">
        <v>1</v>
      </c>
      <c r="C17" s="493"/>
      <c r="D17" s="494"/>
      <c r="E17" s="494"/>
      <c r="F17" s="495"/>
      <c r="G17" s="566"/>
      <c r="H17" s="514"/>
      <c r="I17" s="641"/>
      <c r="J17" s="527"/>
      <c r="K17" s="66"/>
      <c r="L17" s="470"/>
      <c r="M17" s="6"/>
      <c r="N17" s="6"/>
      <c r="O17" s="495"/>
      <c r="P17" s="566"/>
      <c r="Q17" s="514"/>
      <c r="R17" s="515"/>
      <c r="S17" s="527"/>
      <c r="T17" s="66"/>
      <c r="U17" s="470"/>
      <c r="V17" s="6"/>
      <c r="W17" s="6"/>
      <c r="X17" s="495"/>
      <c r="Y17" s="565"/>
      <c r="Z17" s="514"/>
      <c r="AA17" s="641"/>
      <c r="AB17" s="527"/>
      <c r="AC17" s="66"/>
      <c r="AD17" s="470"/>
      <c r="AE17" s="6"/>
      <c r="AF17" s="6"/>
      <c r="AG17" s="495"/>
      <c r="AH17" s="566"/>
      <c r="AI17" s="514"/>
      <c r="AJ17" s="515"/>
      <c r="AK17" s="527"/>
      <c r="AM17" s="470"/>
      <c r="AN17" s="6"/>
      <c r="AO17" s="6"/>
      <c r="AP17" s="566"/>
      <c r="AQ17" s="514"/>
      <c r="AR17" s="515"/>
      <c r="AS17" s="579"/>
      <c r="AT17" s="527"/>
    </row>
    <row r="18" spans="1:46" ht="49.95" customHeight="1" x14ac:dyDescent="0.35">
      <c r="A18" s="1477"/>
      <c r="B18" s="472">
        <v>2</v>
      </c>
      <c r="C18" s="493"/>
      <c r="D18" s="494"/>
      <c r="E18" s="494">
        <v>25</v>
      </c>
      <c r="F18" s="495"/>
      <c r="G18" s="565"/>
      <c r="H18" s="638"/>
      <c r="I18" s="641" t="s">
        <v>152</v>
      </c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494"/>
      <c r="X18" s="495"/>
      <c r="Y18" s="565"/>
      <c r="Z18" s="515"/>
      <c r="AA18" s="641"/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/>
      <c r="AP18" s="495"/>
      <c r="AQ18" s="1508"/>
      <c r="AR18" s="1509"/>
      <c r="AS18" s="1510"/>
      <c r="AT18" s="527"/>
    </row>
    <row r="19" spans="1:46" ht="33.65" customHeight="1" x14ac:dyDescent="0.35">
      <c r="A19" s="1478">
        <v>45574</v>
      </c>
      <c r="B19" s="472">
        <v>1</v>
      </c>
      <c r="C19" s="66"/>
      <c r="D19" s="494"/>
      <c r="E19" s="494">
        <v>10</v>
      </c>
      <c r="F19" s="495"/>
      <c r="G19" s="465"/>
      <c r="H19" s="6"/>
      <c r="I19" s="641" t="s">
        <v>152</v>
      </c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>
        <v>32</v>
      </c>
      <c r="X19" s="495"/>
      <c r="Y19" s="470"/>
      <c r="Z19" s="502"/>
      <c r="AA19" s="515" t="s">
        <v>152</v>
      </c>
      <c r="AB19" s="527"/>
      <c r="AC19" s="66"/>
      <c r="AD19" s="470"/>
      <c r="AE19" s="6"/>
      <c r="AF19" s="6"/>
      <c r="AG19" s="495"/>
      <c r="AH19" s="470"/>
      <c r="AI19" s="6"/>
      <c r="AJ19" s="579"/>
      <c r="AK19" s="527"/>
      <c r="AM19" s="470"/>
      <c r="AN19" s="6"/>
      <c r="AO19" s="6"/>
      <c r="AP19" s="495"/>
      <c r="AQ19" s="470"/>
      <c r="AR19" s="6"/>
      <c r="AS19" s="515"/>
      <c r="AT19" s="527"/>
    </row>
    <row r="20" spans="1:46" ht="44.5" customHeight="1" x14ac:dyDescent="0.35">
      <c r="A20" s="1477"/>
      <c r="B20" s="472">
        <v>2</v>
      </c>
      <c r="C20" s="493"/>
      <c r="D20" s="494"/>
      <c r="E20" s="494"/>
      <c r="F20" s="495"/>
      <c r="G20" s="465"/>
      <c r="H20" s="663"/>
      <c r="I20" s="641"/>
      <c r="J20" s="527"/>
      <c r="K20" s="66"/>
      <c r="L20" s="470"/>
      <c r="M20" s="6"/>
      <c r="N20" s="6"/>
      <c r="O20" s="495"/>
      <c r="P20" s="465"/>
      <c r="Q20" s="663"/>
      <c r="R20" s="641"/>
      <c r="S20" s="527"/>
      <c r="T20" s="66"/>
      <c r="U20" s="470"/>
      <c r="V20" s="6"/>
      <c r="W20" s="6">
        <v>22</v>
      </c>
      <c r="X20" s="495"/>
      <c r="Y20" s="465"/>
      <c r="Z20" s="663"/>
      <c r="AA20" s="515" t="s">
        <v>152</v>
      </c>
      <c r="AB20" s="527"/>
      <c r="AC20" s="66"/>
      <c r="AD20" s="470"/>
      <c r="AE20" s="6"/>
      <c r="AF20" s="6"/>
      <c r="AG20" s="495"/>
      <c r="AH20" s="465"/>
      <c r="AI20" s="663"/>
      <c r="AJ20" s="641"/>
      <c r="AK20" s="527"/>
      <c r="AM20" s="470"/>
      <c r="AN20" s="6"/>
      <c r="AO20" s="6"/>
      <c r="AP20" s="495"/>
      <c r="AQ20" s="465"/>
      <c r="AR20" s="663"/>
      <c r="AS20" s="641"/>
      <c r="AT20" s="527"/>
    </row>
    <row r="21" spans="1:46" ht="39.65" customHeight="1" x14ac:dyDescent="0.35">
      <c r="A21" s="1478">
        <v>45575</v>
      </c>
      <c r="B21" s="472">
        <v>1</v>
      </c>
      <c r="C21" s="493"/>
      <c r="D21" s="494"/>
      <c r="E21" s="494"/>
      <c r="F21" s="495"/>
      <c r="G21" s="569"/>
      <c r="H21" s="514"/>
      <c r="I21" s="641"/>
      <c r="J21" s="674"/>
      <c r="K21" s="66"/>
      <c r="L21" s="470"/>
      <c r="M21" s="6"/>
      <c r="N21" s="6"/>
      <c r="O21" s="495"/>
      <c r="P21" s="470"/>
      <c r="Q21" s="6"/>
      <c r="R21" s="6"/>
      <c r="S21" s="674"/>
      <c r="T21" s="66"/>
      <c r="U21" s="470"/>
      <c r="V21" s="6"/>
      <c r="W21" s="6">
        <v>13</v>
      </c>
      <c r="X21" s="495"/>
      <c r="Y21" s="465"/>
      <c r="Z21" s="6"/>
      <c r="AA21" s="579" t="s">
        <v>325</v>
      </c>
      <c r="AB21" s="674"/>
      <c r="AC21" s="66"/>
      <c r="AD21" s="470"/>
      <c r="AE21" s="6"/>
      <c r="AF21" s="6"/>
      <c r="AG21" s="495"/>
      <c r="AH21" s="470"/>
      <c r="AI21" s="6"/>
      <c r="AJ21" s="641"/>
      <c r="AK21" s="674"/>
      <c r="AM21" s="470"/>
      <c r="AN21" s="6"/>
      <c r="AO21" s="6"/>
      <c r="AP21" s="495"/>
      <c r="AQ21" s="470"/>
      <c r="AR21" s="502"/>
      <c r="AS21" s="47"/>
      <c r="AT21" s="674"/>
    </row>
    <row r="22" spans="1:46" ht="49.95" customHeight="1" x14ac:dyDescent="0.35">
      <c r="A22" s="1477"/>
      <c r="B22" s="472">
        <v>2</v>
      </c>
      <c r="C22" s="493"/>
      <c r="D22" s="494"/>
      <c r="E22" s="494"/>
      <c r="F22" s="495"/>
      <c r="G22" s="562"/>
      <c r="H22" s="515"/>
      <c r="I22" s="641"/>
      <c r="J22" s="527"/>
      <c r="K22" s="66"/>
      <c r="L22" s="470"/>
      <c r="M22" s="6"/>
      <c r="N22" s="6"/>
      <c r="O22" s="495"/>
      <c r="P22" s="469"/>
      <c r="Q22" s="515"/>
      <c r="R22" s="6"/>
      <c r="S22" s="527"/>
      <c r="T22" s="66"/>
      <c r="U22" s="470"/>
      <c r="V22" s="6"/>
      <c r="W22" s="6"/>
      <c r="X22" s="495"/>
      <c r="Y22" s="465"/>
      <c r="Z22" s="515"/>
      <c r="AA22" s="579"/>
      <c r="AB22" s="527"/>
      <c r="AC22" s="66"/>
      <c r="AD22" s="470"/>
      <c r="AE22" s="6"/>
      <c r="AF22" s="6"/>
      <c r="AG22" s="495"/>
      <c r="AH22" s="470"/>
      <c r="AI22" s="6"/>
      <c r="AJ22" s="579"/>
      <c r="AK22" s="527"/>
      <c r="AM22" s="470"/>
      <c r="AN22" s="6"/>
      <c r="AO22" s="6"/>
      <c r="AP22" s="495"/>
      <c r="AQ22" s="470"/>
      <c r="AR22" s="515"/>
      <c r="AS22" s="47"/>
      <c r="AT22" s="527"/>
    </row>
    <row r="23" spans="1:46" ht="47.5" customHeight="1" x14ac:dyDescent="0.35">
      <c r="A23" s="1478">
        <v>45576</v>
      </c>
      <c r="B23" s="534">
        <v>1</v>
      </c>
      <c r="C23" s="493"/>
      <c r="D23" s="494"/>
      <c r="E23" s="494"/>
      <c r="F23" s="495"/>
      <c r="G23" s="566"/>
      <c r="H23" s="514"/>
      <c r="I23" s="641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/>
      <c r="V23" s="6"/>
      <c r="W23" s="6"/>
      <c r="X23" s="495"/>
      <c r="Y23" s="465"/>
      <c r="Z23" s="515"/>
      <c r="AA23" s="641"/>
      <c r="AB23" s="527"/>
      <c r="AC23" s="66"/>
      <c r="AD23" s="470"/>
      <c r="AE23" s="6"/>
      <c r="AF23" s="509"/>
      <c r="AG23" s="495"/>
      <c r="AH23" s="470"/>
      <c r="AI23" s="514"/>
      <c r="AJ23" s="515"/>
      <c r="AK23" s="527"/>
      <c r="AM23" s="470"/>
      <c r="AN23" s="6"/>
      <c r="AO23" s="6"/>
      <c r="AP23" s="495"/>
      <c r="AQ23" s="6"/>
      <c r="AR23" s="514"/>
      <c r="AS23" s="573"/>
      <c r="AT23" s="527"/>
    </row>
    <row r="24" spans="1:46" ht="49.95" customHeight="1" x14ac:dyDescent="0.35">
      <c r="A24" s="1477"/>
      <c r="B24" s="472">
        <v>2</v>
      </c>
      <c r="C24" s="493"/>
      <c r="D24" s="494"/>
      <c r="E24" s="494">
        <v>10</v>
      </c>
      <c r="F24" s="495"/>
      <c r="G24" s="566"/>
      <c r="H24" s="515"/>
      <c r="I24" s="641" t="s">
        <v>152</v>
      </c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6"/>
      <c r="V24" s="495"/>
      <c r="W24" s="566"/>
      <c r="X24" s="495"/>
      <c r="Y24" s="641"/>
      <c r="Z24" s="514"/>
      <c r="AA24" s="641"/>
      <c r="AB24" s="527"/>
      <c r="AC24" s="66"/>
      <c r="AD24" s="470"/>
      <c r="AE24" s="6"/>
      <c r="AF24" s="509"/>
      <c r="AG24" s="495"/>
      <c r="AH24" s="641"/>
      <c r="AI24" s="514"/>
      <c r="AJ24" s="515"/>
      <c r="AK24" s="527"/>
      <c r="AM24" s="470"/>
      <c r="AN24" s="6"/>
      <c r="AO24" s="6"/>
      <c r="AP24" s="495"/>
      <c r="AQ24" s="514"/>
      <c r="AR24" s="514"/>
      <c r="AS24" s="527"/>
      <c r="AT24" s="527"/>
    </row>
    <row r="25" spans="1:46" ht="53.5" customHeight="1" x14ac:dyDescent="0.35">
      <c r="A25" s="1478">
        <v>45577</v>
      </c>
      <c r="B25" s="472">
        <v>1</v>
      </c>
      <c r="C25" s="493"/>
      <c r="D25" s="494"/>
      <c r="E25" s="494"/>
      <c r="F25" s="495"/>
      <c r="G25" s="566"/>
      <c r="H25" s="514"/>
      <c r="I25" s="641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>
        <v>32</v>
      </c>
      <c r="X25" s="495"/>
      <c r="Y25" s="465"/>
      <c r="Z25" s="502"/>
      <c r="AA25" s="579" t="s">
        <v>328</v>
      </c>
      <c r="AB25" s="527"/>
      <c r="AC25" s="66"/>
      <c r="AD25" s="470"/>
      <c r="AE25" s="6"/>
      <c r="AF25" s="6">
        <v>30</v>
      </c>
      <c r="AG25" s="495"/>
      <c r="AH25" s="6"/>
      <c r="AI25" s="502"/>
      <c r="AJ25" s="515" t="s">
        <v>152</v>
      </c>
      <c r="AK25" s="527"/>
      <c r="AM25" s="470"/>
      <c r="AN25" s="6"/>
      <c r="AO25" s="6"/>
      <c r="AP25" s="495"/>
      <c r="AQ25" s="6"/>
      <c r="AR25" s="6"/>
      <c r="AS25" s="47"/>
      <c r="AT25" s="527"/>
    </row>
    <row r="26" spans="1:46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641"/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/>
      <c r="V26" s="494"/>
      <c r="W26" s="6"/>
      <c r="X26" s="495"/>
      <c r="Y26" s="641"/>
      <c r="Z26" s="515"/>
      <c r="AA26" s="579"/>
      <c r="AB26" s="527"/>
      <c r="AC26" s="66"/>
      <c r="AD26" s="470"/>
      <c r="AE26" s="494"/>
      <c r="AF26" s="6"/>
      <c r="AG26" s="495"/>
      <c r="AH26" s="641"/>
      <c r="AI26" s="515"/>
      <c r="AJ26" s="573"/>
      <c r="AK26" s="527"/>
      <c r="AM26" s="470"/>
      <c r="AN26" s="494"/>
      <c r="AO26" s="6"/>
      <c r="AP26" s="495"/>
      <c r="AQ26" s="566"/>
      <c r="AR26" s="515"/>
      <c r="AS26" s="47"/>
      <c r="AT26" s="527"/>
    </row>
    <row r="27" spans="1:46" ht="49.95" customHeight="1" x14ac:dyDescent="0.35">
      <c r="A27" s="1478">
        <v>45578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>
        <v>24</v>
      </c>
      <c r="W27" s="6">
        <v>24</v>
      </c>
      <c r="X27" s="495"/>
      <c r="Y27" s="566"/>
      <c r="Z27" s="515" t="s">
        <v>394</v>
      </c>
      <c r="AA27" s="579" t="s">
        <v>325</v>
      </c>
      <c r="AB27" s="527"/>
      <c r="AC27" s="66"/>
      <c r="AD27" s="470"/>
      <c r="AE27" s="6"/>
      <c r="AF27" s="6"/>
      <c r="AG27" s="495"/>
      <c r="AH27" s="566"/>
      <c r="AI27" s="502"/>
      <c r="AJ27" s="515"/>
      <c r="AK27" s="527"/>
      <c r="AM27" s="470"/>
      <c r="AN27" s="6"/>
      <c r="AO27" s="6"/>
      <c r="AP27" s="495"/>
      <c r="AQ27" s="502"/>
      <c r="AR27" s="6"/>
      <c r="AS27" s="573"/>
      <c r="AT27" s="527"/>
    </row>
    <row r="28" spans="1:46" ht="72" customHeight="1" x14ac:dyDescent="0.35">
      <c r="A28" s="1477"/>
      <c r="B28" s="472">
        <v>2</v>
      </c>
      <c r="C28" s="493"/>
      <c r="D28" s="494"/>
      <c r="E28" s="494"/>
      <c r="F28" s="495"/>
      <c r="G28" s="515"/>
      <c r="H28" s="515"/>
      <c r="I28" s="573"/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/>
      <c r="V28" s="6"/>
      <c r="W28" s="66"/>
      <c r="X28" s="495"/>
      <c r="Y28" s="515"/>
      <c r="Z28" s="6"/>
      <c r="AA28" s="579"/>
      <c r="AB28" s="527"/>
      <c r="AC28" s="66"/>
      <c r="AD28" s="470"/>
      <c r="AE28" s="6"/>
      <c r="AF28" s="6"/>
      <c r="AG28" s="495"/>
      <c r="AH28" s="566"/>
      <c r="AI28" s="502"/>
      <c r="AJ28" s="573"/>
      <c r="AK28" s="527"/>
      <c r="AM28" s="470"/>
      <c r="AN28" s="6"/>
      <c r="AO28" s="6"/>
      <c r="AP28" s="495"/>
      <c r="AQ28" s="502"/>
      <c r="AR28" s="6"/>
      <c r="AS28" s="47"/>
      <c r="AT28" s="527"/>
    </row>
    <row r="29" spans="1:46" ht="66" customHeight="1" x14ac:dyDescent="0.35">
      <c r="A29" s="1478">
        <v>45579</v>
      </c>
      <c r="B29" s="472">
        <v>1</v>
      </c>
      <c r="C29" s="493"/>
      <c r="D29" s="494"/>
      <c r="E29" s="494"/>
      <c r="F29" s="495"/>
      <c r="G29" s="515"/>
      <c r="H29" s="514"/>
      <c r="I29" s="573"/>
      <c r="J29" s="527"/>
      <c r="K29" s="66"/>
      <c r="L29" s="470"/>
      <c r="M29" s="6"/>
      <c r="N29" s="6"/>
      <c r="O29" s="495"/>
      <c r="P29" s="566"/>
      <c r="Q29" s="515"/>
      <c r="R29" s="515"/>
      <c r="S29" s="527"/>
      <c r="T29" s="66"/>
      <c r="U29" s="470"/>
      <c r="V29" s="6"/>
      <c r="W29" s="6">
        <v>10</v>
      </c>
      <c r="X29" s="495"/>
      <c r="Y29" s="515"/>
      <c r="Z29" s="514"/>
      <c r="AA29" s="515" t="s">
        <v>152</v>
      </c>
      <c r="AB29" s="527"/>
      <c r="AC29" s="66"/>
      <c r="AD29" s="470"/>
      <c r="AE29" s="6"/>
      <c r="AF29" s="6"/>
      <c r="AG29" s="495"/>
      <c r="AH29" s="566"/>
      <c r="AI29" s="514"/>
      <c r="AJ29" s="515"/>
      <c r="AK29" s="527"/>
      <c r="AM29" s="470"/>
      <c r="AN29" s="6"/>
      <c r="AO29" s="6"/>
      <c r="AP29" s="495"/>
      <c r="AQ29" s="502"/>
      <c r="AR29" s="514"/>
      <c r="AS29" s="47"/>
      <c r="AT29" s="527"/>
    </row>
    <row r="30" spans="1:46" ht="39.65" customHeight="1" x14ac:dyDescent="0.35">
      <c r="A30" s="1477"/>
      <c r="B30" s="534">
        <v>2</v>
      </c>
      <c r="C30" s="493"/>
      <c r="D30" s="494"/>
      <c r="E30" s="494">
        <v>18</v>
      </c>
      <c r="F30" s="495"/>
      <c r="G30" s="515"/>
      <c r="H30" s="514"/>
      <c r="I30" s="573" t="s">
        <v>973</v>
      </c>
      <c r="J30" s="527"/>
      <c r="K30" s="66"/>
      <c r="L30" s="470">
        <v>38</v>
      </c>
      <c r="M30" s="6"/>
      <c r="N30" s="6"/>
      <c r="O30" s="495"/>
      <c r="P30" s="566" t="s">
        <v>974</v>
      </c>
      <c r="Q30" s="515"/>
      <c r="R30" s="515"/>
      <c r="S30" s="527"/>
      <c r="T30" s="66"/>
      <c r="U30" s="470"/>
      <c r="V30" s="6"/>
      <c r="W30" s="6">
        <v>12</v>
      </c>
      <c r="X30" s="495"/>
      <c r="Y30" s="515"/>
      <c r="Z30" s="514"/>
      <c r="AA30" s="579" t="s">
        <v>325</v>
      </c>
      <c r="AB30" s="527"/>
      <c r="AC30" s="66"/>
      <c r="AD30" s="470"/>
      <c r="AE30" s="6"/>
      <c r="AF30" s="6"/>
      <c r="AG30" s="495"/>
      <c r="AH30" s="566"/>
      <c r="AI30" s="515"/>
      <c r="AJ30" s="515"/>
      <c r="AK30" s="527"/>
      <c r="AM30" s="470"/>
      <c r="AN30" s="6"/>
      <c r="AO30" s="6"/>
      <c r="AP30" s="495"/>
      <c r="AQ30" s="469"/>
      <c r="AR30" s="502"/>
      <c r="AS30" s="636"/>
      <c r="AT30" s="527"/>
    </row>
    <row r="31" spans="1:46" ht="39.65" customHeight="1" x14ac:dyDescent="0.35">
      <c r="A31" s="1478">
        <v>45580</v>
      </c>
      <c r="B31" s="472">
        <v>1</v>
      </c>
      <c r="C31" s="493"/>
      <c r="D31" s="494"/>
      <c r="E31" s="494"/>
      <c r="F31" s="495"/>
      <c r="G31" s="566"/>
      <c r="H31" s="515"/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469"/>
      <c r="Z31" s="6"/>
      <c r="AA31" s="579"/>
      <c r="AB31" s="527"/>
      <c r="AC31" s="66"/>
      <c r="AD31" s="470"/>
      <c r="AE31" s="6"/>
      <c r="AF31" s="6"/>
      <c r="AG31" s="495"/>
      <c r="AH31" s="566"/>
      <c r="AI31" s="6"/>
      <c r="AJ31" s="6"/>
      <c r="AK31" s="527"/>
      <c r="AM31" s="470"/>
      <c r="AN31" s="6"/>
      <c r="AO31" s="6"/>
      <c r="AP31" s="495"/>
      <c r="AQ31" s="509"/>
      <c r="AR31" s="6"/>
      <c r="AS31" s="6"/>
      <c r="AT31" s="527"/>
    </row>
    <row r="32" spans="1:46" ht="63" customHeight="1" x14ac:dyDescent="0.35">
      <c r="A32" s="1477"/>
      <c r="B32" s="472">
        <v>2</v>
      </c>
      <c r="C32" s="493"/>
      <c r="D32" s="493"/>
      <c r="E32" s="494"/>
      <c r="F32" s="493">
        <v>48</v>
      </c>
      <c r="G32" s="566"/>
      <c r="H32" s="527"/>
      <c r="I32" s="573"/>
      <c r="J32" s="527" t="s">
        <v>954</v>
      </c>
      <c r="K32" s="66"/>
      <c r="L32" s="470"/>
      <c r="M32" s="6"/>
      <c r="N32" s="6"/>
      <c r="O32" s="6">
        <v>40</v>
      </c>
      <c r="P32" s="509"/>
      <c r="Q32" s="527"/>
      <c r="R32" s="6"/>
      <c r="S32" s="527" t="s">
        <v>954</v>
      </c>
      <c r="T32" s="66"/>
      <c r="U32" s="470"/>
      <c r="V32" s="6"/>
      <c r="W32" s="494"/>
      <c r="X32" s="6">
        <v>50</v>
      </c>
      <c r="Y32" s="566"/>
      <c r="Z32" s="527"/>
      <c r="AA32" s="579"/>
      <c r="AB32" s="527" t="s">
        <v>954</v>
      </c>
      <c r="AC32" s="66"/>
      <c r="AD32" s="470"/>
      <c r="AE32" s="6"/>
      <c r="AF32" s="494"/>
      <c r="AG32" s="6">
        <v>54</v>
      </c>
      <c r="AH32" s="566"/>
      <c r="AI32" s="527"/>
      <c r="AJ32" s="579"/>
      <c r="AK32" s="527" t="s">
        <v>954</v>
      </c>
      <c r="AM32" s="470"/>
      <c r="AN32" s="6"/>
      <c r="AO32" s="6"/>
      <c r="AP32" s="495"/>
      <c r="AQ32" s="509"/>
      <c r="AR32" s="527"/>
      <c r="AS32" s="565"/>
      <c r="AT32" s="527" t="s">
        <v>954</v>
      </c>
    </row>
    <row r="33" spans="1:46" ht="43.2" customHeight="1" x14ac:dyDescent="0.35">
      <c r="A33" s="1478">
        <v>45581</v>
      </c>
      <c r="B33" s="472">
        <v>1</v>
      </c>
      <c r="C33" s="493"/>
      <c r="D33" s="494"/>
      <c r="E33" s="494"/>
      <c r="F33" s="495"/>
      <c r="G33" s="566"/>
      <c r="H33" s="515"/>
      <c r="I33" s="579"/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>
        <v>18</v>
      </c>
      <c r="X33" s="495"/>
      <c r="Y33" s="509"/>
      <c r="Z33" s="6"/>
      <c r="AA33" s="579" t="s">
        <v>325</v>
      </c>
      <c r="AB33" s="527"/>
      <c r="AC33" s="66"/>
      <c r="AD33" s="470"/>
      <c r="AE33" s="6"/>
      <c r="AF33" s="6"/>
      <c r="AG33" s="495"/>
      <c r="AH33" s="509"/>
      <c r="AI33" s="502"/>
      <c r="AJ33" s="579"/>
      <c r="AK33" s="527"/>
      <c r="AM33" s="470"/>
      <c r="AN33" s="6"/>
      <c r="AO33" s="6"/>
      <c r="AP33" s="495"/>
      <c r="AQ33" s="509"/>
      <c r="AR33" s="502"/>
      <c r="AS33" s="6"/>
      <c r="AT33" s="527"/>
    </row>
    <row r="34" spans="1:46" ht="67.95" customHeight="1" x14ac:dyDescent="0.35">
      <c r="A34" s="1477"/>
      <c r="B34" s="534">
        <v>2</v>
      </c>
      <c r="C34" s="494"/>
      <c r="D34" s="494"/>
      <c r="E34" s="494">
        <v>25</v>
      </c>
      <c r="F34" s="495"/>
      <c r="G34" s="565"/>
      <c r="H34" s="515"/>
      <c r="I34" s="641" t="s">
        <v>152</v>
      </c>
      <c r="J34" s="527"/>
      <c r="K34" s="66"/>
      <c r="L34" s="470"/>
      <c r="M34" s="6"/>
      <c r="N34" s="6"/>
      <c r="O34" s="495"/>
      <c r="P34" s="509"/>
      <c r="Q34" s="515"/>
      <c r="R34" s="6"/>
      <c r="S34" s="527"/>
      <c r="T34" s="66"/>
      <c r="U34" s="470"/>
      <c r="V34" s="6"/>
      <c r="W34" s="6">
        <v>26</v>
      </c>
      <c r="X34" s="495"/>
      <c r="Y34" s="502"/>
      <c r="Z34" s="502"/>
      <c r="AA34" s="515" t="s">
        <v>152</v>
      </c>
      <c r="AB34" s="527"/>
      <c r="AC34" s="66"/>
      <c r="AD34" s="470"/>
      <c r="AE34" s="6"/>
      <c r="AF34" s="6"/>
      <c r="AG34" s="495"/>
      <c r="AH34" s="509"/>
      <c r="AI34" s="6"/>
      <c r="AJ34" s="502"/>
      <c r="AK34" s="527"/>
      <c r="AM34" s="470"/>
      <c r="AN34" s="6"/>
      <c r="AO34" s="6">
        <v>16</v>
      </c>
      <c r="AP34" s="495"/>
      <c r="AQ34" s="509"/>
      <c r="AR34" s="6"/>
      <c r="AS34" s="515" t="s">
        <v>152</v>
      </c>
      <c r="AT34" s="527"/>
    </row>
    <row r="35" spans="1:46" ht="51" customHeight="1" x14ac:dyDescent="0.35">
      <c r="A35" s="1478">
        <v>45582</v>
      </c>
      <c r="B35" s="472">
        <v>1</v>
      </c>
      <c r="C35" s="494"/>
      <c r="D35" s="494"/>
      <c r="E35" s="47">
        <v>13</v>
      </c>
      <c r="F35" s="495"/>
      <c r="G35" s="465"/>
      <c r="H35" s="509"/>
      <c r="I35" s="641" t="s">
        <v>152</v>
      </c>
      <c r="J35" s="527"/>
      <c r="K35" s="66"/>
      <c r="L35" s="470"/>
      <c r="M35" s="6"/>
      <c r="N35" s="6"/>
      <c r="O35" s="495"/>
      <c r="P35" s="465"/>
      <c r="Q35" s="576"/>
      <c r="R35" s="515"/>
      <c r="S35" s="527"/>
      <c r="T35" s="66"/>
      <c r="U35" s="470"/>
      <c r="V35" s="6"/>
      <c r="W35" s="47">
        <v>13</v>
      </c>
      <c r="X35" s="495"/>
      <c r="Y35" s="465"/>
      <c r="Z35" s="502"/>
      <c r="AA35" s="515" t="s">
        <v>152</v>
      </c>
      <c r="AB35" s="527"/>
      <c r="AC35" s="66"/>
      <c r="AD35" s="470"/>
      <c r="AE35" s="6"/>
      <c r="AF35" s="6"/>
      <c r="AG35" s="495"/>
      <c r="AH35" s="465"/>
      <c r="AI35" s="6"/>
      <c r="AJ35" s="565"/>
      <c r="AK35" s="527"/>
      <c r="AM35" s="470"/>
      <c r="AN35" s="6"/>
      <c r="AO35" s="47"/>
      <c r="AP35" s="495"/>
      <c r="AQ35" s="465"/>
      <c r="AR35" s="573"/>
      <c r="AS35" s="636"/>
      <c r="AT35" s="527"/>
    </row>
    <row r="36" spans="1:46" ht="46.95" customHeight="1" x14ac:dyDescent="0.35">
      <c r="A36" s="1477"/>
      <c r="B36" s="472">
        <v>2</v>
      </c>
      <c r="C36" s="47"/>
      <c r="D36" s="6"/>
      <c r="E36" s="47">
        <v>20</v>
      </c>
      <c r="F36" s="495"/>
      <c r="G36" s="573"/>
      <c r="H36" s="515"/>
      <c r="I36" s="573" t="s">
        <v>973</v>
      </c>
      <c r="J36" s="527"/>
      <c r="K36" s="66"/>
      <c r="L36" s="465"/>
      <c r="M36" s="6"/>
      <c r="N36" s="6"/>
      <c r="O36" s="495"/>
      <c r="P36" s="465"/>
      <c r="Q36" s="515"/>
      <c r="R36" s="502"/>
      <c r="S36" s="527"/>
      <c r="T36" s="66"/>
      <c r="U36" s="470"/>
      <c r="V36" s="6"/>
      <c r="W36" s="6">
        <v>28</v>
      </c>
      <c r="X36" s="495"/>
      <c r="Y36" s="465"/>
      <c r="Z36" s="515"/>
      <c r="AA36" s="515" t="s">
        <v>152</v>
      </c>
      <c r="AB36" s="527"/>
      <c r="AC36" s="66"/>
      <c r="AD36" s="470"/>
      <c r="AE36" s="6"/>
      <c r="AF36" s="47"/>
      <c r="AG36" s="495"/>
      <c r="AH36" s="465"/>
      <c r="AI36" s="502"/>
      <c r="AJ36" s="579"/>
      <c r="AK36" s="527"/>
      <c r="AM36" s="470"/>
      <c r="AN36" s="6"/>
      <c r="AO36" s="470"/>
      <c r="AP36" s="495"/>
      <c r="AQ36" s="509"/>
      <c r="AR36" s="469"/>
      <c r="AS36" s="465"/>
      <c r="AT36" s="527"/>
    </row>
    <row r="37" spans="1:46" ht="59.5" customHeight="1" x14ac:dyDescent="0.35">
      <c r="A37" s="1478">
        <v>45583</v>
      </c>
      <c r="B37" s="534">
        <v>1</v>
      </c>
      <c r="C37" s="47"/>
      <c r="D37" s="494"/>
      <c r="E37" s="47"/>
      <c r="F37" s="495"/>
      <c r="G37" s="573"/>
      <c r="H37" s="469"/>
      <c r="I37" s="641"/>
      <c r="J37" s="527"/>
      <c r="K37" s="66"/>
      <c r="L37" s="470"/>
      <c r="M37" s="6"/>
      <c r="N37" s="6"/>
      <c r="O37" s="495"/>
      <c r="P37" s="509"/>
      <c r="Q37" s="6"/>
      <c r="R37" s="6"/>
      <c r="S37" s="527"/>
      <c r="T37" s="66"/>
      <c r="U37" s="470"/>
      <c r="V37" s="6"/>
      <c r="W37" s="6"/>
      <c r="X37" s="495"/>
      <c r="Y37" s="509"/>
      <c r="Z37" s="502"/>
      <c r="AA37" s="515"/>
      <c r="AB37" s="527"/>
      <c r="AC37" s="66"/>
      <c r="AD37" s="470"/>
      <c r="AE37" s="6"/>
      <c r="AF37" s="6"/>
      <c r="AG37" s="495"/>
      <c r="AH37" s="469"/>
      <c r="AI37" s="6"/>
      <c r="AJ37" s="579"/>
      <c r="AK37" s="527"/>
      <c r="AM37" s="470">
        <v>18</v>
      </c>
      <c r="AN37" s="6"/>
      <c r="AO37" s="6"/>
      <c r="AP37" s="495"/>
      <c r="AQ37" s="509" t="s">
        <v>113</v>
      </c>
      <c r="AR37" s="6"/>
      <c r="AS37" s="6"/>
      <c r="AT37" s="527"/>
    </row>
    <row r="38" spans="1:46" ht="55.95" customHeight="1" x14ac:dyDescent="0.35">
      <c r="A38" s="1477"/>
      <c r="B38" s="472">
        <v>2</v>
      </c>
      <c r="C38" s="47"/>
      <c r="D38" s="494"/>
      <c r="E38" s="47"/>
      <c r="F38" s="495"/>
      <c r="G38" s="573"/>
      <c r="H38" s="469"/>
      <c r="I38" s="641"/>
      <c r="J38" s="527"/>
      <c r="K38" s="66"/>
      <c r="L38" s="470"/>
      <c r="M38" s="6"/>
      <c r="N38" s="6"/>
      <c r="O38" s="495"/>
      <c r="P38" s="469"/>
      <c r="Q38" s="469"/>
      <c r="R38" s="6"/>
      <c r="S38" s="527"/>
      <c r="T38" s="66"/>
      <c r="U38" s="470"/>
      <c r="V38" s="6"/>
      <c r="W38" s="6"/>
      <c r="X38" s="495"/>
      <c r="Y38" s="469"/>
      <c r="Z38" s="502"/>
      <c r="AA38" s="579"/>
      <c r="AB38" s="527"/>
      <c r="AC38" s="66"/>
      <c r="AD38" s="470"/>
      <c r="AE38" s="6"/>
      <c r="AF38" s="6"/>
      <c r="AG38" s="495"/>
      <c r="AH38" s="469"/>
      <c r="AI38" s="6"/>
      <c r="AJ38" s="579"/>
      <c r="AK38" s="527"/>
      <c r="AM38" s="470"/>
      <c r="AN38" s="6"/>
      <c r="AO38" s="6"/>
      <c r="AP38" s="495"/>
      <c r="AQ38" s="469"/>
      <c r="AR38" s="6"/>
      <c r="AS38" s="465"/>
      <c r="AT38" s="527"/>
    </row>
    <row r="39" spans="1:46" ht="70.95" customHeight="1" x14ac:dyDescent="0.35">
      <c r="A39" s="1478">
        <v>45584</v>
      </c>
      <c r="B39" s="472">
        <v>1</v>
      </c>
      <c r="C39" s="47"/>
      <c r="D39" s="494"/>
      <c r="E39" s="494">
        <v>28</v>
      </c>
      <c r="F39" s="495"/>
      <c r="G39" s="573"/>
      <c r="H39" s="469"/>
      <c r="I39" s="641" t="s">
        <v>152</v>
      </c>
      <c r="J39" s="527"/>
      <c r="K39" s="66"/>
      <c r="L39" s="470"/>
      <c r="M39" s="6"/>
      <c r="N39" s="6"/>
      <c r="O39" s="495"/>
      <c r="P39" s="573"/>
      <c r="Q39" s="514"/>
      <c r="R39" s="6"/>
      <c r="S39" s="527"/>
      <c r="T39" s="66"/>
      <c r="U39" s="470"/>
      <c r="V39" s="6">
        <v>38</v>
      </c>
      <c r="W39" s="6">
        <v>30</v>
      </c>
      <c r="X39" s="495"/>
      <c r="Y39" s="509"/>
      <c r="Z39" s="515" t="s">
        <v>394</v>
      </c>
      <c r="AA39" s="579" t="s">
        <v>328</v>
      </c>
      <c r="AB39" s="527"/>
      <c r="AC39" s="66"/>
      <c r="AD39" s="470"/>
      <c r="AE39" s="6"/>
      <c r="AF39" s="6"/>
      <c r="AG39" s="495"/>
      <c r="AH39" s="573"/>
      <c r="AI39" s="514"/>
      <c r="AJ39" s="579"/>
      <c r="AK39" s="527"/>
      <c r="AM39" s="470"/>
      <c r="AN39" s="6"/>
      <c r="AO39" s="6"/>
      <c r="AP39" s="495"/>
      <c r="AQ39" s="515"/>
      <c r="AR39" s="573"/>
      <c r="AS39" s="579"/>
      <c r="AT39" s="527"/>
    </row>
    <row r="40" spans="1:46" ht="72.650000000000006" customHeight="1" x14ac:dyDescent="0.35">
      <c r="A40" s="1477"/>
      <c r="B40" s="472">
        <v>2</v>
      </c>
      <c r="C40" s="494"/>
      <c r="D40" s="494"/>
      <c r="E40" s="494">
        <v>30</v>
      </c>
      <c r="F40" s="495"/>
      <c r="G40" s="573"/>
      <c r="H40" s="469"/>
      <c r="I40" s="641" t="s">
        <v>152</v>
      </c>
      <c r="J40" s="527"/>
      <c r="K40" s="66"/>
      <c r="L40" s="470"/>
      <c r="M40" s="6"/>
      <c r="N40" s="6"/>
      <c r="O40" s="495"/>
      <c r="P40" s="566"/>
      <c r="Q40" s="514"/>
      <c r="R40" s="573"/>
      <c r="S40" s="527"/>
      <c r="T40" s="66"/>
      <c r="U40" s="470">
        <v>84</v>
      </c>
      <c r="V40" s="6"/>
      <c r="W40" s="6">
        <v>21</v>
      </c>
      <c r="X40" s="495"/>
      <c r="Y40" s="566" t="s">
        <v>974</v>
      </c>
      <c r="Z40" s="514"/>
      <c r="AA40" s="515" t="s">
        <v>152</v>
      </c>
      <c r="AB40" s="527"/>
      <c r="AC40" s="66"/>
      <c r="AD40" s="470"/>
      <c r="AE40" s="6"/>
      <c r="AF40" s="6"/>
      <c r="AG40" s="495"/>
      <c r="AH40" s="465"/>
      <c r="AI40" s="515"/>
      <c r="AJ40" s="579"/>
      <c r="AK40" s="527"/>
      <c r="AM40" s="465"/>
      <c r="AN40" s="6"/>
      <c r="AO40" s="6">
        <v>14</v>
      </c>
      <c r="AP40" s="495"/>
      <c r="AQ40" s="566"/>
      <c r="AR40" s="514"/>
      <c r="AS40" s="573" t="s">
        <v>27</v>
      </c>
      <c r="AT40" s="527"/>
    </row>
    <row r="41" spans="1:46" ht="39.65" customHeight="1" x14ac:dyDescent="0.35">
      <c r="A41" s="1478">
        <v>45585</v>
      </c>
      <c r="B41" s="472">
        <v>1</v>
      </c>
      <c r="C41" s="493"/>
      <c r="D41" s="494"/>
      <c r="E41" s="494">
        <v>27</v>
      </c>
      <c r="F41" s="495"/>
      <c r="G41" s="566"/>
      <c r="H41" s="515"/>
      <c r="I41" s="573" t="s">
        <v>973</v>
      </c>
      <c r="J41" s="527"/>
      <c r="K41" s="66"/>
      <c r="L41" s="470"/>
      <c r="M41" s="6"/>
      <c r="N41" s="6"/>
      <c r="O41" s="495"/>
      <c r="P41" s="509"/>
      <c r="Q41" s="6"/>
      <c r="R41" s="573"/>
      <c r="S41" s="527"/>
      <c r="T41" s="66"/>
      <c r="U41" s="470"/>
      <c r="V41" s="6"/>
      <c r="W41" s="6">
        <v>32</v>
      </c>
      <c r="X41" s="495"/>
      <c r="Y41" s="509"/>
      <c r="Z41" s="502"/>
      <c r="AA41" s="579" t="s">
        <v>328</v>
      </c>
      <c r="AB41" s="527"/>
      <c r="AC41" s="66"/>
      <c r="AD41" s="470"/>
      <c r="AE41" s="6"/>
      <c r="AF41" s="6"/>
      <c r="AG41" s="495"/>
      <c r="AH41" s="465"/>
      <c r="AI41" s="502"/>
      <c r="AJ41" s="6"/>
      <c r="AK41" s="527"/>
      <c r="AM41" s="470"/>
      <c r="AN41" s="6"/>
      <c r="AO41" s="6"/>
      <c r="AP41" s="495"/>
      <c r="AQ41" s="509"/>
      <c r="AR41" s="502"/>
      <c r="AS41" s="573"/>
      <c r="AT41" s="527"/>
    </row>
    <row r="42" spans="1:46" ht="52.95" customHeight="1" x14ac:dyDescent="0.35">
      <c r="A42" s="1477"/>
      <c r="B42" s="472">
        <v>2</v>
      </c>
      <c r="C42" s="494"/>
      <c r="D42" s="494"/>
      <c r="E42" s="494">
        <v>50</v>
      </c>
      <c r="F42" s="495"/>
      <c r="G42" s="566"/>
      <c r="H42" s="515"/>
      <c r="I42" s="573" t="s">
        <v>807</v>
      </c>
      <c r="J42" s="527"/>
      <c r="K42" s="66"/>
      <c r="L42" s="470"/>
      <c r="M42" s="6"/>
      <c r="N42" s="6"/>
      <c r="O42" s="495"/>
      <c r="P42" s="509"/>
      <c r="Q42" s="502"/>
      <c r="R42" s="6"/>
      <c r="S42" s="527"/>
      <c r="T42" s="66"/>
      <c r="U42" s="470"/>
      <c r="V42" s="6"/>
      <c r="W42" s="6"/>
      <c r="X42" s="495"/>
      <c r="Y42" s="469"/>
      <c r="Z42" s="6"/>
      <c r="AA42" s="579"/>
      <c r="AB42" s="527"/>
      <c r="AC42" s="66"/>
      <c r="AD42" s="470"/>
      <c r="AE42" s="6"/>
      <c r="AF42" s="6"/>
      <c r="AG42" s="495"/>
      <c r="AH42" s="509"/>
      <c r="AI42" s="502"/>
      <c r="AJ42" s="6"/>
      <c r="AK42" s="527"/>
      <c r="AM42" s="470"/>
      <c r="AN42" s="6"/>
      <c r="AO42" s="6"/>
      <c r="AP42" s="495"/>
      <c r="AQ42" s="509"/>
      <c r="AR42" s="6"/>
      <c r="AS42" s="6"/>
      <c r="AT42" s="527"/>
    </row>
    <row r="43" spans="1:46" ht="65.5" customHeight="1" x14ac:dyDescent="0.35">
      <c r="A43" s="1478">
        <v>45586</v>
      </c>
      <c r="B43" s="472">
        <v>1</v>
      </c>
      <c r="C43" s="494"/>
      <c r="D43" s="494"/>
      <c r="E43" s="494">
        <v>21</v>
      </c>
      <c r="F43" s="495"/>
      <c r="G43" s="514"/>
      <c r="H43" s="514"/>
      <c r="I43" s="641" t="s">
        <v>152</v>
      </c>
      <c r="J43" s="527"/>
      <c r="K43" s="66"/>
      <c r="L43" s="470"/>
      <c r="M43" s="6"/>
      <c r="N43" s="6"/>
      <c r="O43" s="495"/>
      <c r="P43" s="509"/>
      <c r="Q43" s="6"/>
      <c r="R43" s="6"/>
      <c r="S43" s="527"/>
      <c r="T43" s="66"/>
      <c r="U43" s="470"/>
      <c r="V43" s="6"/>
      <c r="W43" s="6"/>
      <c r="X43" s="495"/>
      <c r="Y43" s="509"/>
      <c r="Z43" s="6"/>
      <c r="AA43" s="579"/>
      <c r="AB43" s="527"/>
      <c r="AC43" s="66"/>
      <c r="AD43" s="470"/>
      <c r="AE43" s="6"/>
      <c r="AF43" s="6"/>
      <c r="AG43" s="495"/>
      <c r="AH43" s="502"/>
      <c r="AI43" s="515"/>
      <c r="AJ43" s="6"/>
      <c r="AK43" s="527"/>
      <c r="AM43" s="470"/>
      <c r="AN43" s="6"/>
      <c r="AO43" s="6"/>
      <c r="AP43" s="495"/>
      <c r="AQ43" s="502"/>
      <c r="AR43" s="515"/>
      <c r="AS43" s="6"/>
      <c r="AT43" s="527"/>
    </row>
    <row r="44" spans="1:46" ht="69" customHeight="1" x14ac:dyDescent="0.35">
      <c r="A44" s="1477"/>
      <c r="B44" s="472">
        <v>2</v>
      </c>
      <c r="C44" s="494"/>
      <c r="D44" s="494"/>
      <c r="E44" s="494">
        <v>37</v>
      </c>
      <c r="F44" s="495"/>
      <c r="G44" s="514"/>
      <c r="H44" s="469"/>
      <c r="I44" s="573" t="s">
        <v>807</v>
      </c>
      <c r="J44" s="527"/>
      <c r="K44" s="66"/>
      <c r="L44" s="470"/>
      <c r="M44" s="6">
        <v>127</v>
      </c>
      <c r="N44" s="6"/>
      <c r="O44" s="508"/>
      <c r="P44" s="469"/>
      <c r="Q44" s="6" t="s">
        <v>96</v>
      </c>
      <c r="R44" s="502"/>
      <c r="S44" s="527"/>
      <c r="T44" s="66"/>
      <c r="U44" s="470"/>
      <c r="V44" s="6"/>
      <c r="W44" s="494">
        <v>25</v>
      </c>
      <c r="X44" s="495"/>
      <c r="Y44" s="514"/>
      <c r="Z44" s="515"/>
      <c r="AA44" s="579" t="s">
        <v>807</v>
      </c>
      <c r="AB44" s="527"/>
      <c r="AC44" s="66"/>
      <c r="AD44" s="470"/>
      <c r="AE44" s="6"/>
      <c r="AF44" s="6"/>
      <c r="AG44" s="508"/>
      <c r="AH44" s="509"/>
      <c r="AI44" s="502"/>
      <c r="AJ44" s="579"/>
      <c r="AK44" s="527"/>
      <c r="AM44" s="470"/>
      <c r="AN44" s="6"/>
      <c r="AO44" s="6"/>
      <c r="AP44" s="508"/>
      <c r="AQ44" s="509"/>
      <c r="AR44" s="502"/>
      <c r="AS44" s="502"/>
      <c r="AT44" s="527"/>
    </row>
    <row r="45" spans="1:46" ht="69" customHeight="1" x14ac:dyDescent="0.35">
      <c r="A45" s="1478">
        <v>45587</v>
      </c>
      <c r="B45" s="472">
        <v>1</v>
      </c>
      <c r="C45" s="494"/>
      <c r="D45" s="494"/>
      <c r="E45" s="494">
        <v>30</v>
      </c>
      <c r="F45" s="495"/>
      <c r="G45" s="514"/>
      <c r="H45" s="514"/>
      <c r="I45" s="573" t="s">
        <v>401</v>
      </c>
      <c r="J45" s="527"/>
      <c r="K45" s="66"/>
      <c r="L45" s="470"/>
      <c r="M45" s="6"/>
      <c r="N45" s="6"/>
      <c r="O45" s="508"/>
      <c r="P45" s="509"/>
      <c r="Q45" s="502"/>
      <c r="R45" s="6"/>
      <c r="S45" s="527"/>
      <c r="T45" s="66"/>
      <c r="U45" s="470"/>
      <c r="V45" s="502"/>
      <c r="W45" s="6"/>
      <c r="X45" s="495"/>
      <c r="Y45" s="509"/>
      <c r="Z45" s="502"/>
      <c r="AA45" s="502"/>
      <c r="AB45" s="527"/>
      <c r="AC45" s="66"/>
      <c r="AD45" s="470"/>
      <c r="AE45" s="6"/>
      <c r="AF45" s="6"/>
      <c r="AG45" s="508"/>
      <c r="AH45" s="509"/>
      <c r="AI45" s="502"/>
      <c r="AJ45" s="502"/>
      <c r="AK45" s="527"/>
      <c r="AM45" s="470"/>
      <c r="AN45" s="6"/>
      <c r="AO45" s="6"/>
      <c r="AP45" s="508"/>
      <c r="AQ45" s="509"/>
      <c r="AR45" s="502"/>
      <c r="AS45" s="6"/>
      <c r="AT45" s="527"/>
    </row>
    <row r="46" spans="1:46" ht="48.65" customHeight="1" x14ac:dyDescent="0.35">
      <c r="A46" s="1477"/>
      <c r="B46" s="472">
        <v>2</v>
      </c>
      <c r="C46" s="494"/>
      <c r="D46" s="494"/>
      <c r="E46" s="494">
        <v>15</v>
      </c>
      <c r="F46" s="495"/>
      <c r="G46" s="514"/>
      <c r="H46" s="514"/>
      <c r="I46" s="502" t="s">
        <v>152</v>
      </c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/>
      <c r="W46" s="6"/>
      <c r="X46" s="508"/>
      <c r="Y46" s="6"/>
      <c r="Z46" s="6"/>
      <c r="AA46" s="502"/>
      <c r="AB46" s="527"/>
      <c r="AC46" s="66"/>
      <c r="AD46" s="470"/>
      <c r="AE46" s="6"/>
      <c r="AF46" s="6"/>
      <c r="AG46" s="508"/>
      <c r="AH46" s="469"/>
      <c r="AI46" s="502"/>
      <c r="AJ46" s="579"/>
      <c r="AK46" s="527"/>
      <c r="AM46" s="470"/>
      <c r="AN46" s="6"/>
      <c r="AO46" s="6"/>
      <c r="AP46" s="508"/>
      <c r="AQ46" s="509"/>
      <c r="AR46" s="515"/>
      <c r="AS46" s="502"/>
      <c r="AT46" s="527"/>
    </row>
    <row r="47" spans="1:46" ht="58.95" customHeight="1" x14ac:dyDescent="0.35">
      <c r="A47" s="1478">
        <v>45588</v>
      </c>
      <c r="B47" s="472">
        <v>1</v>
      </c>
      <c r="C47" s="494"/>
      <c r="D47" s="494"/>
      <c r="E47" s="494">
        <v>35</v>
      </c>
      <c r="F47" s="495"/>
      <c r="G47" s="514"/>
      <c r="H47" s="515"/>
      <c r="I47" s="502" t="s">
        <v>152</v>
      </c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14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579"/>
      <c r="AK47" s="508"/>
      <c r="AM47" s="470"/>
      <c r="AN47" s="6"/>
      <c r="AO47" s="6"/>
      <c r="AP47" s="508"/>
      <c r="AQ47" s="509"/>
      <c r="AR47" s="515"/>
      <c r="AS47" s="6"/>
      <c r="AT47" s="508"/>
    </row>
    <row r="48" spans="1:46" ht="34.950000000000003" customHeight="1" x14ac:dyDescent="0.35">
      <c r="A48" s="1477"/>
      <c r="B48" s="472">
        <v>2</v>
      </c>
      <c r="C48" s="494"/>
      <c r="D48" s="494"/>
      <c r="E48" s="494">
        <v>57</v>
      </c>
      <c r="F48" s="495"/>
      <c r="G48" s="515"/>
      <c r="H48" s="515"/>
      <c r="I48" s="573" t="s">
        <v>727</v>
      </c>
      <c r="J48" s="527"/>
      <c r="K48" s="66"/>
      <c r="L48" s="470"/>
      <c r="M48" s="6"/>
      <c r="N48" s="6"/>
      <c r="O48" s="495"/>
      <c r="P48" s="515"/>
      <c r="Q48" s="515"/>
      <c r="R48" s="573"/>
      <c r="S48" s="527"/>
      <c r="T48" s="66"/>
      <c r="U48" s="470"/>
      <c r="V48" s="6"/>
      <c r="W48" s="6"/>
      <c r="X48" s="495"/>
      <c r="Y48" s="515"/>
      <c r="Z48" s="515"/>
      <c r="AA48" s="573"/>
      <c r="AB48" s="527"/>
      <c r="AC48" s="66"/>
      <c r="AD48" s="470"/>
      <c r="AE48" s="6"/>
      <c r="AF48" s="6"/>
      <c r="AG48" s="495"/>
      <c r="AH48" s="469"/>
      <c r="AI48" s="515"/>
      <c r="AJ48" s="573"/>
      <c r="AK48" s="527"/>
      <c r="AM48" s="470"/>
      <c r="AN48" s="6"/>
      <c r="AO48" s="470"/>
      <c r="AP48" s="6"/>
      <c r="AQ48" s="495"/>
      <c r="AR48" s="515"/>
      <c r="AS48" s="502"/>
      <c r="AT48" s="508"/>
    </row>
    <row r="49" spans="1:46" ht="43.2" customHeight="1" x14ac:dyDescent="0.35">
      <c r="A49" s="1478">
        <v>45589</v>
      </c>
      <c r="B49" s="472">
        <v>1</v>
      </c>
      <c r="C49" s="494"/>
      <c r="D49" s="494"/>
      <c r="E49" s="494">
        <v>10</v>
      </c>
      <c r="F49" s="495"/>
      <c r="G49" s="515"/>
      <c r="H49" s="514"/>
      <c r="I49" s="573" t="s">
        <v>152</v>
      </c>
      <c r="J49" s="527"/>
      <c r="K49" s="66"/>
      <c r="L49" s="470"/>
      <c r="M49" s="6"/>
      <c r="N49" s="6"/>
      <c r="O49" s="495"/>
      <c r="P49" s="515"/>
      <c r="Q49" s="514"/>
      <c r="R49" s="573"/>
      <c r="S49" s="527"/>
      <c r="T49" s="66"/>
      <c r="U49" s="470"/>
      <c r="V49" s="6"/>
      <c r="W49" s="6"/>
      <c r="X49" s="495"/>
      <c r="Y49" s="515"/>
      <c r="Z49" s="502"/>
      <c r="AA49" s="502"/>
      <c r="AB49" s="527"/>
      <c r="AC49" s="66"/>
      <c r="AD49" s="470"/>
      <c r="AE49" s="6"/>
      <c r="AF49" s="6"/>
      <c r="AG49" s="495"/>
      <c r="AH49" s="469"/>
      <c r="AI49" s="514"/>
      <c r="AJ49" s="573"/>
      <c r="AK49" s="527"/>
      <c r="AM49" s="470"/>
      <c r="AN49" s="6"/>
      <c r="AO49" s="6"/>
      <c r="AP49" s="515"/>
      <c r="AQ49" s="514"/>
      <c r="AR49" s="573"/>
      <c r="AS49" s="527"/>
      <c r="AT49" s="527"/>
    </row>
    <row r="50" spans="1:46" ht="51.65" customHeight="1" x14ac:dyDescent="0.35">
      <c r="A50" s="1477"/>
      <c r="B50" s="472">
        <v>2</v>
      </c>
      <c r="C50" s="494"/>
      <c r="D50" s="494"/>
      <c r="E50" s="494">
        <v>23</v>
      </c>
      <c r="F50" s="495"/>
      <c r="G50" s="514"/>
      <c r="H50" s="514"/>
      <c r="I50" s="573" t="s">
        <v>152</v>
      </c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/>
      <c r="X50" s="495"/>
      <c r="Y50" s="514"/>
      <c r="Z50" s="514"/>
      <c r="AA50" s="579"/>
      <c r="AB50" s="527"/>
      <c r="AC50" s="66"/>
      <c r="AD50" s="470"/>
      <c r="AE50" s="6"/>
      <c r="AF50" s="6"/>
      <c r="AG50" s="495"/>
      <c r="AH50" s="469"/>
      <c r="AI50" s="514"/>
      <c r="AJ50" s="573"/>
      <c r="AK50" s="527"/>
      <c r="AM50" s="470"/>
      <c r="AN50" s="6"/>
      <c r="AO50" s="6"/>
      <c r="AP50" s="514"/>
      <c r="AQ50" s="514"/>
      <c r="AR50" s="573"/>
      <c r="AS50" s="527"/>
      <c r="AT50" s="527"/>
    </row>
    <row r="51" spans="1:46" ht="34.950000000000003" customHeight="1" x14ac:dyDescent="0.35">
      <c r="A51" s="1478">
        <v>45590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495"/>
      <c r="P51" s="514"/>
      <c r="Q51" s="514"/>
      <c r="R51" s="573"/>
      <c r="S51" s="527"/>
      <c r="T51" s="66"/>
      <c r="U51" s="470"/>
      <c r="V51" s="6"/>
      <c r="W51" s="6"/>
      <c r="X51" s="495"/>
      <c r="Y51" s="514"/>
      <c r="Z51" s="514"/>
      <c r="AA51" s="579"/>
      <c r="AB51" s="527"/>
      <c r="AC51" s="66"/>
      <c r="AD51" s="470"/>
      <c r="AE51" s="6"/>
      <c r="AF51" s="6"/>
      <c r="AG51" s="495"/>
      <c r="AH51" s="514"/>
      <c r="AI51" s="514"/>
      <c r="AJ51" s="573"/>
      <c r="AK51" s="527"/>
      <c r="AM51" s="470"/>
      <c r="AN51" s="6"/>
      <c r="AO51" s="6"/>
      <c r="AP51" s="514"/>
      <c r="AQ51" s="514"/>
      <c r="AR51" s="573"/>
      <c r="AS51" s="527"/>
      <c r="AT51" s="527"/>
    </row>
    <row r="52" spans="1:46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573"/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>
        <v>156</v>
      </c>
      <c r="V52" s="6"/>
      <c r="W52" s="6"/>
      <c r="X52" s="495"/>
      <c r="Y52" s="515"/>
      <c r="Z52" s="515"/>
      <c r="AA52" s="579"/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9"/>
      <c r="AR52" s="6"/>
      <c r="AS52" s="527"/>
      <c r="AT52" s="527"/>
    </row>
    <row r="53" spans="1:46" ht="48" customHeight="1" x14ac:dyDescent="0.35">
      <c r="A53" s="1478">
        <v>45591</v>
      </c>
      <c r="B53" s="472">
        <v>1</v>
      </c>
      <c r="C53" s="494"/>
      <c r="D53" s="494"/>
      <c r="E53" s="494"/>
      <c r="F53" s="495"/>
      <c r="G53" s="514"/>
      <c r="H53" s="514"/>
      <c r="I53" s="641"/>
      <c r="J53" s="527"/>
      <c r="K53" s="66"/>
      <c r="L53" s="470"/>
      <c r="M53" s="6"/>
      <c r="N53" s="6"/>
      <c r="O53" s="508"/>
      <c r="P53" s="469"/>
      <c r="Q53" s="515"/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6"/>
      <c r="AJ53" s="502"/>
      <c r="AK53" s="508"/>
      <c r="AM53" s="470"/>
      <c r="AN53" s="502"/>
      <c r="AO53" s="6"/>
      <c r="AP53" s="508"/>
      <c r="AQ53" s="469"/>
      <c r="AR53" s="6"/>
      <c r="AS53" s="6"/>
      <c r="AT53" s="508"/>
    </row>
    <row r="54" spans="1:46" ht="45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5"/>
      <c r="I54" s="573"/>
      <c r="J54" s="527"/>
      <c r="K54" s="66"/>
      <c r="L54" s="470"/>
      <c r="M54" s="6"/>
      <c r="N54" s="6"/>
      <c r="O54" s="495"/>
      <c r="P54" s="514"/>
      <c r="Q54" s="515"/>
      <c r="R54" s="514"/>
      <c r="S54" s="527"/>
      <c r="T54" s="66"/>
      <c r="U54" s="470"/>
      <c r="V54" s="6"/>
      <c r="W54" s="6">
        <v>9</v>
      </c>
      <c r="X54" s="495"/>
      <c r="Y54" s="515"/>
      <c r="Z54" s="515"/>
      <c r="AA54" s="515" t="s">
        <v>743</v>
      </c>
      <c r="AB54" s="527"/>
      <c r="AC54" s="66"/>
      <c r="AD54" s="470"/>
      <c r="AE54" s="6"/>
      <c r="AF54" s="6"/>
      <c r="AG54" s="508"/>
      <c r="AH54" s="509"/>
      <c r="AI54" s="515"/>
      <c r="AJ54" s="6"/>
      <c r="AK54" s="527"/>
      <c r="AM54" s="470"/>
      <c r="AN54" s="6"/>
      <c r="AO54" s="6"/>
      <c r="AP54" s="495"/>
      <c r="AQ54" s="469"/>
      <c r="AR54" s="515"/>
      <c r="AS54" s="527"/>
      <c r="AT54" s="527"/>
    </row>
    <row r="55" spans="1:46" ht="39.65" customHeight="1" x14ac:dyDescent="0.35">
      <c r="A55" s="1478">
        <v>45592</v>
      </c>
      <c r="B55" s="472">
        <v>1</v>
      </c>
      <c r="C55" s="493"/>
      <c r="D55" s="494"/>
      <c r="E55" s="494"/>
      <c r="F55" s="495"/>
      <c r="G55" s="514"/>
      <c r="H55" s="514"/>
      <c r="I55" s="641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4"/>
      <c r="AA55" s="579"/>
      <c r="AB55" s="508"/>
      <c r="AC55" s="66"/>
      <c r="AD55" s="470"/>
      <c r="AE55" s="6"/>
      <c r="AF55" s="6"/>
      <c r="AG55" s="508"/>
      <c r="AH55" s="509"/>
      <c r="AI55" s="515"/>
      <c r="AJ55" s="502"/>
      <c r="AK55" s="508"/>
      <c r="AM55" s="470"/>
      <c r="AN55" s="6"/>
      <c r="AO55" s="6"/>
      <c r="AP55" s="508"/>
      <c r="AQ55" s="509"/>
      <c r="AR55" s="502"/>
      <c r="AS55" s="527"/>
      <c r="AT55" s="508"/>
    </row>
    <row r="56" spans="1:46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641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02"/>
      <c r="AB56" s="527"/>
      <c r="AC56" s="66"/>
      <c r="AD56" s="470"/>
      <c r="AE56" s="6"/>
      <c r="AF56" s="6">
        <v>15</v>
      </c>
      <c r="AG56" s="495"/>
      <c r="AH56" s="515"/>
      <c r="AI56" s="514"/>
      <c r="AJ56" s="515" t="s">
        <v>743</v>
      </c>
      <c r="AK56" s="527"/>
      <c r="AM56" s="470"/>
      <c r="AN56" s="6"/>
      <c r="AO56" s="6"/>
      <c r="AP56" s="495"/>
      <c r="AQ56" s="515"/>
      <c r="AR56" s="502"/>
      <c r="AS56" s="6"/>
      <c r="AT56" s="527"/>
    </row>
    <row r="57" spans="1:46" ht="52.2" customHeight="1" x14ac:dyDescent="0.35">
      <c r="A57" s="1478">
        <v>45593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>
        <v>24</v>
      </c>
      <c r="X57" s="495"/>
      <c r="Y57" s="515"/>
      <c r="Z57" s="514"/>
      <c r="AA57" s="502" t="s">
        <v>152</v>
      </c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95"/>
      <c r="AQ57" s="515"/>
      <c r="AR57" s="514"/>
      <c r="AS57" s="6"/>
      <c r="AT57" s="527"/>
    </row>
    <row r="58" spans="1:46" ht="78" customHeight="1" x14ac:dyDescent="0.35">
      <c r="A58" s="1477"/>
      <c r="B58" s="500">
        <v>2</v>
      </c>
      <c r="C58" s="493"/>
      <c r="D58" s="494"/>
      <c r="E58" s="494">
        <v>23</v>
      </c>
      <c r="F58" s="495"/>
      <c r="G58" s="515"/>
      <c r="H58" s="515"/>
      <c r="I58" s="641" t="s">
        <v>743</v>
      </c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/>
      <c r="W58" s="6"/>
      <c r="X58" s="495"/>
      <c r="Y58" s="515"/>
      <c r="Z58" s="514"/>
      <c r="AA58" s="502"/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/>
      <c r="AP58" s="495"/>
      <c r="AQ58" s="515"/>
      <c r="AR58" s="514"/>
      <c r="AS58" s="6"/>
      <c r="AT58" s="527"/>
    </row>
    <row r="59" spans="1:46" ht="73.2" customHeight="1" x14ac:dyDescent="0.35">
      <c r="A59" s="1478">
        <v>45594</v>
      </c>
      <c r="B59" s="472">
        <v>1</v>
      </c>
      <c r="C59" s="493"/>
      <c r="D59" s="494"/>
      <c r="E59" s="494"/>
      <c r="F59" s="495"/>
      <c r="G59" s="515"/>
      <c r="H59" s="514"/>
      <c r="I59" s="641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514"/>
      <c r="AA59" s="579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508"/>
      <c r="AQ59" s="469"/>
      <c r="AR59" s="6"/>
      <c r="AS59" s="515"/>
      <c r="AT59" s="527"/>
    </row>
    <row r="60" spans="1:46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641"/>
      <c r="J60" s="527"/>
      <c r="K60" s="66"/>
      <c r="L60" s="470"/>
      <c r="M60" s="6"/>
      <c r="N60" s="6"/>
      <c r="O60" s="508"/>
      <c r="P60" s="509"/>
      <c r="Q60" s="515"/>
      <c r="R60" s="6"/>
      <c r="S60" s="527"/>
      <c r="T60" s="66"/>
      <c r="U60" s="470"/>
      <c r="V60" s="6"/>
      <c r="W60" s="6"/>
      <c r="X60" s="508"/>
      <c r="Y60" s="469"/>
      <c r="Z60" s="515"/>
      <c r="AA60" s="502"/>
      <c r="AB60" s="527"/>
      <c r="AC60" s="66"/>
      <c r="AD60" s="470"/>
      <c r="AE60" s="6"/>
      <c r="AF60" s="6"/>
      <c r="AG60" s="508"/>
      <c r="AH60" s="509"/>
      <c r="AI60" s="515"/>
      <c r="AJ60" s="502"/>
      <c r="AK60" s="527"/>
      <c r="AM60" s="470"/>
      <c r="AN60" s="6"/>
      <c r="AO60" s="6"/>
      <c r="AP60" s="508"/>
      <c r="AQ60" s="509"/>
      <c r="AR60" s="515"/>
      <c r="AS60" s="6"/>
      <c r="AT60" s="527"/>
    </row>
    <row r="61" spans="1:46" ht="32.5" customHeight="1" x14ac:dyDescent="0.35">
      <c r="A61" s="1478">
        <v>45595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502"/>
      <c r="AJ61" s="502"/>
      <c r="AK61" s="624"/>
      <c r="AM61" s="470"/>
      <c r="AN61" s="6"/>
      <c r="AO61" s="6"/>
      <c r="AP61" s="508"/>
      <c r="AQ61" s="469"/>
      <c r="AR61" s="6"/>
      <c r="AS61" s="6"/>
      <c r="AT61" s="624"/>
    </row>
    <row r="62" spans="1:46" ht="62.5" customHeight="1" x14ac:dyDescent="0.35">
      <c r="A62" s="1477"/>
      <c r="B62" s="500">
        <v>2</v>
      </c>
      <c r="C62" s="618"/>
      <c r="D62" s="619"/>
      <c r="E62" s="619">
        <v>27</v>
      </c>
      <c r="F62" s="620"/>
      <c r="G62" s="617"/>
      <c r="H62" s="576"/>
      <c r="I62" s="641" t="s">
        <v>743</v>
      </c>
      <c r="J62" s="568"/>
      <c r="K62" s="66"/>
      <c r="L62" s="470"/>
      <c r="M62" s="6"/>
      <c r="N62" s="6"/>
      <c r="O62" s="508"/>
      <c r="P62" s="623"/>
      <c r="Q62" s="665"/>
      <c r="R62" s="524"/>
      <c r="S62" s="624"/>
      <c r="T62" s="66"/>
      <c r="U62" s="470"/>
      <c r="V62" s="6"/>
      <c r="W62" s="6"/>
      <c r="X62" s="508"/>
      <c r="Y62" s="469"/>
      <c r="Z62" s="502"/>
      <c r="AA62" s="579"/>
      <c r="AB62" s="624"/>
      <c r="AC62" s="66"/>
      <c r="AD62" s="470"/>
      <c r="AE62" s="6"/>
      <c r="AF62" s="6"/>
      <c r="AG62" s="508"/>
      <c r="AH62" s="1491"/>
      <c r="AI62" s="1492"/>
      <c r="AJ62" s="1493"/>
      <c r="AK62" s="624"/>
      <c r="AM62" s="470"/>
      <c r="AN62" s="6"/>
      <c r="AO62" s="6"/>
      <c r="AP62" s="508"/>
      <c r="AQ62" s="509"/>
      <c r="AR62" s="6"/>
      <c r="AS62" s="502"/>
      <c r="AT62" s="624"/>
    </row>
    <row r="63" spans="1:46" ht="64.2" customHeight="1" x14ac:dyDescent="0.35">
      <c r="A63" s="1478">
        <v>45596</v>
      </c>
      <c r="B63" s="472">
        <v>1</v>
      </c>
      <c r="C63" s="587"/>
      <c r="D63" s="588"/>
      <c r="E63" s="588"/>
      <c r="F63" s="589"/>
      <c r="G63" s="598"/>
      <c r="H63" s="590"/>
      <c r="I63" s="641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>
        <v>13</v>
      </c>
      <c r="X63" s="495"/>
      <c r="Y63" s="566"/>
      <c r="Z63" s="514"/>
      <c r="AA63" s="579" t="s">
        <v>152</v>
      </c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62.5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>
        <v>22</v>
      </c>
      <c r="X64" s="528"/>
      <c r="Y64" s="529"/>
      <c r="Z64" s="530"/>
      <c r="AA64" s="579" t="s">
        <v>152</v>
      </c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528"/>
      <c r="AQ64" s="529"/>
      <c r="AR64" s="530"/>
      <c r="AS64" s="530"/>
      <c r="AT64" s="594"/>
    </row>
    <row r="65" spans="1:42" x14ac:dyDescent="0.35">
      <c r="A65" s="423" t="s">
        <v>225</v>
      </c>
      <c r="C65" s="631">
        <f>SUM(C3:C64)</f>
        <v>171</v>
      </c>
      <c r="D65" s="65">
        <f>SUM(D3:D64)</f>
        <v>0</v>
      </c>
      <c r="E65" s="631">
        <f>SUM(E3:E64)</f>
        <v>589</v>
      </c>
      <c r="F65" s="65">
        <f>SUM(F3:F64)</f>
        <v>48</v>
      </c>
      <c r="L65" s="65">
        <f>SUM(L3:L64)</f>
        <v>38</v>
      </c>
      <c r="M65" s="65">
        <f>SUM(M3:M64)</f>
        <v>127</v>
      </c>
      <c r="N65" s="65">
        <f>SUM(N3:N64)</f>
        <v>0</v>
      </c>
      <c r="O65" s="65">
        <f>SUM(O3:O64)</f>
        <v>40</v>
      </c>
      <c r="U65" s="65">
        <f>SUM(U3:U64)</f>
        <v>427</v>
      </c>
      <c r="V65" s="65">
        <f>SUM(V3:V64)</f>
        <v>180</v>
      </c>
      <c r="W65" s="65">
        <f>SUM(W3:W64)</f>
        <v>565</v>
      </c>
      <c r="X65" s="65">
        <f>SUM(X3:X64)</f>
        <v>50</v>
      </c>
      <c r="AD65" s="65">
        <f>SUM(AD3:AD64)</f>
        <v>0</v>
      </c>
      <c r="AE65" s="65">
        <f>SUM(AE3:AE64)</f>
        <v>0</v>
      </c>
      <c r="AF65" s="65">
        <f>SUM(AF3:AF64)</f>
        <v>45</v>
      </c>
      <c r="AG65" s="65">
        <f>SUM(AG3:AG64)</f>
        <v>54</v>
      </c>
      <c r="AM65" s="65">
        <f>SUM(AM3:AM64)</f>
        <v>86</v>
      </c>
      <c r="AN65" s="65">
        <f>SUM(AN3:AN64)</f>
        <v>0</v>
      </c>
      <c r="AO65" s="65">
        <f>SUM(AO3:AO64)</f>
        <v>30</v>
      </c>
      <c r="AP65" s="65">
        <f>SUM(AP3:AP64)</f>
        <v>0</v>
      </c>
    </row>
    <row r="73" spans="1:42" ht="14.6" thickBot="1" x14ac:dyDescent="0.4"/>
    <row r="74" spans="1:42" ht="18.45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18.45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18" x14ac:dyDescent="0.4">
      <c r="B76" s="541" t="s">
        <v>218</v>
      </c>
      <c r="C76" s="542">
        <f>C65</f>
        <v>171</v>
      </c>
      <c r="D76" s="543">
        <f>C76/60</f>
        <v>2.85</v>
      </c>
      <c r="E76" s="542">
        <f>D65</f>
        <v>0</v>
      </c>
      <c r="F76" s="544">
        <f>E76/60</f>
        <v>0</v>
      </c>
      <c r="G76" s="542">
        <f>E65</f>
        <v>589</v>
      </c>
      <c r="H76" s="543">
        <f>G76/60</f>
        <v>9.8166666666666664</v>
      </c>
      <c r="I76" s="542">
        <f>F65</f>
        <v>48</v>
      </c>
      <c r="J76" s="543">
        <f>I76/60</f>
        <v>0.8</v>
      </c>
    </row>
    <row r="77" spans="1:42" ht="18" x14ac:dyDescent="0.4">
      <c r="B77" s="541" t="s">
        <v>219</v>
      </c>
      <c r="C77" s="545">
        <f>L65</f>
        <v>38</v>
      </c>
      <c r="D77" s="546">
        <f>C77/60</f>
        <v>0.6333333333333333</v>
      </c>
      <c r="E77" s="545">
        <f>M65</f>
        <v>127</v>
      </c>
      <c r="F77" s="547">
        <f>E77/60</f>
        <v>2.1166666666666667</v>
      </c>
      <c r="G77" s="545">
        <f>N65</f>
        <v>0</v>
      </c>
      <c r="H77" s="546">
        <f>G77/60</f>
        <v>0</v>
      </c>
      <c r="I77" s="545">
        <f>O65</f>
        <v>40</v>
      </c>
      <c r="J77" s="546">
        <f>I77/60</f>
        <v>0.66666666666666663</v>
      </c>
    </row>
    <row r="78" spans="1:42" ht="18" x14ac:dyDescent="0.4">
      <c r="B78" s="541" t="s">
        <v>220</v>
      </c>
      <c r="C78" s="545">
        <f>U65</f>
        <v>427</v>
      </c>
      <c r="D78" s="546">
        <f>C78/60</f>
        <v>7.1166666666666663</v>
      </c>
      <c r="E78" s="545">
        <f>V65</f>
        <v>180</v>
      </c>
      <c r="F78" s="547">
        <f>E78/60</f>
        <v>3</v>
      </c>
      <c r="G78" s="545">
        <f>W65</f>
        <v>565</v>
      </c>
      <c r="H78" s="546">
        <f>G78/60</f>
        <v>9.4166666666666661</v>
      </c>
      <c r="I78" s="545">
        <f>X65</f>
        <v>50</v>
      </c>
      <c r="J78" s="546">
        <f>I78/60</f>
        <v>0.83333333333333337</v>
      </c>
    </row>
    <row r="79" spans="1:42" ht="18.45" thickBot="1" x14ac:dyDescent="0.45">
      <c r="B79" s="541" t="s">
        <v>221</v>
      </c>
      <c r="C79" s="548">
        <f>AD65</f>
        <v>0</v>
      </c>
      <c r="D79" s="549">
        <f>C79/60</f>
        <v>0</v>
      </c>
      <c r="E79" s="548">
        <f>AE65</f>
        <v>0</v>
      </c>
      <c r="F79" s="550">
        <f>E79/60</f>
        <v>0</v>
      </c>
      <c r="G79" s="548">
        <f>AF65</f>
        <v>45</v>
      </c>
      <c r="H79" s="549">
        <f>G79/60</f>
        <v>0.75</v>
      </c>
      <c r="I79" s="548">
        <f>AG65</f>
        <v>54</v>
      </c>
      <c r="J79" s="549">
        <f>I79/60</f>
        <v>0.9</v>
      </c>
    </row>
    <row r="80" spans="1:42" ht="18.45" thickBot="1" x14ac:dyDescent="0.45">
      <c r="B80" s="541" t="s">
        <v>488</v>
      </c>
      <c r="C80" s="643">
        <f>AM65</f>
        <v>86</v>
      </c>
      <c r="D80" s="642">
        <f>C80/60</f>
        <v>1.4333333333333333</v>
      </c>
      <c r="E80" s="643">
        <f>AN65</f>
        <v>0</v>
      </c>
      <c r="F80" s="644">
        <f>E80/60</f>
        <v>0</v>
      </c>
      <c r="G80" s="643">
        <f>AO65</f>
        <v>30</v>
      </c>
      <c r="H80" s="642">
        <f>G80/60</f>
        <v>0.5</v>
      </c>
      <c r="I80" s="643">
        <f>AP65</f>
        <v>0</v>
      </c>
      <c r="J80" s="642">
        <f>I80/60</f>
        <v>0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12.033333333333333</v>
      </c>
      <c r="E82" s="556"/>
      <c r="F82" s="557">
        <f>SUM(F76:F80)</f>
        <v>5.1166666666666671</v>
      </c>
      <c r="G82" s="556"/>
      <c r="H82" s="557">
        <f>SUM(H76:H80)</f>
        <v>20.483333333333334</v>
      </c>
      <c r="I82" s="556"/>
      <c r="J82" s="558">
        <f>AVERAGE(J76:J80)</f>
        <v>0.64</v>
      </c>
    </row>
  </sheetData>
  <mergeCells count="48">
    <mergeCell ref="AQ1:AT1"/>
    <mergeCell ref="A3:A4"/>
    <mergeCell ref="A5:A6"/>
    <mergeCell ref="C1:F1"/>
    <mergeCell ref="G1:J1"/>
    <mergeCell ref="L1:O1"/>
    <mergeCell ref="P1:S1"/>
    <mergeCell ref="U1:X1"/>
    <mergeCell ref="Y1:AB1"/>
    <mergeCell ref="AH14:AJ14"/>
    <mergeCell ref="A15:A16"/>
    <mergeCell ref="AD1:AG1"/>
    <mergeCell ref="AH1:AK1"/>
    <mergeCell ref="AM1:AP1"/>
    <mergeCell ref="A25:A26"/>
    <mergeCell ref="A7:A8"/>
    <mergeCell ref="A9:A10"/>
    <mergeCell ref="A11:A12"/>
    <mergeCell ref="A13:A14"/>
    <mergeCell ref="A17:A18"/>
    <mergeCell ref="AQ18:AS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51:A52"/>
    <mergeCell ref="A53:A54"/>
    <mergeCell ref="A55:A56"/>
    <mergeCell ref="A57:A58"/>
    <mergeCell ref="A59:A60"/>
    <mergeCell ref="AH62:AJ62"/>
    <mergeCell ref="A63:A64"/>
    <mergeCell ref="C74:D74"/>
    <mergeCell ref="E74:F74"/>
    <mergeCell ref="G74:H74"/>
    <mergeCell ref="I74:J74"/>
    <mergeCell ref="A61:A6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T82"/>
  <sheetViews>
    <sheetView zoomScale="60" zoomScaleNormal="60"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I40" sqref="I40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7.304687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53515625" style="423" customWidth="1"/>
    <col min="45" max="45" width="28.30468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7" t="s">
        <v>199</v>
      </c>
      <c r="AR2" s="655" t="s">
        <v>200</v>
      </c>
      <c r="AS2" s="655" t="s">
        <v>201</v>
      </c>
      <c r="AT2" s="655" t="s">
        <v>204</v>
      </c>
    </row>
    <row r="3" spans="1:46" ht="78" customHeight="1" x14ac:dyDescent="0.35">
      <c r="A3" s="1478">
        <v>45597</v>
      </c>
      <c r="B3" s="501">
        <v>1</v>
      </c>
      <c r="C3" s="490"/>
      <c r="D3" s="491"/>
      <c r="E3" s="6"/>
      <c r="F3" s="492"/>
      <c r="G3" s="566"/>
      <c r="H3" s="514"/>
      <c r="I3" s="515"/>
      <c r="J3" s="567"/>
      <c r="K3" s="66"/>
      <c r="L3" s="507"/>
      <c r="M3" s="522"/>
      <c r="N3" s="522"/>
      <c r="O3" s="520"/>
      <c r="P3" s="521"/>
      <c r="Q3" s="580"/>
      <c r="R3" s="580"/>
      <c r="S3" s="520"/>
      <c r="T3" s="66"/>
      <c r="U3" s="507"/>
      <c r="V3" s="522"/>
      <c r="W3" s="6"/>
      <c r="X3" s="508"/>
      <c r="Y3" s="469"/>
      <c r="Z3" s="521"/>
      <c r="AA3" s="515"/>
      <c r="AB3" s="601"/>
      <c r="AC3" s="66"/>
      <c r="AD3" s="507"/>
      <c r="AE3" s="522"/>
      <c r="AF3" s="6"/>
      <c r="AG3" s="520"/>
      <c r="AH3" s="521"/>
      <c r="AI3" s="521"/>
      <c r="AJ3" s="502"/>
      <c r="AK3" s="520"/>
      <c r="AM3" s="507"/>
      <c r="AN3" s="522"/>
      <c r="AO3" s="6"/>
      <c r="AP3" s="520"/>
      <c r="AQ3" s="521"/>
      <c r="AR3" s="538"/>
      <c r="AS3" s="502"/>
      <c r="AT3" s="520"/>
    </row>
    <row r="4" spans="1:46" ht="69.75" customHeight="1" x14ac:dyDescent="0.35">
      <c r="A4" s="1477"/>
      <c r="B4" s="472">
        <v>2</v>
      </c>
      <c r="C4" s="493"/>
      <c r="D4" s="494"/>
      <c r="E4" s="494"/>
      <c r="F4" s="495"/>
      <c r="G4" s="565"/>
      <c r="H4" s="514"/>
      <c r="I4" s="641"/>
      <c r="J4" s="568"/>
      <c r="K4" s="66"/>
      <c r="L4" s="470"/>
      <c r="M4" s="6"/>
      <c r="N4" s="6"/>
      <c r="O4" s="508"/>
      <c r="P4" s="509"/>
      <c r="Q4" s="514"/>
      <c r="R4" s="28"/>
      <c r="S4" s="508"/>
      <c r="T4" s="66"/>
      <c r="U4" s="470"/>
      <c r="V4" s="502"/>
      <c r="W4" s="6"/>
      <c r="X4" s="508"/>
      <c r="Y4" s="469"/>
      <c r="Z4" s="515"/>
      <c r="AA4" s="515"/>
      <c r="AB4" s="603"/>
      <c r="AC4" s="66"/>
      <c r="AD4" s="470"/>
      <c r="AE4" s="6"/>
      <c r="AF4" s="6"/>
      <c r="AG4" s="508"/>
      <c r="AH4" s="509"/>
      <c r="AI4" s="515"/>
      <c r="AJ4" s="6"/>
      <c r="AK4" s="508"/>
      <c r="AM4" s="470"/>
      <c r="AN4" s="6"/>
      <c r="AO4" s="6"/>
      <c r="AP4" s="508"/>
      <c r="AQ4" s="509"/>
      <c r="AR4" s="515"/>
      <c r="AS4" s="6"/>
      <c r="AT4" s="508"/>
    </row>
    <row r="5" spans="1:46" ht="60" customHeight="1" x14ac:dyDescent="0.35">
      <c r="A5" s="1478">
        <v>45598</v>
      </c>
      <c r="B5" s="472">
        <v>1</v>
      </c>
      <c r="C5" s="493"/>
      <c r="D5" s="494"/>
      <c r="E5" s="494"/>
      <c r="F5" s="495"/>
      <c r="G5" s="565"/>
      <c r="H5" s="565"/>
      <c r="I5" s="641"/>
      <c r="J5" s="568"/>
      <c r="K5" s="66"/>
      <c r="L5" s="470"/>
      <c r="M5" s="6"/>
      <c r="N5" s="6"/>
      <c r="O5" s="508"/>
      <c r="P5" s="509"/>
      <c r="Q5" s="6"/>
      <c r="R5" s="6"/>
      <c r="S5" s="508"/>
      <c r="T5" s="66"/>
      <c r="U5" s="470"/>
      <c r="V5" s="6"/>
      <c r="W5" s="6"/>
      <c r="X5" s="508"/>
      <c r="Y5" s="469"/>
      <c r="Z5" s="514"/>
      <c r="AA5" s="579"/>
      <c r="AB5" s="604"/>
      <c r="AC5" s="66"/>
      <c r="AD5" s="470"/>
      <c r="AE5" s="6"/>
      <c r="AF5" s="6"/>
      <c r="AG5" s="508"/>
      <c r="AH5" s="509"/>
      <c r="AI5" s="6"/>
      <c r="AJ5" s="661"/>
      <c r="AK5" s="508"/>
      <c r="AM5" s="470"/>
      <c r="AN5" s="6"/>
      <c r="AO5" s="6"/>
      <c r="AP5" s="508"/>
      <c r="AQ5" s="509"/>
      <c r="AR5" s="6"/>
      <c r="AS5" s="502"/>
      <c r="AT5" s="526"/>
    </row>
    <row r="6" spans="1:46" ht="80.5" customHeight="1" x14ac:dyDescent="0.35">
      <c r="A6" s="1477"/>
      <c r="B6" s="472">
        <v>2</v>
      </c>
      <c r="C6" s="493">
        <v>175</v>
      </c>
      <c r="D6" s="494"/>
      <c r="E6" s="494"/>
      <c r="F6" s="495"/>
      <c r="G6" s="566" t="s">
        <v>583</v>
      </c>
      <c r="H6" s="515"/>
      <c r="I6" s="641"/>
      <c r="J6" s="527"/>
      <c r="K6" s="66"/>
      <c r="L6" s="470"/>
      <c r="M6" s="6"/>
      <c r="N6" s="6"/>
      <c r="O6" s="508"/>
      <c r="P6" s="509"/>
      <c r="Q6" s="514"/>
      <c r="R6" s="6"/>
      <c r="S6" s="527"/>
      <c r="T6" s="66"/>
      <c r="U6" s="470"/>
      <c r="V6" s="6"/>
      <c r="W6" s="6"/>
      <c r="X6" s="508"/>
      <c r="Y6" s="469"/>
      <c r="Z6" s="514"/>
      <c r="AA6" s="515"/>
      <c r="AB6" s="527"/>
      <c r="AC6" s="66"/>
      <c r="AD6" s="470"/>
      <c r="AE6" s="6"/>
      <c r="AF6" s="6"/>
      <c r="AG6" s="508"/>
      <c r="AH6" s="509"/>
      <c r="AI6" s="6"/>
      <c r="AJ6" s="6"/>
      <c r="AK6" s="527"/>
      <c r="AM6" s="470"/>
      <c r="AN6" s="6"/>
      <c r="AO6" s="6"/>
      <c r="AP6" s="47"/>
      <c r="AQ6" s="469"/>
      <c r="AR6" s="509"/>
      <c r="AS6" s="502"/>
      <c r="AT6" s="527"/>
    </row>
    <row r="7" spans="1:46" ht="71.5" customHeight="1" x14ac:dyDescent="0.35">
      <c r="A7" s="1478">
        <v>45599</v>
      </c>
      <c r="B7" s="472">
        <v>1</v>
      </c>
      <c r="C7" s="493"/>
      <c r="D7" s="494"/>
      <c r="E7" s="494"/>
      <c r="F7" s="495"/>
      <c r="G7" s="566"/>
      <c r="H7" s="515"/>
      <c r="I7" s="527"/>
      <c r="J7" s="527"/>
      <c r="K7" s="66"/>
      <c r="L7" s="470"/>
      <c r="M7" s="509"/>
      <c r="N7" s="6"/>
      <c r="O7" s="508">
        <v>20</v>
      </c>
      <c r="P7" s="509"/>
      <c r="Q7" s="660"/>
      <c r="R7" s="6"/>
      <c r="S7" s="526" t="s">
        <v>317</v>
      </c>
      <c r="T7" s="66"/>
      <c r="U7" s="470"/>
      <c r="V7" s="6"/>
      <c r="W7" s="6">
        <v>23</v>
      </c>
      <c r="X7" s="508">
        <v>30</v>
      </c>
      <c r="Y7" s="469"/>
      <c r="Z7" s="514"/>
      <c r="AA7" s="579" t="s">
        <v>152</v>
      </c>
      <c r="AB7" s="526" t="s">
        <v>317</v>
      </c>
      <c r="AC7" s="66"/>
      <c r="AD7" s="470"/>
      <c r="AE7" s="6"/>
      <c r="AF7" s="6"/>
      <c r="AG7" s="508"/>
      <c r="AH7" s="509"/>
      <c r="AI7" s="660"/>
      <c r="AJ7" s="527"/>
      <c r="AK7" s="508"/>
      <c r="AM7" s="470"/>
      <c r="AN7" s="6"/>
      <c r="AO7" s="6"/>
      <c r="AP7" s="47"/>
      <c r="AQ7" s="508"/>
      <c r="AR7" s="509"/>
      <c r="AS7" s="660"/>
      <c r="AT7" s="573"/>
    </row>
    <row r="8" spans="1:46" ht="69.650000000000006" customHeight="1" x14ac:dyDescent="0.35">
      <c r="A8" s="1477"/>
      <c r="B8" s="472">
        <v>2</v>
      </c>
      <c r="C8" s="493"/>
      <c r="D8" s="494"/>
      <c r="E8" s="494"/>
      <c r="F8" s="495"/>
      <c r="G8" s="565"/>
      <c r="H8" s="515"/>
      <c r="I8" s="641"/>
      <c r="J8" s="527"/>
      <c r="K8" s="66"/>
      <c r="L8" s="470"/>
      <c r="M8" s="6"/>
      <c r="N8" s="6"/>
      <c r="O8" s="508">
        <v>30</v>
      </c>
      <c r="P8" s="509"/>
      <c r="Q8" s="6"/>
      <c r="R8" s="502"/>
      <c r="S8" s="526" t="s">
        <v>317</v>
      </c>
      <c r="T8" s="66"/>
      <c r="U8" s="470">
        <v>185</v>
      </c>
      <c r="V8" s="470"/>
      <c r="W8" s="470"/>
      <c r="X8" s="508"/>
      <c r="Y8" s="469" t="s">
        <v>45</v>
      </c>
      <c r="Z8" s="564"/>
      <c r="AA8" s="504"/>
      <c r="AB8" s="527"/>
      <c r="AC8" s="66"/>
      <c r="AD8" s="470"/>
      <c r="AE8" s="6"/>
      <c r="AF8" s="6"/>
      <c r="AG8" s="508"/>
      <c r="AH8" s="509"/>
      <c r="AI8" s="502"/>
      <c r="AJ8" s="515"/>
      <c r="AK8" s="527"/>
      <c r="AM8" s="470"/>
      <c r="AN8" s="6"/>
      <c r="AO8" s="6"/>
      <c r="AP8" s="47"/>
      <c r="AQ8" s="508"/>
      <c r="AR8" s="469"/>
      <c r="AS8" s="6"/>
      <c r="AT8" s="527"/>
    </row>
    <row r="9" spans="1:46" ht="76.95" customHeight="1" x14ac:dyDescent="0.35">
      <c r="A9" s="1478">
        <v>45600</v>
      </c>
      <c r="B9" s="472">
        <v>1</v>
      </c>
      <c r="C9" s="493"/>
      <c r="D9" s="494"/>
      <c r="E9" s="494">
        <v>10</v>
      </c>
      <c r="F9" s="495"/>
      <c r="G9" s="565"/>
      <c r="H9" s="514"/>
      <c r="I9" s="641" t="s">
        <v>152</v>
      </c>
      <c r="J9" s="527"/>
      <c r="K9" s="66"/>
      <c r="L9" s="470"/>
      <c r="M9" s="6"/>
      <c r="N9" s="6"/>
      <c r="O9" s="508"/>
      <c r="P9" s="509"/>
      <c r="Q9" s="6"/>
      <c r="R9" s="502"/>
      <c r="S9" s="527"/>
      <c r="T9" s="66"/>
      <c r="U9" s="470"/>
      <c r="V9" s="6"/>
      <c r="W9" s="6">
        <v>40</v>
      </c>
      <c r="X9" s="508"/>
      <c r="Y9" s="469"/>
      <c r="Z9" s="6"/>
      <c r="AA9" s="579" t="s">
        <v>152</v>
      </c>
      <c r="AB9" s="527"/>
      <c r="AC9" s="66"/>
      <c r="AD9" s="470"/>
      <c r="AE9" s="6"/>
      <c r="AF9" s="6"/>
      <c r="AG9" s="508"/>
      <c r="AH9" s="509"/>
      <c r="AI9" s="6"/>
      <c r="AJ9" s="6"/>
      <c r="AK9" s="527"/>
      <c r="AM9" s="470"/>
      <c r="AN9" s="6"/>
      <c r="AO9" s="6"/>
      <c r="AP9" s="47"/>
      <c r="AQ9" s="508"/>
      <c r="AR9" s="509"/>
      <c r="AS9" s="6"/>
      <c r="AT9" s="636"/>
    </row>
    <row r="10" spans="1:46" ht="67.2" customHeight="1" x14ac:dyDescent="0.35">
      <c r="A10" s="1477"/>
      <c r="B10" s="472">
        <v>2</v>
      </c>
      <c r="C10" s="493">
        <v>360</v>
      </c>
      <c r="D10" s="493"/>
      <c r="E10" s="493"/>
      <c r="F10" s="495"/>
      <c r="G10" s="675" t="s">
        <v>45</v>
      </c>
      <c r="H10" s="668"/>
      <c r="I10" s="669"/>
      <c r="J10" s="527"/>
      <c r="K10" s="66"/>
      <c r="L10" s="470"/>
      <c r="M10" s="6"/>
      <c r="N10" s="6"/>
      <c r="O10" s="508">
        <v>162</v>
      </c>
      <c r="P10" s="509"/>
      <c r="Q10" s="6"/>
      <c r="R10" s="502"/>
      <c r="S10" s="527" t="s">
        <v>975</v>
      </c>
      <c r="T10" s="66"/>
      <c r="U10" s="470"/>
      <c r="V10" s="6"/>
      <c r="W10" s="6"/>
      <c r="X10" s="508">
        <v>165</v>
      </c>
      <c r="Y10" s="469"/>
      <c r="Z10" s="469"/>
      <c r="AA10" s="579"/>
      <c r="AB10" s="527" t="s">
        <v>975</v>
      </c>
      <c r="AC10" s="66"/>
      <c r="AD10" s="470"/>
      <c r="AE10" s="6"/>
      <c r="AF10" s="6"/>
      <c r="AG10" s="508">
        <v>166</v>
      </c>
      <c r="AH10" s="469"/>
      <c r="AI10" s="502"/>
      <c r="AJ10" s="515"/>
      <c r="AK10" s="527" t="s">
        <v>975</v>
      </c>
      <c r="AM10" s="470">
        <v>370</v>
      </c>
      <c r="AN10" s="6"/>
      <c r="AO10" s="6"/>
      <c r="AP10" s="47"/>
      <c r="AQ10" s="508" t="s">
        <v>45</v>
      </c>
      <c r="AR10" s="509"/>
      <c r="AS10" s="6"/>
      <c r="AT10" s="527"/>
    </row>
    <row r="11" spans="1:46" ht="60" customHeight="1" x14ac:dyDescent="0.35">
      <c r="A11" s="1478">
        <v>45601</v>
      </c>
      <c r="B11" s="472">
        <v>1</v>
      </c>
      <c r="C11" s="493"/>
      <c r="D11" s="493"/>
      <c r="E11" s="493"/>
      <c r="F11" s="495"/>
      <c r="G11" s="667"/>
      <c r="H11" s="668"/>
      <c r="I11" s="669"/>
      <c r="J11" s="568"/>
      <c r="K11" s="66"/>
      <c r="L11" s="470"/>
      <c r="M11" s="6"/>
      <c r="N11" s="6"/>
      <c r="O11" s="508"/>
      <c r="P11" s="509"/>
      <c r="Q11" s="6"/>
      <c r="R11" s="502"/>
      <c r="S11" s="508"/>
      <c r="T11" s="66"/>
      <c r="U11" s="470"/>
      <c r="V11" s="6"/>
      <c r="W11" s="6">
        <v>92</v>
      </c>
      <c r="X11" s="508"/>
      <c r="Y11" s="469"/>
      <c r="Z11" s="6"/>
      <c r="AA11" s="579" t="s">
        <v>152</v>
      </c>
      <c r="AB11" s="508"/>
      <c r="AC11" s="66"/>
      <c r="AD11" s="470"/>
      <c r="AE11" s="6"/>
      <c r="AF11" s="6">
        <v>7</v>
      </c>
      <c r="AG11" s="508"/>
      <c r="AH11" s="509"/>
      <c r="AI11" s="6"/>
      <c r="AJ11" s="579" t="s">
        <v>152</v>
      </c>
      <c r="AK11" s="508"/>
      <c r="AM11" s="470"/>
      <c r="AN11" s="6"/>
      <c r="AO11" s="6"/>
      <c r="AP11" s="508"/>
      <c r="AQ11" s="509"/>
      <c r="AR11" s="6"/>
      <c r="AS11" s="6"/>
      <c r="AT11" s="526"/>
    </row>
    <row r="12" spans="1:46" ht="55.2" customHeight="1" x14ac:dyDescent="0.35">
      <c r="A12" s="1477"/>
      <c r="B12" s="472">
        <v>2</v>
      </c>
      <c r="C12" s="493"/>
      <c r="D12" s="494"/>
      <c r="E12" s="494"/>
      <c r="F12" s="495"/>
      <c r="G12" s="565"/>
      <c r="H12" s="514"/>
      <c r="I12" s="641"/>
      <c r="J12" s="527"/>
      <c r="K12" s="66"/>
      <c r="L12" s="470"/>
      <c r="M12" s="6"/>
      <c r="N12" s="6"/>
      <c r="O12" s="508"/>
      <c r="P12" s="509"/>
      <c r="Q12" s="6"/>
      <c r="R12" s="502"/>
      <c r="S12" s="527"/>
      <c r="T12" s="66"/>
      <c r="U12" s="470"/>
      <c r="V12" s="6"/>
      <c r="W12" s="6">
        <v>59</v>
      </c>
      <c r="X12" s="508"/>
      <c r="Y12" s="469"/>
      <c r="Z12" s="515"/>
      <c r="AA12" s="579" t="s">
        <v>152</v>
      </c>
      <c r="AB12" s="527"/>
      <c r="AC12" s="66"/>
      <c r="AD12" s="470"/>
      <c r="AE12" s="6"/>
      <c r="AF12" s="6"/>
      <c r="AG12" s="508"/>
      <c r="AH12" s="509"/>
      <c r="AI12" s="502"/>
      <c r="AJ12" s="502"/>
      <c r="AK12" s="527"/>
      <c r="AM12" s="470"/>
      <c r="AN12" s="6"/>
      <c r="AO12" s="6"/>
      <c r="AP12" s="508"/>
      <c r="AQ12" s="509"/>
      <c r="AR12" s="6"/>
      <c r="AS12" s="502"/>
      <c r="AT12" s="527"/>
    </row>
    <row r="13" spans="1:46" ht="34.950000000000003" customHeight="1" x14ac:dyDescent="0.35">
      <c r="A13" s="1478">
        <v>45602</v>
      </c>
      <c r="B13" s="472">
        <v>1</v>
      </c>
      <c r="C13" s="493"/>
      <c r="D13" s="494"/>
      <c r="E13" s="494"/>
      <c r="F13" s="495"/>
      <c r="G13" s="565"/>
      <c r="H13" s="514"/>
      <c r="I13" s="641"/>
      <c r="J13" s="527"/>
      <c r="K13" s="66"/>
      <c r="L13" s="470"/>
      <c r="M13" s="6"/>
      <c r="N13" s="6"/>
      <c r="O13" s="495"/>
      <c r="P13" s="509"/>
      <c r="Q13" s="6"/>
      <c r="R13" s="6"/>
      <c r="S13" s="527"/>
      <c r="T13" s="66"/>
      <c r="U13" s="470"/>
      <c r="V13" s="6"/>
      <c r="W13" s="6">
        <v>123</v>
      </c>
      <c r="X13" s="495"/>
      <c r="Y13" s="469"/>
      <c r="Z13" s="502"/>
      <c r="AA13" s="579" t="s">
        <v>152</v>
      </c>
      <c r="AB13" s="527"/>
      <c r="AC13" s="66"/>
      <c r="AD13" s="470"/>
      <c r="AE13" s="6"/>
      <c r="AF13" s="6"/>
      <c r="AG13" s="495"/>
      <c r="AH13" s="509"/>
      <c r="AI13" s="6"/>
      <c r="AJ13" s="579"/>
      <c r="AK13" s="527"/>
      <c r="AM13" s="470"/>
      <c r="AN13" s="6"/>
      <c r="AO13" s="6"/>
      <c r="AP13" s="495"/>
      <c r="AQ13" s="509"/>
      <c r="AR13" s="6"/>
      <c r="AS13" s="6"/>
      <c r="AT13" s="527"/>
    </row>
    <row r="14" spans="1:46" ht="49.2" customHeight="1" x14ac:dyDescent="0.35">
      <c r="A14" s="1477"/>
      <c r="B14" s="472">
        <v>2</v>
      </c>
      <c r="C14" s="493"/>
      <c r="D14" s="494"/>
      <c r="E14" s="494"/>
      <c r="F14" s="495"/>
      <c r="G14" s="565"/>
      <c r="H14" s="515"/>
      <c r="I14" s="641"/>
      <c r="J14" s="527"/>
      <c r="K14" s="66"/>
      <c r="L14" s="470"/>
      <c r="M14" s="6"/>
      <c r="N14" s="6"/>
      <c r="O14" s="495"/>
      <c r="P14" s="469"/>
      <c r="Q14" s="6"/>
      <c r="R14" s="6"/>
      <c r="S14" s="527"/>
      <c r="T14" s="66"/>
      <c r="U14" s="470"/>
      <c r="V14" s="6"/>
      <c r="W14" s="6">
        <v>26</v>
      </c>
      <c r="X14" s="495"/>
      <c r="Y14" s="469"/>
      <c r="Z14" s="502"/>
      <c r="AA14" s="579" t="s">
        <v>152</v>
      </c>
      <c r="AB14" s="527"/>
      <c r="AC14" s="66"/>
      <c r="AD14" s="470"/>
      <c r="AE14" s="6"/>
      <c r="AF14" s="6"/>
      <c r="AG14" s="495"/>
      <c r="AH14" s="1491"/>
      <c r="AI14" s="1492"/>
      <c r="AJ14" s="1493"/>
      <c r="AK14" s="527"/>
      <c r="AM14" s="470"/>
      <c r="AN14" s="6"/>
      <c r="AO14" s="6"/>
      <c r="AP14" s="495"/>
      <c r="AQ14" s="469"/>
      <c r="AR14" s="6"/>
      <c r="AS14" s="579"/>
      <c r="AT14" s="527"/>
    </row>
    <row r="15" spans="1:46" ht="48" customHeight="1" x14ac:dyDescent="0.35">
      <c r="A15" s="1478">
        <v>45603</v>
      </c>
      <c r="B15" s="472">
        <v>1</v>
      </c>
      <c r="C15" s="493"/>
      <c r="D15" s="494"/>
      <c r="E15" s="6"/>
      <c r="F15" s="527" t="s">
        <v>976</v>
      </c>
      <c r="G15" s="565"/>
      <c r="H15" s="515"/>
      <c r="I15" s="641"/>
      <c r="J15" s="527" t="s">
        <v>975</v>
      </c>
      <c r="K15" s="66"/>
      <c r="L15" s="470"/>
      <c r="M15" s="6"/>
      <c r="N15" s="6"/>
      <c r="O15" s="495">
        <v>263</v>
      </c>
      <c r="P15" s="566"/>
      <c r="Q15" s="515"/>
      <c r="R15" s="515"/>
      <c r="S15" s="527" t="s">
        <v>975</v>
      </c>
      <c r="T15" s="66"/>
      <c r="U15" s="470"/>
      <c r="V15" s="6"/>
      <c r="W15" s="6"/>
      <c r="X15" s="495">
        <v>269</v>
      </c>
      <c r="Y15" s="565"/>
      <c r="Z15" s="515"/>
      <c r="AA15" s="579"/>
      <c r="AB15" s="527" t="s">
        <v>975</v>
      </c>
      <c r="AC15" s="66"/>
      <c r="AD15" s="470"/>
      <c r="AE15" s="6"/>
      <c r="AF15" s="66"/>
      <c r="AG15" s="495">
        <v>270</v>
      </c>
      <c r="AH15" s="566"/>
      <c r="AI15" s="515"/>
      <c r="AJ15" s="502"/>
      <c r="AK15" s="527" t="s">
        <v>975</v>
      </c>
      <c r="AM15" s="470"/>
      <c r="AN15" s="6"/>
      <c r="AO15" s="66"/>
      <c r="AP15" s="566" t="s">
        <v>977</v>
      </c>
      <c r="AQ15" s="515"/>
      <c r="AR15" s="515"/>
      <c r="AS15" s="515"/>
      <c r="AT15" s="527" t="s">
        <v>975</v>
      </c>
    </row>
    <row r="16" spans="1:46" ht="54.65" customHeight="1" x14ac:dyDescent="0.35">
      <c r="A16" s="1477"/>
      <c r="B16" s="472">
        <v>2</v>
      </c>
      <c r="C16" s="493"/>
      <c r="D16" s="493"/>
      <c r="E16" s="493"/>
      <c r="F16" s="495">
        <v>720</v>
      </c>
      <c r="G16" s="670"/>
      <c r="H16" s="671"/>
      <c r="I16" s="672"/>
      <c r="J16" s="527" t="s">
        <v>975</v>
      </c>
      <c r="K16" s="66"/>
      <c r="L16" s="470"/>
      <c r="M16" s="6"/>
      <c r="N16" s="6"/>
      <c r="O16" s="495">
        <v>720</v>
      </c>
      <c r="P16" s="670"/>
      <c r="Q16" s="671"/>
      <c r="R16" s="672"/>
      <c r="S16" s="527" t="s">
        <v>975</v>
      </c>
      <c r="T16" s="66"/>
      <c r="U16" s="470"/>
      <c r="V16" s="6"/>
      <c r="W16" s="6"/>
      <c r="X16" s="495">
        <v>720</v>
      </c>
      <c r="Y16" s="670"/>
      <c r="Z16" s="671"/>
      <c r="AA16" s="672"/>
      <c r="AB16" s="527" t="s">
        <v>975</v>
      </c>
      <c r="AC16" s="66"/>
      <c r="AD16" s="470"/>
      <c r="AE16" s="6"/>
      <c r="AF16" s="6"/>
      <c r="AG16" s="495">
        <v>720</v>
      </c>
      <c r="AH16" s="673"/>
      <c r="AI16" s="671"/>
      <c r="AJ16" s="672"/>
      <c r="AK16" s="527" t="s">
        <v>975</v>
      </c>
      <c r="AM16" s="470"/>
      <c r="AN16" s="6"/>
      <c r="AO16" s="6"/>
      <c r="AP16" s="495">
        <v>720</v>
      </c>
      <c r="AQ16" s="670"/>
      <c r="AR16" s="671"/>
      <c r="AS16" s="672"/>
      <c r="AT16" s="527" t="s">
        <v>975</v>
      </c>
    </row>
    <row r="17" spans="1:46" ht="66" customHeight="1" x14ac:dyDescent="0.35">
      <c r="A17" s="1478">
        <v>45604</v>
      </c>
      <c r="B17" s="534">
        <v>1</v>
      </c>
      <c r="C17" s="493"/>
      <c r="D17" s="494"/>
      <c r="E17" s="494"/>
      <c r="F17" s="495">
        <v>245</v>
      </c>
      <c r="G17" s="566"/>
      <c r="H17" s="514"/>
      <c r="I17" s="641"/>
      <c r="J17" s="527" t="s">
        <v>975</v>
      </c>
      <c r="K17" s="66"/>
      <c r="L17" s="470"/>
      <c r="M17" s="6"/>
      <c r="N17" s="6"/>
      <c r="O17" s="495">
        <v>242</v>
      </c>
      <c r="P17" s="566"/>
      <c r="Q17" s="514"/>
      <c r="R17" s="515"/>
      <c r="S17" s="527" t="s">
        <v>975</v>
      </c>
      <c r="T17" s="66"/>
      <c r="U17" s="470"/>
      <c r="V17" s="6"/>
      <c r="W17" s="6">
        <v>11</v>
      </c>
      <c r="X17" s="495">
        <v>253</v>
      </c>
      <c r="Y17" s="565"/>
      <c r="Z17" s="514"/>
      <c r="AA17" s="579" t="s">
        <v>152</v>
      </c>
      <c r="AB17" s="527" t="s">
        <v>975</v>
      </c>
      <c r="AC17" s="66"/>
      <c r="AD17" s="470"/>
      <c r="AE17" s="6"/>
      <c r="AF17" s="6"/>
      <c r="AG17" s="495">
        <v>254</v>
      </c>
      <c r="AH17" s="566"/>
      <c r="AI17" s="514"/>
      <c r="AJ17" s="515"/>
      <c r="AK17" s="527" t="s">
        <v>975</v>
      </c>
      <c r="AM17" s="470"/>
      <c r="AN17" s="6"/>
      <c r="AO17" s="6"/>
      <c r="AP17" s="566" t="s">
        <v>978</v>
      </c>
      <c r="AQ17" s="514"/>
      <c r="AR17" s="515"/>
      <c r="AS17" s="579"/>
      <c r="AT17" s="527" t="s">
        <v>975</v>
      </c>
    </row>
    <row r="18" spans="1:46" ht="49.95" customHeight="1" x14ac:dyDescent="0.35">
      <c r="A18" s="1477"/>
      <c r="B18" s="472">
        <v>2</v>
      </c>
      <c r="C18" s="493"/>
      <c r="D18" s="494"/>
      <c r="E18" s="494"/>
      <c r="F18" s="495"/>
      <c r="G18" s="565"/>
      <c r="H18" s="638"/>
      <c r="I18" s="641"/>
      <c r="J18" s="527"/>
      <c r="K18" s="66"/>
      <c r="L18" s="470"/>
      <c r="M18" s="6"/>
      <c r="N18" s="6"/>
      <c r="O18" s="495"/>
      <c r="P18" s="565"/>
      <c r="Q18" s="515"/>
      <c r="R18" s="514"/>
      <c r="S18" s="527"/>
      <c r="T18" s="66"/>
      <c r="U18" s="470"/>
      <c r="V18" s="6"/>
      <c r="W18" s="494">
        <v>29</v>
      </c>
      <c r="X18" s="495"/>
      <c r="Y18" s="565"/>
      <c r="Z18" s="515"/>
      <c r="AA18" s="579" t="s">
        <v>152</v>
      </c>
      <c r="AB18" s="527"/>
      <c r="AC18" s="66"/>
      <c r="AD18" s="470"/>
      <c r="AE18" s="6"/>
      <c r="AF18" s="6"/>
      <c r="AG18" s="495"/>
      <c r="AH18" s="565"/>
      <c r="AI18" s="515"/>
      <c r="AJ18" s="514"/>
      <c r="AK18" s="527"/>
      <c r="AM18" s="470"/>
      <c r="AN18" s="6"/>
      <c r="AO18" s="6"/>
      <c r="AP18" s="495"/>
      <c r="AQ18" s="1508"/>
      <c r="AR18" s="1509"/>
      <c r="AS18" s="1510"/>
      <c r="AT18" s="527"/>
    </row>
    <row r="19" spans="1:46" ht="33.65" customHeight="1" x14ac:dyDescent="0.35">
      <c r="A19" s="1478">
        <v>45605</v>
      </c>
      <c r="B19" s="472">
        <v>1</v>
      </c>
      <c r="C19" s="66"/>
      <c r="D19" s="494"/>
      <c r="E19" s="494"/>
      <c r="F19" s="495"/>
      <c r="G19" s="465"/>
      <c r="H19" s="6"/>
      <c r="I19" s="641"/>
      <c r="J19" s="527"/>
      <c r="K19" s="66"/>
      <c r="L19" s="470"/>
      <c r="M19" s="6"/>
      <c r="N19" s="6"/>
      <c r="O19" s="495"/>
      <c r="P19" s="470"/>
      <c r="Q19" s="6"/>
      <c r="R19" s="6"/>
      <c r="S19" s="527"/>
      <c r="T19" s="66"/>
      <c r="U19" s="470"/>
      <c r="V19" s="6"/>
      <c r="W19" s="6">
        <v>14</v>
      </c>
      <c r="X19" s="495"/>
      <c r="Y19" s="470"/>
      <c r="Z19" s="502"/>
      <c r="AA19" s="579" t="s">
        <v>152</v>
      </c>
      <c r="AB19" s="527"/>
      <c r="AC19" s="66"/>
      <c r="AD19" s="470"/>
      <c r="AE19" s="6"/>
      <c r="AF19" s="6"/>
      <c r="AG19" s="495"/>
      <c r="AH19" s="470"/>
      <c r="AI19" s="6"/>
      <c r="AJ19" s="579"/>
      <c r="AK19" s="527"/>
      <c r="AM19" s="470"/>
      <c r="AN19" s="6"/>
      <c r="AO19" s="6"/>
      <c r="AP19" s="495"/>
      <c r="AQ19" s="470"/>
      <c r="AR19" s="6"/>
      <c r="AS19" s="515"/>
      <c r="AT19" s="527"/>
    </row>
    <row r="20" spans="1:46" ht="44.5" customHeight="1" x14ac:dyDescent="0.35">
      <c r="A20" s="1477"/>
      <c r="B20" s="472">
        <v>2</v>
      </c>
      <c r="C20" s="493"/>
      <c r="D20" s="494"/>
      <c r="E20" s="494"/>
      <c r="F20" s="495"/>
      <c r="G20" s="465"/>
      <c r="H20" s="663"/>
      <c r="I20" s="641"/>
      <c r="J20" s="527"/>
      <c r="K20" s="66"/>
      <c r="L20" s="470"/>
      <c r="M20" s="6"/>
      <c r="N20" s="6"/>
      <c r="O20" s="495"/>
      <c r="P20" s="465"/>
      <c r="Q20" s="663"/>
      <c r="R20" s="641"/>
      <c r="S20" s="527"/>
      <c r="T20" s="66"/>
      <c r="U20" s="470"/>
      <c r="V20" s="6"/>
      <c r="W20" s="6"/>
      <c r="X20" s="495"/>
      <c r="Y20" s="465"/>
      <c r="Z20" s="663"/>
      <c r="AA20" s="515"/>
      <c r="AB20" s="527"/>
      <c r="AC20" s="66"/>
      <c r="AD20" s="470"/>
      <c r="AE20" s="6"/>
      <c r="AF20" s="6"/>
      <c r="AG20" s="495"/>
      <c r="AH20" s="465"/>
      <c r="AI20" s="663"/>
      <c r="AJ20" s="641"/>
      <c r="AK20" s="527"/>
      <c r="AM20" s="470"/>
      <c r="AN20" s="6"/>
      <c r="AO20" s="6"/>
      <c r="AP20" s="495"/>
      <c r="AQ20" s="465"/>
      <c r="AR20" s="663"/>
      <c r="AS20" s="641"/>
      <c r="AT20" s="527"/>
    </row>
    <row r="21" spans="1:46" ht="39.65" customHeight="1" x14ac:dyDescent="0.35">
      <c r="A21" s="1478">
        <v>45606</v>
      </c>
      <c r="B21" s="472">
        <v>1</v>
      </c>
      <c r="C21" s="493"/>
      <c r="D21" s="494"/>
      <c r="E21" s="494"/>
      <c r="F21" s="495"/>
      <c r="G21" s="569"/>
      <c r="H21" s="514"/>
      <c r="I21" s="641"/>
      <c r="J21" s="674"/>
      <c r="K21" s="66"/>
      <c r="L21" s="470"/>
      <c r="M21" s="6"/>
      <c r="N21" s="6"/>
      <c r="O21" s="495"/>
      <c r="P21" s="470"/>
      <c r="Q21" s="6"/>
      <c r="R21" s="6"/>
      <c r="S21" s="674"/>
      <c r="T21" s="66"/>
      <c r="U21" s="470"/>
      <c r="V21" s="6"/>
      <c r="W21" s="6">
        <v>11</v>
      </c>
      <c r="X21" s="495"/>
      <c r="Y21" s="465"/>
      <c r="Z21" s="6"/>
      <c r="AA21" s="579" t="s">
        <v>152</v>
      </c>
      <c r="AB21" s="674"/>
      <c r="AC21" s="66"/>
      <c r="AD21" s="470"/>
      <c r="AE21" s="6"/>
      <c r="AF21" s="6"/>
      <c r="AG21" s="495"/>
      <c r="AH21" s="470"/>
      <c r="AI21" s="6"/>
      <c r="AJ21" s="641"/>
      <c r="AK21" s="674"/>
      <c r="AM21" s="470"/>
      <c r="AN21" s="6"/>
      <c r="AO21" s="6">
        <v>29</v>
      </c>
      <c r="AP21" s="495"/>
      <c r="AQ21" s="470"/>
      <c r="AR21" s="502"/>
      <c r="AS21" s="579" t="s">
        <v>152</v>
      </c>
      <c r="AT21" s="674"/>
    </row>
    <row r="22" spans="1:46" ht="49.95" customHeight="1" x14ac:dyDescent="0.35">
      <c r="A22" s="1477"/>
      <c r="B22" s="472">
        <v>2</v>
      </c>
      <c r="C22" s="493"/>
      <c r="D22" s="494"/>
      <c r="E22" s="494"/>
      <c r="F22" s="495">
        <v>364</v>
      </c>
      <c r="G22" s="562"/>
      <c r="H22" s="515"/>
      <c r="I22" s="641"/>
      <c r="J22" s="527" t="s">
        <v>975</v>
      </c>
      <c r="K22" s="66"/>
      <c r="L22" s="470"/>
      <c r="M22" s="6"/>
      <c r="N22" s="6"/>
      <c r="O22" s="495">
        <v>356</v>
      </c>
      <c r="P22" s="469"/>
      <c r="Q22" s="515"/>
      <c r="R22" s="6"/>
      <c r="S22" s="527" t="s">
        <v>975</v>
      </c>
      <c r="T22" s="66"/>
      <c r="U22" s="470"/>
      <c r="V22" s="6"/>
      <c r="W22" s="6">
        <v>28</v>
      </c>
      <c r="X22" s="495">
        <v>387</v>
      </c>
      <c r="Y22" s="465"/>
      <c r="Z22" s="515"/>
      <c r="AA22" s="579" t="s">
        <v>152</v>
      </c>
      <c r="AB22" s="527" t="s">
        <v>975</v>
      </c>
      <c r="AC22" s="66"/>
      <c r="AD22" s="470"/>
      <c r="AE22" s="6"/>
      <c r="AF22" s="6"/>
      <c r="AG22" s="495">
        <v>395</v>
      </c>
      <c r="AH22" s="470"/>
      <c r="AI22" s="6"/>
      <c r="AJ22" s="579"/>
      <c r="AK22" s="527" t="s">
        <v>975</v>
      </c>
      <c r="AM22" s="470"/>
      <c r="AN22" s="6"/>
      <c r="AO22" s="6"/>
      <c r="AP22" s="495">
        <v>368</v>
      </c>
      <c r="AQ22" s="470"/>
      <c r="AR22" s="515"/>
      <c r="AS22" s="47"/>
      <c r="AT22" s="527" t="s">
        <v>975</v>
      </c>
    </row>
    <row r="23" spans="1:46" ht="47.5" customHeight="1" x14ac:dyDescent="0.35">
      <c r="A23" s="1478">
        <v>45607</v>
      </c>
      <c r="B23" s="534">
        <v>1</v>
      </c>
      <c r="C23" s="493"/>
      <c r="D23" s="494"/>
      <c r="E23" s="494"/>
      <c r="F23" s="495"/>
      <c r="G23" s="566"/>
      <c r="H23" s="514"/>
      <c r="I23" s="641"/>
      <c r="J23" s="527"/>
      <c r="K23" s="66"/>
      <c r="L23" s="470"/>
      <c r="M23" s="6"/>
      <c r="N23" s="6"/>
      <c r="O23" s="495"/>
      <c r="P23" s="566"/>
      <c r="Q23" s="514"/>
      <c r="R23" s="515"/>
      <c r="S23" s="527"/>
      <c r="T23" s="66"/>
      <c r="U23" s="470">
        <v>187</v>
      </c>
      <c r="V23" s="6">
        <v>15</v>
      </c>
      <c r="W23" s="6"/>
      <c r="X23" s="495"/>
      <c r="Y23" s="465" t="s">
        <v>984</v>
      </c>
      <c r="Z23" s="641" t="s">
        <v>983</v>
      </c>
      <c r="AA23" s="641"/>
      <c r="AB23" s="527"/>
      <c r="AC23" s="66"/>
      <c r="AD23" s="470"/>
      <c r="AE23" s="6"/>
      <c r="AF23" s="509"/>
      <c r="AG23" s="495"/>
      <c r="AH23" s="470"/>
      <c r="AI23" s="514"/>
      <c r="AJ23" s="515"/>
      <c r="AK23" s="527"/>
      <c r="AM23" s="470"/>
      <c r="AN23" s="6"/>
      <c r="AO23" s="6"/>
      <c r="AP23" s="495"/>
      <c r="AQ23" s="6"/>
      <c r="AR23" s="514"/>
      <c r="AS23" s="573"/>
      <c r="AT23" s="527"/>
    </row>
    <row r="24" spans="1:46" ht="49.95" customHeight="1" x14ac:dyDescent="0.35">
      <c r="A24" s="1477"/>
      <c r="B24" s="472">
        <v>2</v>
      </c>
      <c r="C24" s="493"/>
      <c r="D24" s="494"/>
      <c r="E24" s="494"/>
      <c r="F24" s="495"/>
      <c r="G24" s="566"/>
      <c r="H24" s="515"/>
      <c r="I24" s="641"/>
      <c r="J24" s="527"/>
      <c r="K24" s="66"/>
      <c r="L24" s="470"/>
      <c r="M24" s="6"/>
      <c r="N24" s="6"/>
      <c r="O24" s="495"/>
      <c r="P24" s="566"/>
      <c r="Q24" s="514"/>
      <c r="R24" s="515"/>
      <c r="S24" s="527"/>
      <c r="T24" s="66"/>
      <c r="U24" s="6">
        <v>86</v>
      </c>
      <c r="V24" s="495"/>
      <c r="W24" s="566" t="s">
        <v>982</v>
      </c>
      <c r="X24" s="495"/>
      <c r="Y24" s="641" t="s">
        <v>981</v>
      </c>
      <c r="Z24" s="514"/>
      <c r="AA24" s="579" t="s">
        <v>979</v>
      </c>
      <c r="AB24" s="527"/>
      <c r="AC24" s="66"/>
      <c r="AD24" s="470"/>
      <c r="AE24" s="6"/>
      <c r="AF24" s="509"/>
      <c r="AG24" s="495"/>
      <c r="AH24" s="641"/>
      <c r="AI24" s="514"/>
      <c r="AJ24" s="515"/>
      <c r="AK24" s="527"/>
      <c r="AM24" s="470"/>
      <c r="AN24" s="6"/>
      <c r="AO24" s="6"/>
      <c r="AP24" s="495"/>
      <c r="AQ24" s="514"/>
      <c r="AR24" s="514"/>
      <c r="AS24" s="527"/>
      <c r="AT24" s="527"/>
    </row>
    <row r="25" spans="1:46" ht="53.5" customHeight="1" x14ac:dyDescent="0.35">
      <c r="A25" s="1478">
        <v>45608</v>
      </c>
      <c r="B25" s="472">
        <v>1</v>
      </c>
      <c r="C25" s="493"/>
      <c r="D25" s="494"/>
      <c r="E25" s="494"/>
      <c r="F25" s="495"/>
      <c r="G25" s="566"/>
      <c r="H25" s="514"/>
      <c r="I25" s="641"/>
      <c r="J25" s="527"/>
      <c r="K25" s="66"/>
      <c r="L25" s="470"/>
      <c r="M25" s="6"/>
      <c r="N25" s="6"/>
      <c r="O25" s="495"/>
      <c r="P25" s="470"/>
      <c r="Q25" s="514"/>
      <c r="R25" s="6"/>
      <c r="S25" s="527"/>
      <c r="T25" s="66"/>
      <c r="U25" s="470"/>
      <c r="V25" s="6"/>
      <c r="W25" s="6">
        <v>15</v>
      </c>
      <c r="X25" s="495"/>
      <c r="Y25" s="465"/>
      <c r="Z25" s="502"/>
      <c r="AA25" s="579" t="s">
        <v>325</v>
      </c>
      <c r="AB25" s="527"/>
      <c r="AC25" s="66"/>
      <c r="AD25" s="470"/>
      <c r="AE25" s="6"/>
      <c r="AF25" s="6">
        <v>20</v>
      </c>
      <c r="AG25" s="495"/>
      <c r="AH25" s="6"/>
      <c r="AI25" s="502"/>
      <c r="AJ25" s="515" t="s">
        <v>980</v>
      </c>
      <c r="AK25" s="527"/>
      <c r="AM25" s="470"/>
      <c r="AN25" s="6"/>
      <c r="AO25" s="6"/>
      <c r="AP25" s="495"/>
      <c r="AQ25" s="6"/>
      <c r="AR25" s="6"/>
      <c r="AS25" s="47"/>
      <c r="AT25" s="527"/>
    </row>
    <row r="26" spans="1:46" ht="42" customHeight="1" x14ac:dyDescent="0.35">
      <c r="A26" s="1477"/>
      <c r="B26" s="472">
        <v>2</v>
      </c>
      <c r="C26" s="493"/>
      <c r="D26" s="494"/>
      <c r="E26" s="494"/>
      <c r="F26" s="495"/>
      <c r="G26" s="566"/>
      <c r="H26" s="515"/>
      <c r="I26" s="641"/>
      <c r="J26" s="527"/>
      <c r="K26" s="66"/>
      <c r="L26" s="470"/>
      <c r="M26" s="6"/>
      <c r="N26" s="6"/>
      <c r="O26" s="495"/>
      <c r="P26" s="566"/>
      <c r="Q26" s="515"/>
      <c r="R26" s="573"/>
      <c r="S26" s="527"/>
      <c r="T26" s="66"/>
      <c r="U26" s="470"/>
      <c r="V26" s="494"/>
      <c r="W26" s="6">
        <v>36</v>
      </c>
      <c r="X26" s="495"/>
      <c r="Y26" s="641"/>
      <c r="Z26" s="515"/>
      <c r="AA26" s="579" t="s">
        <v>979</v>
      </c>
      <c r="AB26" s="527"/>
      <c r="AC26" s="66"/>
      <c r="AD26" s="470"/>
      <c r="AE26" s="494"/>
      <c r="AF26" s="6"/>
      <c r="AG26" s="495"/>
      <c r="AH26" s="641"/>
      <c r="AI26" s="515"/>
      <c r="AJ26" s="573"/>
      <c r="AK26" s="527"/>
      <c r="AM26" s="470"/>
      <c r="AN26" s="494"/>
      <c r="AO26" s="6"/>
      <c r="AP26" s="495"/>
      <c r="AQ26" s="566"/>
      <c r="AR26" s="515"/>
      <c r="AS26" s="47"/>
      <c r="AT26" s="527"/>
    </row>
    <row r="27" spans="1:46" ht="49.95" customHeight="1" x14ac:dyDescent="0.35">
      <c r="A27" s="1478">
        <v>45609</v>
      </c>
      <c r="B27" s="534">
        <v>1</v>
      </c>
      <c r="C27" s="493"/>
      <c r="D27" s="494"/>
      <c r="E27" s="494"/>
      <c r="F27" s="495"/>
      <c r="G27" s="566"/>
      <c r="H27" s="514"/>
      <c r="I27" s="573"/>
      <c r="J27" s="527"/>
      <c r="K27" s="66"/>
      <c r="L27" s="470"/>
      <c r="M27" s="6"/>
      <c r="N27" s="6"/>
      <c r="O27" s="495"/>
      <c r="P27" s="566"/>
      <c r="Q27" s="514"/>
      <c r="R27" s="515"/>
      <c r="S27" s="527"/>
      <c r="T27" s="66"/>
      <c r="U27" s="470"/>
      <c r="V27" s="6"/>
      <c r="W27" s="6"/>
      <c r="X27" s="495"/>
      <c r="Y27" s="566"/>
      <c r="Z27" s="515"/>
      <c r="AA27" s="579"/>
      <c r="AB27" s="527"/>
      <c r="AC27" s="66"/>
      <c r="AD27" s="470"/>
      <c r="AE27" s="6"/>
      <c r="AF27" s="6"/>
      <c r="AG27" s="495"/>
      <c r="AH27" s="566"/>
      <c r="AI27" s="502"/>
      <c r="AJ27" s="515"/>
      <c r="AK27" s="527"/>
      <c r="AM27" s="470"/>
      <c r="AN27" s="6"/>
      <c r="AO27" s="6"/>
      <c r="AP27" s="495"/>
      <c r="AQ27" s="502"/>
      <c r="AR27" s="6"/>
      <c r="AS27" s="573"/>
      <c r="AT27" s="527"/>
    </row>
    <row r="28" spans="1:46" ht="72" customHeight="1" x14ac:dyDescent="0.35">
      <c r="A28" s="1477"/>
      <c r="B28" s="472">
        <v>2</v>
      </c>
      <c r="C28" s="493"/>
      <c r="D28" s="494"/>
      <c r="E28" s="494"/>
      <c r="F28" s="495"/>
      <c r="G28" s="515"/>
      <c r="H28" s="515"/>
      <c r="I28" s="573"/>
      <c r="J28" s="527"/>
      <c r="K28" s="66"/>
      <c r="L28" s="470"/>
      <c r="M28" s="6"/>
      <c r="N28" s="6"/>
      <c r="O28" s="495"/>
      <c r="P28" s="515"/>
      <c r="Q28" s="515"/>
      <c r="R28" s="515"/>
      <c r="S28" s="527"/>
      <c r="T28" s="66"/>
      <c r="U28" s="470"/>
      <c r="V28" s="6"/>
      <c r="W28" s="66">
        <v>8</v>
      </c>
      <c r="X28" s="495"/>
      <c r="Y28" s="515"/>
      <c r="Z28" s="6"/>
      <c r="AA28" s="579" t="s">
        <v>325</v>
      </c>
      <c r="AB28" s="527"/>
      <c r="AC28" s="66"/>
      <c r="AD28" s="470"/>
      <c r="AE28" s="6"/>
      <c r="AF28" s="6">
        <v>7</v>
      </c>
      <c r="AG28" s="495"/>
      <c r="AH28" s="566"/>
      <c r="AI28" s="502"/>
      <c r="AJ28" s="579" t="s">
        <v>325</v>
      </c>
      <c r="AK28" s="527"/>
      <c r="AM28" s="470"/>
      <c r="AN28" s="6"/>
      <c r="AO28" s="6"/>
      <c r="AP28" s="495"/>
      <c r="AQ28" s="502"/>
      <c r="AR28" s="6"/>
      <c r="AS28" s="47"/>
      <c r="AT28" s="527"/>
    </row>
    <row r="29" spans="1:46" ht="66" customHeight="1" x14ac:dyDescent="0.35">
      <c r="A29" s="1478">
        <v>45610</v>
      </c>
      <c r="B29" s="472">
        <v>1</v>
      </c>
      <c r="C29" s="493"/>
      <c r="D29" s="494"/>
      <c r="E29" s="494"/>
      <c r="F29" s="495"/>
      <c r="G29" s="515"/>
      <c r="H29" s="514"/>
      <c r="I29" s="573"/>
      <c r="J29" s="527"/>
      <c r="K29" s="66"/>
      <c r="L29" s="470"/>
      <c r="M29" s="6"/>
      <c r="N29" s="6"/>
      <c r="O29" s="495"/>
      <c r="P29" s="566"/>
      <c r="Q29" s="515"/>
      <c r="R29" s="515"/>
      <c r="S29" s="527"/>
      <c r="T29" s="66"/>
      <c r="U29" s="470"/>
      <c r="V29" s="6"/>
      <c r="W29" s="6"/>
      <c r="X29" s="495"/>
      <c r="Y29" s="515"/>
      <c r="Z29" s="514"/>
      <c r="AA29" s="515"/>
      <c r="AB29" s="527"/>
      <c r="AC29" s="66"/>
      <c r="AD29" s="470"/>
      <c r="AE29" s="6"/>
      <c r="AF29" s="6"/>
      <c r="AG29" s="495"/>
      <c r="AH29" s="566"/>
      <c r="AI29" s="514"/>
      <c r="AJ29" s="515"/>
      <c r="AK29" s="527"/>
      <c r="AM29" s="470"/>
      <c r="AN29" s="6"/>
      <c r="AO29" s="6">
        <v>15</v>
      </c>
      <c r="AP29" s="495"/>
      <c r="AQ29" s="502"/>
      <c r="AR29" s="514"/>
      <c r="AS29" s="47" t="s">
        <v>325</v>
      </c>
      <c r="AT29" s="527"/>
    </row>
    <row r="30" spans="1:46" ht="39.65" customHeight="1" x14ac:dyDescent="0.35">
      <c r="A30" s="1477"/>
      <c r="B30" s="534">
        <v>2</v>
      </c>
      <c r="C30" s="493"/>
      <c r="D30" s="494"/>
      <c r="E30" s="494"/>
      <c r="F30" s="495"/>
      <c r="G30" s="515"/>
      <c r="H30" s="514"/>
      <c r="I30" s="573"/>
      <c r="J30" s="527"/>
      <c r="K30" s="66"/>
      <c r="L30" s="470"/>
      <c r="M30" s="6"/>
      <c r="N30" s="6"/>
      <c r="O30" s="495"/>
      <c r="P30" s="566"/>
      <c r="Q30" s="515"/>
      <c r="R30" s="515"/>
      <c r="S30" s="527"/>
      <c r="T30" s="66"/>
      <c r="U30" s="470"/>
      <c r="V30" s="6"/>
      <c r="W30" s="6">
        <v>14</v>
      </c>
      <c r="X30" s="495"/>
      <c r="Y30" s="515"/>
      <c r="Z30" s="514"/>
      <c r="AA30" s="579" t="s">
        <v>325</v>
      </c>
      <c r="AB30" s="527"/>
      <c r="AC30" s="66"/>
      <c r="AD30" s="470"/>
      <c r="AE30" s="6"/>
      <c r="AF30" s="6"/>
      <c r="AG30" s="495"/>
      <c r="AH30" s="566"/>
      <c r="AI30" s="515"/>
      <c r="AJ30" s="515"/>
      <c r="AK30" s="527"/>
      <c r="AM30" s="470"/>
      <c r="AN30" s="6"/>
      <c r="AO30" s="6">
        <v>8</v>
      </c>
      <c r="AP30" s="495">
        <v>15</v>
      </c>
      <c r="AQ30" s="469"/>
      <c r="AR30" s="502"/>
      <c r="AS30" s="47" t="s">
        <v>325</v>
      </c>
      <c r="AT30" s="526" t="s">
        <v>317</v>
      </c>
    </row>
    <row r="31" spans="1:46" ht="39.65" customHeight="1" x14ac:dyDescent="0.35">
      <c r="A31" s="1478">
        <v>45611</v>
      </c>
      <c r="B31" s="472">
        <v>1</v>
      </c>
      <c r="C31" s="493"/>
      <c r="D31" s="494"/>
      <c r="E31" s="494"/>
      <c r="F31" s="495"/>
      <c r="G31" s="566"/>
      <c r="H31" s="515"/>
      <c r="I31" s="515"/>
      <c r="J31" s="527"/>
      <c r="K31" s="66"/>
      <c r="L31" s="470"/>
      <c r="M31" s="6"/>
      <c r="N31" s="6"/>
      <c r="O31" s="495"/>
      <c r="P31" s="509"/>
      <c r="Q31" s="6"/>
      <c r="R31" s="6"/>
      <c r="S31" s="527"/>
      <c r="T31" s="66"/>
      <c r="U31" s="470"/>
      <c r="V31" s="6"/>
      <c r="W31" s="6"/>
      <c r="X31" s="495"/>
      <c r="Y31" s="469"/>
      <c r="Z31" s="6"/>
      <c r="AA31" s="579"/>
      <c r="AB31" s="527"/>
      <c r="AC31" s="66"/>
      <c r="AD31" s="470"/>
      <c r="AE31" s="6"/>
      <c r="AF31" s="6"/>
      <c r="AG31" s="495"/>
      <c r="AH31" s="566"/>
      <c r="AI31" s="6"/>
      <c r="AJ31" s="6"/>
      <c r="AK31" s="527"/>
      <c r="AM31" s="470"/>
      <c r="AN31" s="6"/>
      <c r="AO31" s="6"/>
      <c r="AP31" s="495">
        <v>720</v>
      </c>
      <c r="AQ31" s="509"/>
      <c r="AR31" s="6"/>
      <c r="AS31" s="6"/>
      <c r="AT31" s="526" t="s">
        <v>317</v>
      </c>
    </row>
    <row r="32" spans="1:46" ht="63" customHeight="1" x14ac:dyDescent="0.35">
      <c r="A32" s="1477"/>
      <c r="B32" s="472">
        <v>2</v>
      </c>
      <c r="C32" s="493"/>
      <c r="D32" s="493"/>
      <c r="E32" s="494"/>
      <c r="F32" s="493"/>
      <c r="G32" s="566"/>
      <c r="H32" s="527"/>
      <c r="I32" s="573"/>
      <c r="J32" s="527"/>
      <c r="K32" s="66"/>
      <c r="L32" s="470"/>
      <c r="M32" s="6"/>
      <c r="N32" s="6"/>
      <c r="O32" s="6"/>
      <c r="P32" s="509"/>
      <c r="Q32" s="527"/>
      <c r="R32" s="6"/>
      <c r="S32" s="527"/>
      <c r="T32" s="66"/>
      <c r="U32" s="470"/>
      <c r="V32" s="6"/>
      <c r="W32" s="494"/>
      <c r="X32" s="6"/>
      <c r="Y32" s="566"/>
      <c r="Z32" s="527"/>
      <c r="AA32" s="579"/>
      <c r="AB32" s="527"/>
      <c r="AC32" s="66"/>
      <c r="AD32" s="470"/>
      <c r="AE32" s="6"/>
      <c r="AF32" s="494"/>
      <c r="AG32" s="6"/>
      <c r="AH32" s="566"/>
      <c r="AI32" s="527"/>
      <c r="AJ32" s="579"/>
      <c r="AK32" s="527"/>
      <c r="AM32" s="470">
        <v>15</v>
      </c>
      <c r="AN32" s="6"/>
      <c r="AO32" s="6"/>
      <c r="AP32" s="495">
        <v>383</v>
      </c>
      <c r="AQ32" s="509" t="s">
        <v>985</v>
      </c>
      <c r="AR32" s="527"/>
      <c r="AS32" s="565"/>
      <c r="AT32" s="526" t="s">
        <v>317</v>
      </c>
    </row>
    <row r="33" spans="1:46" ht="43.2" customHeight="1" x14ac:dyDescent="0.35">
      <c r="A33" s="1478">
        <v>45612</v>
      </c>
      <c r="B33" s="472">
        <v>1</v>
      </c>
      <c r="C33" s="493"/>
      <c r="D33" s="494"/>
      <c r="E33" s="494"/>
      <c r="F33" s="495"/>
      <c r="G33" s="566"/>
      <c r="H33" s="515"/>
      <c r="I33" s="579"/>
      <c r="J33" s="527"/>
      <c r="K33" s="66"/>
      <c r="L33" s="470"/>
      <c r="M33" s="6"/>
      <c r="N33" s="6"/>
      <c r="O33" s="495"/>
      <c r="P33" s="509"/>
      <c r="Q33" s="6"/>
      <c r="R33" s="6"/>
      <c r="S33" s="527"/>
      <c r="T33" s="66"/>
      <c r="U33" s="470"/>
      <c r="V33" s="6"/>
      <c r="W33" s="6"/>
      <c r="X33" s="495"/>
      <c r="Y33" s="509"/>
      <c r="Z33" s="6"/>
      <c r="AA33" s="579"/>
      <c r="AB33" s="527"/>
      <c r="AC33" s="66"/>
      <c r="AD33" s="470"/>
      <c r="AE33" s="6"/>
      <c r="AF33" s="6"/>
      <c r="AG33" s="495"/>
      <c r="AH33" s="509"/>
      <c r="AI33" s="502"/>
      <c r="AJ33" s="579"/>
      <c r="AK33" s="527"/>
      <c r="AM33" s="470">
        <v>720</v>
      </c>
      <c r="AN33" s="6"/>
      <c r="AO33" s="6"/>
      <c r="AP33" s="495"/>
      <c r="AQ33" s="509" t="s">
        <v>813</v>
      </c>
      <c r="AR33" s="502"/>
      <c r="AS33" s="6"/>
      <c r="AT33" s="527"/>
    </row>
    <row r="34" spans="1:46" ht="67.95" customHeight="1" x14ac:dyDescent="0.35">
      <c r="A34" s="1477"/>
      <c r="B34" s="534">
        <v>2</v>
      </c>
      <c r="C34" s="494"/>
      <c r="D34" s="494"/>
      <c r="E34" s="494"/>
      <c r="F34" s="495"/>
      <c r="G34" s="565"/>
      <c r="H34" s="515"/>
      <c r="I34" s="641"/>
      <c r="J34" s="527"/>
      <c r="K34" s="66"/>
      <c r="L34" s="470"/>
      <c r="M34" s="6"/>
      <c r="N34" s="6"/>
      <c r="O34" s="495"/>
      <c r="P34" s="509"/>
      <c r="Q34" s="515"/>
      <c r="R34" s="6"/>
      <c r="S34" s="527"/>
      <c r="T34" s="66"/>
      <c r="U34" s="470"/>
      <c r="V34" s="6"/>
      <c r="W34" s="6">
        <v>14</v>
      </c>
      <c r="X34" s="495"/>
      <c r="Y34" s="502"/>
      <c r="Z34" s="502"/>
      <c r="AA34" s="579" t="s">
        <v>987</v>
      </c>
      <c r="AB34" s="527"/>
      <c r="AC34" s="66"/>
      <c r="AD34" s="470"/>
      <c r="AE34" s="6"/>
      <c r="AF34" s="6"/>
      <c r="AG34" s="495"/>
      <c r="AH34" s="509"/>
      <c r="AI34" s="6"/>
      <c r="AJ34" s="502"/>
      <c r="AK34" s="527"/>
      <c r="AM34" s="470">
        <v>720</v>
      </c>
      <c r="AN34" s="6"/>
      <c r="AO34" s="6"/>
      <c r="AP34" s="495"/>
      <c r="AQ34" s="509" t="s">
        <v>813</v>
      </c>
      <c r="AR34" s="6"/>
      <c r="AS34" s="515"/>
      <c r="AT34" s="527"/>
    </row>
    <row r="35" spans="1:46" ht="51" customHeight="1" x14ac:dyDescent="0.35">
      <c r="A35" s="1478">
        <v>45613</v>
      </c>
      <c r="B35" s="472">
        <v>1</v>
      </c>
      <c r="C35" s="494"/>
      <c r="D35" s="494"/>
      <c r="E35" s="47">
        <v>10</v>
      </c>
      <c r="F35" s="495"/>
      <c r="G35" s="465"/>
      <c r="H35" s="509"/>
      <c r="I35" s="579" t="s">
        <v>986</v>
      </c>
      <c r="J35" s="527"/>
      <c r="K35" s="66"/>
      <c r="L35" s="470"/>
      <c r="M35" s="6"/>
      <c r="N35" s="6"/>
      <c r="O35" s="495"/>
      <c r="P35" s="465"/>
      <c r="Q35" s="576"/>
      <c r="R35" s="515"/>
      <c r="S35" s="527"/>
      <c r="T35" s="66"/>
      <c r="U35" s="470"/>
      <c r="V35" s="6"/>
      <c r="W35" s="47">
        <v>38</v>
      </c>
      <c r="X35" s="495"/>
      <c r="Y35" s="465"/>
      <c r="Z35" s="502"/>
      <c r="AA35" s="579" t="s">
        <v>979</v>
      </c>
      <c r="AB35" s="527"/>
      <c r="AC35" s="66"/>
      <c r="AD35" s="470"/>
      <c r="AE35" s="6"/>
      <c r="AF35" s="6"/>
      <c r="AG35" s="495"/>
      <c r="AH35" s="465"/>
      <c r="AI35" s="6"/>
      <c r="AJ35" s="565"/>
      <c r="AK35" s="527"/>
      <c r="AM35" s="470">
        <v>720</v>
      </c>
      <c r="AN35" s="6"/>
      <c r="AO35" s="47"/>
      <c r="AP35" s="495"/>
      <c r="AQ35" s="509" t="s">
        <v>813</v>
      </c>
      <c r="AR35" s="573"/>
      <c r="AS35" s="636"/>
      <c r="AT35" s="527"/>
    </row>
    <row r="36" spans="1:46" ht="46.95" customHeight="1" x14ac:dyDescent="0.35">
      <c r="A36" s="1477"/>
      <c r="B36" s="472">
        <v>2</v>
      </c>
      <c r="C36" s="47"/>
      <c r="D36" s="6"/>
      <c r="E36" s="47"/>
      <c r="F36" s="495"/>
      <c r="G36" s="573"/>
      <c r="H36" s="515"/>
      <c r="I36" s="573"/>
      <c r="J36" s="527"/>
      <c r="K36" s="66"/>
      <c r="L36" s="465"/>
      <c r="M36" s="6"/>
      <c r="N36" s="6"/>
      <c r="O36" s="495"/>
      <c r="P36" s="465"/>
      <c r="Q36" s="515"/>
      <c r="R36" s="502"/>
      <c r="S36" s="527"/>
      <c r="T36" s="66"/>
      <c r="U36" s="470"/>
      <c r="V36" s="6"/>
      <c r="W36" s="6">
        <v>86</v>
      </c>
      <c r="X36" s="495"/>
      <c r="Y36" s="465"/>
      <c r="Z36" s="515"/>
      <c r="AA36" s="579" t="s">
        <v>979</v>
      </c>
      <c r="AB36" s="527"/>
      <c r="AC36" s="66"/>
      <c r="AD36" s="470"/>
      <c r="AE36" s="6"/>
      <c r="AF36" s="47"/>
      <c r="AG36" s="495"/>
      <c r="AH36" s="465"/>
      <c r="AI36" s="502"/>
      <c r="AJ36" s="579"/>
      <c r="AK36" s="527"/>
      <c r="AM36" s="470">
        <v>720</v>
      </c>
      <c r="AN36" s="6"/>
      <c r="AO36" s="470"/>
      <c r="AP36" s="495"/>
      <c r="AQ36" s="509" t="s">
        <v>813</v>
      </c>
      <c r="AR36" s="469"/>
      <c r="AS36" s="465"/>
      <c r="AT36" s="527"/>
    </row>
    <row r="37" spans="1:46" ht="59.5" customHeight="1" x14ac:dyDescent="0.35">
      <c r="A37" s="1478">
        <v>45614</v>
      </c>
      <c r="B37" s="534">
        <v>1</v>
      </c>
      <c r="C37" s="47"/>
      <c r="D37" s="494"/>
      <c r="E37" s="47"/>
      <c r="F37" s="495"/>
      <c r="G37" s="573"/>
      <c r="H37" s="469"/>
      <c r="I37" s="641"/>
      <c r="J37" s="527"/>
      <c r="K37" s="66"/>
      <c r="L37" s="470"/>
      <c r="M37" s="6"/>
      <c r="N37" s="6"/>
      <c r="O37" s="495"/>
      <c r="P37" s="509"/>
      <c r="Q37" s="6"/>
      <c r="R37" s="6"/>
      <c r="S37" s="527"/>
      <c r="T37" s="66"/>
      <c r="U37" s="470"/>
      <c r="V37" s="6"/>
      <c r="W37" s="6">
        <v>33</v>
      </c>
      <c r="X37" s="495"/>
      <c r="Y37" s="509"/>
      <c r="Z37" s="502"/>
      <c r="AA37" s="579" t="s">
        <v>269</v>
      </c>
      <c r="AB37" s="527"/>
      <c r="AC37" s="66"/>
      <c r="AD37" s="470"/>
      <c r="AE37" s="6"/>
      <c r="AF37" s="6"/>
      <c r="AG37" s="495"/>
      <c r="AH37" s="469"/>
      <c r="AI37" s="6"/>
      <c r="AJ37" s="579"/>
      <c r="AK37" s="527"/>
      <c r="AM37" s="470">
        <v>286</v>
      </c>
      <c r="AN37" s="6"/>
      <c r="AO37" s="6"/>
      <c r="AP37" s="495"/>
      <c r="AQ37" s="509" t="s">
        <v>988</v>
      </c>
      <c r="AR37" s="6"/>
      <c r="AS37" s="6"/>
      <c r="AT37" s="527"/>
    </row>
    <row r="38" spans="1:46" ht="55.95" customHeight="1" x14ac:dyDescent="0.35">
      <c r="A38" s="1477"/>
      <c r="B38" s="472">
        <v>2</v>
      </c>
      <c r="C38" s="47"/>
      <c r="D38" s="494"/>
      <c r="E38" s="47"/>
      <c r="F38" s="495"/>
      <c r="G38" s="573"/>
      <c r="H38" s="469"/>
      <c r="I38" s="641"/>
      <c r="J38" s="527"/>
      <c r="K38" s="66"/>
      <c r="L38" s="470"/>
      <c r="M38" s="6">
        <v>181</v>
      </c>
      <c r="N38" s="6"/>
      <c r="O38" s="495"/>
      <c r="P38" s="469"/>
      <c r="Q38" s="469" t="s">
        <v>991</v>
      </c>
      <c r="R38" s="6"/>
      <c r="S38" s="527"/>
      <c r="T38" s="66"/>
      <c r="U38" s="470"/>
      <c r="V38" s="6"/>
      <c r="W38" s="6"/>
      <c r="X38" s="495"/>
      <c r="Y38" s="469"/>
      <c r="Z38" s="502"/>
      <c r="AA38" s="579"/>
      <c r="AB38" s="527"/>
      <c r="AC38" s="66"/>
      <c r="AD38" s="470"/>
      <c r="AE38" s="6"/>
      <c r="AF38" s="6"/>
      <c r="AG38" s="495"/>
      <c r="AH38" s="469"/>
      <c r="AI38" s="6"/>
      <c r="AJ38" s="579"/>
      <c r="AK38" s="527"/>
      <c r="AM38" s="470">
        <v>510</v>
      </c>
      <c r="AN38" s="6"/>
      <c r="AO38" s="6"/>
      <c r="AP38" s="495"/>
      <c r="AQ38" s="469" t="s">
        <v>989</v>
      </c>
      <c r="AR38" s="6"/>
      <c r="AS38" s="465"/>
      <c r="AT38" s="527"/>
    </row>
    <row r="39" spans="1:46" ht="70.95" customHeight="1" x14ac:dyDescent="0.35">
      <c r="A39" s="1478">
        <v>45615</v>
      </c>
      <c r="B39" s="472">
        <v>1</v>
      </c>
      <c r="C39" s="47"/>
      <c r="D39" s="494"/>
      <c r="E39" s="494"/>
      <c r="F39" s="495"/>
      <c r="G39" s="573"/>
      <c r="H39" s="469"/>
      <c r="I39" s="641"/>
      <c r="J39" s="527"/>
      <c r="K39" s="66"/>
      <c r="L39" s="470"/>
      <c r="M39" s="6"/>
      <c r="N39" s="6"/>
      <c r="O39" s="495"/>
      <c r="P39" s="573"/>
      <c r="Q39" s="514"/>
      <c r="R39" s="6"/>
      <c r="S39" s="527"/>
      <c r="T39" s="66"/>
      <c r="U39" s="470"/>
      <c r="V39" s="6"/>
      <c r="W39" s="6">
        <v>30</v>
      </c>
      <c r="X39" s="495"/>
      <c r="Y39" s="509"/>
      <c r="Z39" s="515"/>
      <c r="AA39" s="579" t="s">
        <v>987</v>
      </c>
      <c r="AB39" s="527"/>
      <c r="AC39" s="66"/>
      <c r="AD39" s="470"/>
      <c r="AE39" s="6"/>
      <c r="AF39" s="6"/>
      <c r="AG39" s="495"/>
      <c r="AH39" s="573"/>
      <c r="AI39" s="514"/>
      <c r="AJ39" s="579"/>
      <c r="AK39" s="527"/>
      <c r="AM39" s="470"/>
      <c r="AN39" s="6"/>
      <c r="AO39" s="6"/>
      <c r="AP39" s="495"/>
      <c r="AQ39" s="515"/>
      <c r="AR39" s="573"/>
      <c r="AS39" s="579"/>
      <c r="AT39" s="527"/>
    </row>
    <row r="40" spans="1:46" ht="72.650000000000006" customHeight="1" x14ac:dyDescent="0.35">
      <c r="A40" s="1477"/>
      <c r="B40" s="472">
        <v>2</v>
      </c>
      <c r="C40" s="494"/>
      <c r="D40" s="494">
        <v>105</v>
      </c>
      <c r="E40" s="494">
        <v>9</v>
      </c>
      <c r="F40" s="495"/>
      <c r="G40" s="573"/>
      <c r="H40" s="469" t="s">
        <v>96</v>
      </c>
      <c r="I40" s="641" t="s">
        <v>808</v>
      </c>
      <c r="J40" s="527"/>
      <c r="K40" s="66"/>
      <c r="L40" s="470"/>
      <c r="M40" s="6"/>
      <c r="N40" s="6"/>
      <c r="O40" s="495"/>
      <c r="P40" s="566"/>
      <c r="Q40" s="514"/>
      <c r="R40" s="573"/>
      <c r="S40" s="527"/>
      <c r="T40" s="66"/>
      <c r="U40" s="470">
        <v>80</v>
      </c>
      <c r="V40" s="6"/>
      <c r="W40" s="6">
        <v>37</v>
      </c>
      <c r="X40" s="495"/>
      <c r="Y40" s="469" t="s">
        <v>308</v>
      </c>
      <c r="Z40" s="6"/>
      <c r="AA40" s="579" t="s">
        <v>990</v>
      </c>
      <c r="AB40" s="527"/>
      <c r="AC40" s="66"/>
      <c r="AD40" s="470"/>
      <c r="AE40" s="6"/>
      <c r="AF40" s="6"/>
      <c r="AG40" s="495"/>
      <c r="AH40" s="465"/>
      <c r="AI40" s="515"/>
      <c r="AJ40" s="579"/>
      <c r="AK40" s="527"/>
      <c r="AM40" s="465"/>
      <c r="AN40" s="6"/>
      <c r="AO40" s="6"/>
      <c r="AP40" s="495"/>
      <c r="AQ40" s="566"/>
      <c r="AR40" s="514"/>
      <c r="AS40" s="573"/>
      <c r="AT40" s="527"/>
    </row>
    <row r="41" spans="1:46" ht="39.65" customHeight="1" x14ac:dyDescent="0.35">
      <c r="A41" s="1478">
        <v>45616</v>
      </c>
      <c r="B41" s="472">
        <v>1</v>
      </c>
      <c r="C41" s="493"/>
      <c r="D41" s="494"/>
      <c r="E41" s="494"/>
      <c r="F41" s="495"/>
      <c r="G41" s="566"/>
      <c r="H41" s="515"/>
      <c r="I41" s="573"/>
      <c r="J41" s="527"/>
      <c r="K41" s="66"/>
      <c r="L41" s="470"/>
      <c r="M41" s="6"/>
      <c r="N41" s="6"/>
      <c r="O41" s="495"/>
      <c r="P41" s="509"/>
      <c r="Q41" s="6"/>
      <c r="R41" s="573"/>
      <c r="S41" s="527"/>
      <c r="T41" s="66"/>
      <c r="U41" s="470"/>
      <c r="V41" s="6"/>
      <c r="W41" s="6"/>
      <c r="X41" s="495"/>
      <c r="Y41" s="509"/>
      <c r="Z41" s="502"/>
      <c r="AA41" s="579"/>
      <c r="AB41" s="527"/>
      <c r="AC41" s="66"/>
      <c r="AD41" s="470"/>
      <c r="AE41" s="6"/>
      <c r="AF41" s="6"/>
      <c r="AG41" s="495"/>
      <c r="AH41" s="465"/>
      <c r="AI41" s="502"/>
      <c r="AJ41" s="6"/>
      <c r="AK41" s="527"/>
      <c r="AM41" s="470"/>
      <c r="AN41" s="6"/>
      <c r="AO41" s="6"/>
      <c r="AP41" s="495"/>
      <c r="AQ41" s="509"/>
      <c r="AR41" s="502"/>
      <c r="AS41" s="573"/>
      <c r="AT41" s="527"/>
    </row>
    <row r="42" spans="1:46" ht="52.95" customHeight="1" x14ac:dyDescent="0.35">
      <c r="A42" s="1477"/>
      <c r="B42" s="472">
        <v>2</v>
      </c>
      <c r="C42" s="494"/>
      <c r="D42" s="494"/>
      <c r="E42" s="494"/>
      <c r="F42" s="495"/>
      <c r="G42" s="566"/>
      <c r="H42" s="515"/>
      <c r="I42" s="573"/>
      <c r="J42" s="527"/>
      <c r="K42" s="66"/>
      <c r="L42" s="470"/>
      <c r="M42" s="6"/>
      <c r="N42" s="6"/>
      <c r="O42" s="495"/>
      <c r="P42" s="509"/>
      <c r="Q42" s="502"/>
      <c r="R42" s="6"/>
      <c r="S42" s="527"/>
      <c r="T42" s="66"/>
      <c r="U42" s="470"/>
      <c r="V42" s="6"/>
      <c r="W42" s="6"/>
      <c r="X42" s="495"/>
      <c r="Y42" s="469"/>
      <c r="Z42" s="6"/>
      <c r="AA42" s="579"/>
      <c r="AB42" s="527"/>
      <c r="AC42" s="66"/>
      <c r="AD42" s="470"/>
      <c r="AE42" s="6"/>
      <c r="AF42" s="6"/>
      <c r="AG42" s="495"/>
      <c r="AH42" s="509"/>
      <c r="AI42" s="502"/>
      <c r="AJ42" s="6"/>
      <c r="AK42" s="527"/>
      <c r="AM42" s="470"/>
      <c r="AN42" s="6"/>
      <c r="AO42" s="6"/>
      <c r="AP42" s="495"/>
      <c r="AQ42" s="509"/>
      <c r="AR42" s="6"/>
      <c r="AS42" s="6"/>
      <c r="AT42" s="527"/>
    </row>
    <row r="43" spans="1:46" ht="65.5" customHeight="1" x14ac:dyDescent="0.35">
      <c r="A43" s="1478">
        <v>45617</v>
      </c>
      <c r="B43" s="472">
        <v>1</v>
      </c>
      <c r="C43" s="494"/>
      <c r="D43" s="494"/>
      <c r="E43" s="494"/>
      <c r="F43" s="495"/>
      <c r="G43" s="514"/>
      <c r="H43" s="514"/>
      <c r="I43" s="641"/>
      <c r="J43" s="527"/>
      <c r="K43" s="66"/>
      <c r="L43" s="470"/>
      <c r="M43" s="6"/>
      <c r="N43" s="6"/>
      <c r="O43" s="495"/>
      <c r="P43" s="509"/>
      <c r="Q43" s="6"/>
      <c r="R43" s="6"/>
      <c r="S43" s="527"/>
      <c r="T43" s="66"/>
      <c r="U43" s="470"/>
      <c r="V43" s="6"/>
      <c r="W43" s="6">
        <v>12</v>
      </c>
      <c r="X43" s="495"/>
      <c r="Y43" s="509"/>
      <c r="Z43" s="6"/>
      <c r="AA43" s="579" t="s">
        <v>987</v>
      </c>
      <c r="AB43" s="527"/>
      <c r="AC43" s="66"/>
      <c r="AD43" s="470"/>
      <c r="AE43" s="6"/>
      <c r="AF43" s="6"/>
      <c r="AG43" s="495"/>
      <c r="AH43" s="502"/>
      <c r="AI43" s="515"/>
      <c r="AJ43" s="6"/>
      <c r="AK43" s="527"/>
      <c r="AM43" s="470"/>
      <c r="AN43" s="6"/>
      <c r="AO43" s="6"/>
      <c r="AP43" s="495"/>
      <c r="AQ43" s="502"/>
      <c r="AR43" s="515"/>
      <c r="AS43" s="6"/>
      <c r="AT43" s="527"/>
    </row>
    <row r="44" spans="1:46" ht="69" customHeight="1" x14ac:dyDescent="0.35">
      <c r="A44" s="1477"/>
      <c r="B44" s="472">
        <v>2</v>
      </c>
      <c r="C44" s="494"/>
      <c r="D44" s="494"/>
      <c r="E44" s="494"/>
      <c r="F44" s="495"/>
      <c r="G44" s="514"/>
      <c r="H44" s="469"/>
      <c r="I44" s="573"/>
      <c r="J44" s="527"/>
      <c r="K44" s="66"/>
      <c r="L44" s="470"/>
      <c r="M44" s="6"/>
      <c r="N44" s="6"/>
      <c r="O44" s="508"/>
      <c r="P44" s="469"/>
      <c r="Q44" s="6"/>
      <c r="R44" s="502"/>
      <c r="S44" s="527"/>
      <c r="T44" s="66"/>
      <c r="U44" s="470"/>
      <c r="V44" s="6"/>
      <c r="W44" s="494">
        <v>13</v>
      </c>
      <c r="X44" s="495"/>
      <c r="Y44" s="514"/>
      <c r="Z44" s="515"/>
      <c r="AA44" s="579" t="s">
        <v>987</v>
      </c>
      <c r="AB44" s="527"/>
      <c r="AC44" s="66"/>
      <c r="AD44" s="470"/>
      <c r="AE44" s="6"/>
      <c r="AF44" s="6"/>
      <c r="AG44" s="508"/>
      <c r="AH44" s="509"/>
      <c r="AI44" s="502"/>
      <c r="AJ44" s="579"/>
      <c r="AK44" s="527"/>
      <c r="AM44" s="470"/>
      <c r="AN44" s="6"/>
      <c r="AO44" s="6"/>
      <c r="AP44" s="508"/>
      <c r="AQ44" s="509"/>
      <c r="AR44" s="502"/>
      <c r="AS44" s="502"/>
      <c r="AT44" s="527"/>
    </row>
    <row r="45" spans="1:46" ht="69" customHeight="1" x14ac:dyDescent="0.35">
      <c r="A45" s="1478">
        <v>45618</v>
      </c>
      <c r="B45" s="472">
        <v>1</v>
      </c>
      <c r="C45" s="494"/>
      <c r="D45" s="494"/>
      <c r="E45" s="494"/>
      <c r="F45" s="495"/>
      <c r="G45" s="514"/>
      <c r="H45" s="514"/>
      <c r="I45" s="573"/>
      <c r="J45" s="527"/>
      <c r="K45" s="66"/>
      <c r="L45" s="470"/>
      <c r="M45" s="6"/>
      <c r="N45" s="6"/>
      <c r="O45" s="508"/>
      <c r="P45" s="509"/>
      <c r="Q45" s="502"/>
      <c r="R45" s="6"/>
      <c r="S45" s="527"/>
      <c r="T45" s="66"/>
      <c r="U45" s="470"/>
      <c r="V45" s="502"/>
      <c r="W45" s="6">
        <v>13</v>
      </c>
      <c r="X45" s="495"/>
      <c r="Y45" s="509"/>
      <c r="Z45" s="502"/>
      <c r="AA45" s="579" t="s">
        <v>987</v>
      </c>
      <c r="AB45" s="527"/>
      <c r="AC45" s="66"/>
      <c r="AD45" s="470"/>
      <c r="AE45" s="6"/>
      <c r="AF45" s="6"/>
      <c r="AG45" s="508"/>
      <c r="AH45" s="509"/>
      <c r="AI45" s="502"/>
      <c r="AJ45" s="502"/>
      <c r="AK45" s="527"/>
      <c r="AM45" s="470"/>
      <c r="AN45" s="6"/>
      <c r="AO45" s="6"/>
      <c r="AP45" s="508"/>
      <c r="AQ45" s="509"/>
      <c r="AR45" s="502"/>
      <c r="AS45" s="6"/>
      <c r="AT45" s="527"/>
    </row>
    <row r="46" spans="1:46" ht="48.65" customHeight="1" x14ac:dyDescent="0.35">
      <c r="A46" s="1477"/>
      <c r="B46" s="472">
        <v>2</v>
      </c>
      <c r="C46" s="494"/>
      <c r="D46" s="494"/>
      <c r="E46" s="494">
        <v>39</v>
      </c>
      <c r="F46" s="495"/>
      <c r="G46" s="514"/>
      <c r="H46" s="514"/>
      <c r="I46" s="502" t="s">
        <v>97</v>
      </c>
      <c r="J46" s="527"/>
      <c r="K46" s="66"/>
      <c r="L46" s="470"/>
      <c r="M46" s="6"/>
      <c r="N46" s="6"/>
      <c r="O46" s="633"/>
      <c r="P46" s="509"/>
      <c r="Q46" s="515"/>
      <c r="R46" s="502"/>
      <c r="S46" s="527"/>
      <c r="T46" s="66"/>
      <c r="U46" s="470"/>
      <c r="V46" s="6"/>
      <c r="W46" s="6"/>
      <c r="X46" s="508"/>
      <c r="Y46" s="6"/>
      <c r="Z46" s="6"/>
      <c r="AA46" s="502"/>
      <c r="AB46" s="527"/>
      <c r="AC46" s="66"/>
      <c r="AD46" s="470"/>
      <c r="AE46" s="6"/>
      <c r="AF46" s="6"/>
      <c r="AG46" s="508"/>
      <c r="AH46" s="469"/>
      <c r="AI46" s="502"/>
      <c r="AJ46" s="579"/>
      <c r="AK46" s="527"/>
      <c r="AM46" s="470">
        <v>27</v>
      </c>
      <c r="AN46" s="6"/>
      <c r="AO46" s="6"/>
      <c r="AP46" s="508"/>
      <c r="AQ46" s="509" t="s">
        <v>113</v>
      </c>
      <c r="AR46" s="515"/>
      <c r="AS46" s="502"/>
      <c r="AT46" s="527"/>
    </row>
    <row r="47" spans="1:46" ht="58.95" customHeight="1" x14ac:dyDescent="0.35">
      <c r="A47" s="1478">
        <v>45619</v>
      </c>
      <c r="B47" s="472">
        <v>1</v>
      </c>
      <c r="C47" s="494"/>
      <c r="D47" s="494">
        <v>15</v>
      </c>
      <c r="E47" s="494"/>
      <c r="F47" s="495"/>
      <c r="G47" s="514"/>
      <c r="H47" s="515" t="s">
        <v>992</v>
      </c>
      <c r="I47" s="502"/>
      <c r="J47" s="568"/>
      <c r="K47" s="66"/>
      <c r="L47" s="470"/>
      <c r="M47" s="6"/>
      <c r="N47" s="6"/>
      <c r="O47" s="508"/>
      <c r="P47" s="509"/>
      <c r="Q47" s="6"/>
      <c r="R47" s="6"/>
      <c r="S47" s="527"/>
      <c r="T47" s="66"/>
      <c r="U47" s="470"/>
      <c r="V47" s="6"/>
      <c r="W47" s="6"/>
      <c r="X47" s="508"/>
      <c r="Y47" s="514"/>
      <c r="Z47" s="502"/>
      <c r="AA47" s="502"/>
      <c r="AB47" s="527"/>
      <c r="AC47" s="66"/>
      <c r="AD47" s="470"/>
      <c r="AE47" s="6"/>
      <c r="AF47" s="6"/>
      <c r="AG47" s="508"/>
      <c r="AH47" s="469"/>
      <c r="AI47" s="515"/>
      <c r="AJ47" s="579"/>
      <c r="AK47" s="508"/>
      <c r="AM47" s="470"/>
      <c r="AN47" s="6"/>
      <c r="AO47" s="6"/>
      <c r="AP47" s="508"/>
      <c r="AQ47" s="509"/>
      <c r="AR47" s="515"/>
      <c r="AS47" s="6"/>
      <c r="AT47" s="508"/>
    </row>
    <row r="48" spans="1:46" ht="34.950000000000003" customHeight="1" x14ac:dyDescent="0.35">
      <c r="A48" s="1477"/>
      <c r="B48" s="472">
        <v>2</v>
      </c>
      <c r="C48" s="494"/>
      <c r="D48" s="494"/>
      <c r="E48" s="494"/>
      <c r="F48" s="495"/>
      <c r="G48" s="515"/>
      <c r="H48" s="515"/>
      <c r="I48" s="573"/>
      <c r="J48" s="527"/>
      <c r="K48" s="66"/>
      <c r="L48" s="470"/>
      <c r="M48" s="6"/>
      <c r="N48" s="6"/>
      <c r="O48" s="495"/>
      <c r="P48" s="515"/>
      <c r="Q48" s="515"/>
      <c r="R48" s="573"/>
      <c r="S48" s="527"/>
      <c r="T48" s="66"/>
      <c r="U48" s="470"/>
      <c r="V48" s="6"/>
      <c r="W48" s="6">
        <v>10</v>
      </c>
      <c r="X48" s="495"/>
      <c r="Y48" s="515"/>
      <c r="Z48" s="515"/>
      <c r="AA48" s="573" t="s">
        <v>152</v>
      </c>
      <c r="AB48" s="527"/>
      <c r="AC48" s="66"/>
      <c r="AD48" s="470"/>
      <c r="AE48" s="6"/>
      <c r="AF48" s="6"/>
      <c r="AG48" s="495"/>
      <c r="AH48" s="469"/>
      <c r="AI48" s="515"/>
      <c r="AJ48" s="573"/>
      <c r="AK48" s="527"/>
      <c r="AM48" s="470"/>
      <c r="AN48" s="6"/>
      <c r="AO48" s="470"/>
      <c r="AP48" s="6"/>
      <c r="AQ48" s="495"/>
      <c r="AR48" s="515"/>
      <c r="AS48" s="502"/>
      <c r="AT48" s="508"/>
    </row>
    <row r="49" spans="1:46" ht="43.2" customHeight="1" x14ac:dyDescent="0.35">
      <c r="A49" s="1478">
        <v>45620</v>
      </c>
      <c r="B49" s="472">
        <v>1</v>
      </c>
      <c r="C49" s="494"/>
      <c r="D49" s="494"/>
      <c r="E49" s="494"/>
      <c r="F49" s="495"/>
      <c r="G49" s="515"/>
      <c r="H49" s="514"/>
      <c r="I49" s="573"/>
      <c r="J49" s="527"/>
      <c r="K49" s="66"/>
      <c r="L49" s="470"/>
      <c r="M49" s="6"/>
      <c r="N49" s="6"/>
      <c r="O49" s="495"/>
      <c r="P49" s="515"/>
      <c r="Q49" s="514"/>
      <c r="R49" s="573"/>
      <c r="S49" s="527"/>
      <c r="T49" s="66"/>
      <c r="U49" s="470"/>
      <c r="V49" s="6"/>
      <c r="W49" s="6"/>
      <c r="X49" s="495"/>
      <c r="Y49" s="515"/>
      <c r="Z49" s="502"/>
      <c r="AA49" s="502"/>
      <c r="AB49" s="527"/>
      <c r="AC49" s="66"/>
      <c r="AD49" s="470"/>
      <c r="AE49" s="6"/>
      <c r="AF49" s="6"/>
      <c r="AG49" s="495"/>
      <c r="AH49" s="469"/>
      <c r="AI49" s="514"/>
      <c r="AJ49" s="573"/>
      <c r="AK49" s="527"/>
      <c r="AM49" s="470"/>
      <c r="AN49" s="6"/>
      <c r="AO49" s="6">
        <v>73</v>
      </c>
      <c r="AP49" s="515"/>
      <c r="AQ49" s="514"/>
      <c r="AR49" s="573"/>
      <c r="AS49" s="527" t="s">
        <v>152</v>
      </c>
      <c r="AT49" s="527"/>
    </row>
    <row r="50" spans="1:46" ht="51.65" customHeight="1" x14ac:dyDescent="0.35">
      <c r="A50" s="1477"/>
      <c r="B50" s="472">
        <v>2</v>
      </c>
      <c r="C50" s="494"/>
      <c r="D50" s="494"/>
      <c r="E50" s="494"/>
      <c r="F50" s="495"/>
      <c r="G50" s="514"/>
      <c r="H50" s="514"/>
      <c r="I50" s="573"/>
      <c r="J50" s="527"/>
      <c r="K50" s="66"/>
      <c r="L50" s="470"/>
      <c r="M50" s="6"/>
      <c r="N50" s="6"/>
      <c r="O50" s="495"/>
      <c r="P50" s="514"/>
      <c r="Q50" s="514"/>
      <c r="R50" s="573"/>
      <c r="S50" s="527"/>
      <c r="T50" s="66"/>
      <c r="U50" s="470"/>
      <c r="V50" s="6"/>
      <c r="W50" s="6">
        <v>42</v>
      </c>
      <c r="X50" s="495"/>
      <c r="Y50" s="514"/>
      <c r="Z50" s="514"/>
      <c r="AA50" s="573" t="s">
        <v>152</v>
      </c>
      <c r="AB50" s="527"/>
      <c r="AC50" s="66"/>
      <c r="AD50" s="470"/>
      <c r="AE50" s="6"/>
      <c r="AF50" s="6"/>
      <c r="AG50" s="495"/>
      <c r="AH50" s="469"/>
      <c r="AI50" s="514"/>
      <c r="AJ50" s="573"/>
      <c r="AK50" s="527"/>
      <c r="AM50" s="470"/>
      <c r="AN50" s="6"/>
      <c r="AO50" s="6">
        <v>10</v>
      </c>
      <c r="AP50" s="514"/>
      <c r="AQ50" s="514"/>
      <c r="AR50" s="573"/>
      <c r="AS50" s="527" t="s">
        <v>152</v>
      </c>
      <c r="AT50" s="527"/>
    </row>
    <row r="51" spans="1:46" ht="34.950000000000003" customHeight="1" x14ac:dyDescent="0.35">
      <c r="A51" s="1478">
        <v>45621</v>
      </c>
      <c r="B51" s="472">
        <v>1</v>
      </c>
      <c r="C51" s="494"/>
      <c r="D51" s="494"/>
      <c r="E51" s="494"/>
      <c r="F51" s="495"/>
      <c r="G51" s="514"/>
      <c r="H51" s="514"/>
      <c r="I51" s="573"/>
      <c r="J51" s="527"/>
      <c r="K51" s="66"/>
      <c r="L51" s="470"/>
      <c r="M51" s="6"/>
      <c r="N51" s="6"/>
      <c r="O51" s="495"/>
      <c r="P51" s="514"/>
      <c r="Q51" s="514"/>
      <c r="R51" s="573"/>
      <c r="S51" s="527"/>
      <c r="T51" s="66"/>
      <c r="U51" s="470"/>
      <c r="V51" s="6"/>
      <c r="W51" s="6">
        <v>20</v>
      </c>
      <c r="X51" s="495"/>
      <c r="Y51" s="514"/>
      <c r="Z51" s="514"/>
      <c r="AA51" s="573" t="s">
        <v>152</v>
      </c>
      <c r="AB51" s="527"/>
      <c r="AC51" s="66"/>
      <c r="AD51" s="470"/>
      <c r="AE51" s="6"/>
      <c r="AF51" s="6"/>
      <c r="AG51" s="495"/>
      <c r="AH51" s="514"/>
      <c r="AI51" s="514"/>
      <c r="AJ51" s="573"/>
      <c r="AK51" s="527"/>
      <c r="AM51" s="470"/>
      <c r="AN51" s="6"/>
      <c r="AO51" s="6"/>
      <c r="AP51" s="514"/>
      <c r="AQ51" s="514"/>
      <c r="AR51" s="573"/>
      <c r="AS51" s="527"/>
      <c r="AT51" s="527"/>
    </row>
    <row r="52" spans="1:46" ht="49.2" customHeight="1" x14ac:dyDescent="0.35">
      <c r="A52" s="1477"/>
      <c r="B52" s="472">
        <v>2</v>
      </c>
      <c r="C52" s="494"/>
      <c r="D52" s="494"/>
      <c r="E52" s="494"/>
      <c r="F52" s="495"/>
      <c r="G52" s="515"/>
      <c r="H52" s="515"/>
      <c r="I52" s="573"/>
      <c r="J52" s="527"/>
      <c r="K52" s="66"/>
      <c r="L52" s="470"/>
      <c r="M52" s="6"/>
      <c r="N52" s="6"/>
      <c r="O52" s="495"/>
      <c r="P52" s="515"/>
      <c r="Q52" s="515"/>
      <c r="R52" s="573"/>
      <c r="S52" s="527"/>
      <c r="T52" s="66"/>
      <c r="U52" s="470"/>
      <c r="V52" s="6"/>
      <c r="W52" s="6">
        <v>26</v>
      </c>
      <c r="X52" s="495"/>
      <c r="Y52" s="515"/>
      <c r="Z52" s="515"/>
      <c r="AA52" s="573" t="s">
        <v>152</v>
      </c>
      <c r="AB52" s="527"/>
      <c r="AC52" s="66"/>
      <c r="AD52" s="470"/>
      <c r="AE52" s="6"/>
      <c r="AF52" s="6"/>
      <c r="AG52" s="495"/>
      <c r="AH52" s="515"/>
      <c r="AI52" s="515"/>
      <c r="AJ52" s="573"/>
      <c r="AK52" s="527"/>
      <c r="AM52" s="470"/>
      <c r="AN52" s="508"/>
      <c r="AO52" s="508"/>
      <c r="AP52" s="508"/>
      <c r="AQ52" s="509"/>
      <c r="AR52" s="6"/>
      <c r="AS52" s="527"/>
      <c r="AT52" s="527"/>
    </row>
    <row r="53" spans="1:46" ht="48" customHeight="1" x14ac:dyDescent="0.35">
      <c r="A53" s="1478">
        <v>45622</v>
      </c>
      <c r="B53" s="472">
        <v>1</v>
      </c>
      <c r="C53" s="494"/>
      <c r="D53" s="494"/>
      <c r="E53" s="494"/>
      <c r="F53" s="495"/>
      <c r="G53" s="514"/>
      <c r="H53" s="514"/>
      <c r="I53" s="641"/>
      <c r="J53" s="527"/>
      <c r="K53" s="66"/>
      <c r="L53" s="470"/>
      <c r="M53" s="6">
        <v>191</v>
      </c>
      <c r="N53" s="6"/>
      <c r="O53" s="508"/>
      <c r="P53" s="469"/>
      <c r="Q53" s="515" t="s">
        <v>366</v>
      </c>
      <c r="R53" s="6"/>
      <c r="S53" s="527"/>
      <c r="T53" s="66"/>
      <c r="U53" s="470"/>
      <c r="V53" s="6"/>
      <c r="W53" s="6"/>
      <c r="X53" s="508"/>
      <c r="Y53" s="469"/>
      <c r="Z53" s="6"/>
      <c r="AA53" s="502"/>
      <c r="AB53" s="508"/>
      <c r="AC53" s="66"/>
      <c r="AD53" s="470"/>
      <c r="AE53" s="502"/>
      <c r="AF53" s="6"/>
      <c r="AG53" s="508"/>
      <c r="AH53" s="509"/>
      <c r="AI53" s="6"/>
      <c r="AJ53" s="502"/>
      <c r="AK53" s="508"/>
      <c r="AM53" s="470"/>
      <c r="AN53" s="502"/>
      <c r="AO53" s="6"/>
      <c r="AP53" s="508"/>
      <c r="AQ53" s="469"/>
      <c r="AR53" s="6"/>
      <c r="AS53" s="6"/>
      <c r="AT53" s="508"/>
    </row>
    <row r="54" spans="1:46" ht="45.65" customHeight="1" x14ac:dyDescent="0.35">
      <c r="A54" s="1477"/>
      <c r="B54" s="500">
        <v>2</v>
      </c>
      <c r="C54" s="494"/>
      <c r="D54" s="494"/>
      <c r="E54" s="494"/>
      <c r="F54" s="495"/>
      <c r="G54" s="514"/>
      <c r="H54" s="515"/>
      <c r="I54" s="573"/>
      <c r="J54" s="527"/>
      <c r="K54" s="66"/>
      <c r="L54" s="470"/>
      <c r="M54" s="6"/>
      <c r="N54" s="6"/>
      <c r="O54" s="495"/>
      <c r="P54" s="514"/>
      <c r="Q54" s="515"/>
      <c r="R54" s="514"/>
      <c r="S54" s="527"/>
      <c r="T54" s="66"/>
      <c r="U54" s="470"/>
      <c r="V54" s="6"/>
      <c r="W54" s="6"/>
      <c r="X54" s="495"/>
      <c r="Y54" s="515"/>
      <c r="Z54" s="515"/>
      <c r="AA54" s="515"/>
      <c r="AB54" s="527"/>
      <c r="AC54" s="66"/>
      <c r="AD54" s="470"/>
      <c r="AE54" s="6"/>
      <c r="AF54" s="6"/>
      <c r="AG54" s="508"/>
      <c r="AH54" s="509"/>
      <c r="AI54" s="515"/>
      <c r="AJ54" s="6"/>
      <c r="AK54" s="527"/>
      <c r="AM54" s="470"/>
      <c r="AN54" s="6"/>
      <c r="AO54" s="6"/>
      <c r="AP54" s="495"/>
      <c r="AQ54" s="469"/>
      <c r="AR54" s="515"/>
      <c r="AS54" s="527"/>
      <c r="AT54" s="527"/>
    </row>
    <row r="55" spans="1:46" ht="39.65" customHeight="1" x14ac:dyDescent="0.35">
      <c r="A55" s="1478">
        <v>45623</v>
      </c>
      <c r="B55" s="472">
        <v>1</v>
      </c>
      <c r="C55" s="493"/>
      <c r="D55" s="494"/>
      <c r="E55" s="494"/>
      <c r="F55" s="495"/>
      <c r="G55" s="514"/>
      <c r="H55" s="514"/>
      <c r="I55" s="641"/>
      <c r="J55" s="508"/>
      <c r="K55" s="66"/>
      <c r="L55" s="470"/>
      <c r="M55" s="6"/>
      <c r="N55" s="6"/>
      <c r="O55" s="508"/>
      <c r="P55" s="509"/>
      <c r="Q55" s="515"/>
      <c r="R55" s="6"/>
      <c r="S55" s="508"/>
      <c r="T55" s="66"/>
      <c r="U55" s="470"/>
      <c r="V55" s="6"/>
      <c r="W55" s="6"/>
      <c r="X55" s="508"/>
      <c r="Y55" s="509"/>
      <c r="Z55" s="514"/>
      <c r="AA55" s="579"/>
      <c r="AB55" s="508"/>
      <c r="AC55" s="66"/>
      <c r="AD55" s="470"/>
      <c r="AE55" s="6"/>
      <c r="AF55" s="6"/>
      <c r="AG55" s="508"/>
      <c r="AH55" s="509"/>
      <c r="AI55" s="515"/>
      <c r="AJ55" s="502"/>
      <c r="AK55" s="508"/>
      <c r="AM55" s="470"/>
      <c r="AN55" s="6"/>
      <c r="AO55" s="6"/>
      <c r="AP55" s="508"/>
      <c r="AQ55" s="509"/>
      <c r="AR55" s="502"/>
      <c r="AS55" s="527"/>
      <c r="AT55" s="508"/>
    </row>
    <row r="56" spans="1:46" ht="94.2" customHeight="1" x14ac:dyDescent="0.35">
      <c r="A56" s="1477"/>
      <c r="B56" s="500">
        <v>2</v>
      </c>
      <c r="C56" s="493"/>
      <c r="D56" s="494"/>
      <c r="E56" s="494"/>
      <c r="F56" s="495"/>
      <c r="G56" s="515"/>
      <c r="H56" s="515"/>
      <c r="I56" s="641"/>
      <c r="J56" s="527"/>
      <c r="K56" s="66"/>
      <c r="L56" s="470"/>
      <c r="M56" s="6"/>
      <c r="N56" s="6"/>
      <c r="O56" s="495"/>
      <c r="P56" s="515"/>
      <c r="Q56" s="514"/>
      <c r="R56" s="515"/>
      <c r="S56" s="527"/>
      <c r="T56" s="66"/>
      <c r="U56" s="470"/>
      <c r="V56" s="6"/>
      <c r="W56" s="6"/>
      <c r="X56" s="495"/>
      <c r="Y56" s="469"/>
      <c r="Z56" s="514"/>
      <c r="AA56" s="502"/>
      <c r="AB56" s="527"/>
      <c r="AC56" s="66"/>
      <c r="AD56" s="470"/>
      <c r="AE56" s="6"/>
      <c r="AF56" s="6"/>
      <c r="AG56" s="495"/>
      <c r="AH56" s="515"/>
      <c r="AI56" s="514"/>
      <c r="AJ56" s="515"/>
      <c r="AK56" s="527"/>
      <c r="AM56" s="470"/>
      <c r="AN56" s="6"/>
      <c r="AO56" s="6"/>
      <c r="AP56" s="495"/>
      <c r="AQ56" s="515"/>
      <c r="AR56" s="502"/>
      <c r="AS56" s="6"/>
      <c r="AT56" s="527"/>
    </row>
    <row r="57" spans="1:46" ht="52.2" customHeight="1" x14ac:dyDescent="0.35">
      <c r="A57" s="1478">
        <v>45624</v>
      </c>
      <c r="B57" s="472">
        <v>1</v>
      </c>
      <c r="C57" s="493"/>
      <c r="D57" s="494"/>
      <c r="E57" s="494"/>
      <c r="F57" s="495"/>
      <c r="G57" s="515"/>
      <c r="H57" s="515"/>
      <c r="I57" s="573"/>
      <c r="J57" s="527"/>
      <c r="K57" s="66"/>
      <c r="L57" s="470"/>
      <c r="M57" s="6"/>
      <c r="N57" s="6"/>
      <c r="O57" s="495"/>
      <c r="P57" s="515"/>
      <c r="Q57" s="514"/>
      <c r="R57" s="515"/>
      <c r="S57" s="527"/>
      <c r="T57" s="66"/>
      <c r="U57" s="470"/>
      <c r="V57" s="6"/>
      <c r="W57" s="6"/>
      <c r="X57" s="495"/>
      <c r="Y57" s="515"/>
      <c r="Z57" s="514"/>
      <c r="AA57" s="502"/>
      <c r="AB57" s="527"/>
      <c r="AC57" s="66"/>
      <c r="AD57" s="470"/>
      <c r="AE57" s="6"/>
      <c r="AF57" s="6"/>
      <c r="AG57" s="495"/>
      <c r="AH57" s="515"/>
      <c r="AI57" s="514"/>
      <c r="AJ57" s="515"/>
      <c r="AK57" s="527"/>
      <c r="AM57" s="470"/>
      <c r="AN57" s="6"/>
      <c r="AO57" s="6"/>
      <c r="AP57" s="495"/>
      <c r="AQ57" s="515"/>
      <c r="AR57" s="514"/>
      <c r="AS57" s="6"/>
      <c r="AT57" s="527"/>
    </row>
    <row r="58" spans="1:46" ht="78" customHeight="1" x14ac:dyDescent="0.35">
      <c r="A58" s="1477"/>
      <c r="B58" s="500">
        <v>2</v>
      </c>
      <c r="C58" s="493"/>
      <c r="D58" s="494"/>
      <c r="E58" s="494"/>
      <c r="F58" s="495"/>
      <c r="G58" s="515"/>
      <c r="H58" s="515"/>
      <c r="I58" s="641"/>
      <c r="J58" s="527"/>
      <c r="K58" s="66"/>
      <c r="L58" s="470"/>
      <c r="M58" s="6"/>
      <c r="N58" s="6"/>
      <c r="O58" s="495"/>
      <c r="P58" s="515"/>
      <c r="Q58" s="514"/>
      <c r="R58" s="515"/>
      <c r="S58" s="527"/>
      <c r="T58" s="66"/>
      <c r="U58" s="470"/>
      <c r="V58" s="6">
        <v>89</v>
      </c>
      <c r="W58" s="6">
        <v>28</v>
      </c>
      <c r="X58" s="495"/>
      <c r="Y58" s="515"/>
      <c r="Z58" s="514" t="s">
        <v>366</v>
      </c>
      <c r="AA58" s="502" t="s">
        <v>152</v>
      </c>
      <c r="AB58" s="527"/>
      <c r="AC58" s="66"/>
      <c r="AD58" s="470"/>
      <c r="AE58" s="6"/>
      <c r="AF58" s="6"/>
      <c r="AG58" s="495"/>
      <c r="AH58" s="515"/>
      <c r="AI58" s="514"/>
      <c r="AJ58" s="6"/>
      <c r="AK58" s="527"/>
      <c r="AM58" s="470"/>
      <c r="AN58" s="6"/>
      <c r="AO58" s="6"/>
      <c r="AP58" s="495"/>
      <c r="AQ58" s="515"/>
      <c r="AR58" s="514"/>
      <c r="AS58" s="6"/>
      <c r="AT58" s="527"/>
    </row>
    <row r="59" spans="1:46" ht="73.2" customHeight="1" x14ac:dyDescent="0.35">
      <c r="A59" s="1478">
        <v>45625</v>
      </c>
      <c r="B59" s="472">
        <v>1</v>
      </c>
      <c r="C59" s="493"/>
      <c r="D59" s="494"/>
      <c r="E59" s="494"/>
      <c r="F59" s="495"/>
      <c r="G59" s="515"/>
      <c r="H59" s="514"/>
      <c r="I59" s="641"/>
      <c r="J59" s="527"/>
      <c r="K59" s="66"/>
      <c r="L59" s="470"/>
      <c r="M59" s="6"/>
      <c r="N59" s="6"/>
      <c r="O59" s="508"/>
      <c r="P59" s="509"/>
      <c r="Q59" s="502"/>
      <c r="R59" s="6"/>
      <c r="S59" s="527"/>
      <c r="T59" s="66"/>
      <c r="U59" s="470"/>
      <c r="V59" s="6"/>
      <c r="W59" s="6"/>
      <c r="X59" s="508"/>
      <c r="Y59" s="509"/>
      <c r="Z59" s="514"/>
      <c r="AA59" s="579"/>
      <c r="AB59" s="527"/>
      <c r="AC59" s="66"/>
      <c r="AD59" s="470"/>
      <c r="AE59" s="6"/>
      <c r="AF59" s="6"/>
      <c r="AG59" s="508"/>
      <c r="AH59" s="469"/>
      <c r="AI59" s="6"/>
      <c r="AJ59" s="515"/>
      <c r="AK59" s="527"/>
      <c r="AM59" s="470"/>
      <c r="AN59" s="6"/>
      <c r="AO59" s="6"/>
      <c r="AP59" s="508"/>
      <c r="AQ59" s="469"/>
      <c r="AR59" s="6"/>
      <c r="AS59" s="515"/>
      <c r="AT59" s="527"/>
    </row>
    <row r="60" spans="1:46" ht="36" customHeight="1" x14ac:dyDescent="0.35">
      <c r="A60" s="1477"/>
      <c r="B60" s="500">
        <v>2</v>
      </c>
      <c r="C60" s="493"/>
      <c r="D60" s="494"/>
      <c r="E60" s="494"/>
      <c r="F60" s="495"/>
      <c r="G60" s="514"/>
      <c r="H60" s="515"/>
      <c r="I60" s="641"/>
      <c r="J60" s="527"/>
      <c r="K60" s="66"/>
      <c r="L60" s="470"/>
      <c r="M60" s="6"/>
      <c r="N60" s="6"/>
      <c r="O60" s="508"/>
      <c r="P60" s="509"/>
      <c r="Q60" s="515"/>
      <c r="R60" s="6"/>
      <c r="S60" s="527"/>
      <c r="T60" s="66"/>
      <c r="U60" s="470"/>
      <c r="V60" s="6"/>
      <c r="W60" s="6"/>
      <c r="X60" s="508"/>
      <c r="Y60" s="469"/>
      <c r="Z60" s="515"/>
      <c r="AA60" s="502"/>
      <c r="AB60" s="527"/>
      <c r="AC60" s="66"/>
      <c r="AD60" s="470"/>
      <c r="AE60" s="6"/>
      <c r="AF60" s="6"/>
      <c r="AG60" s="508"/>
      <c r="AH60" s="509"/>
      <c r="AI60" s="515"/>
      <c r="AJ60" s="502"/>
      <c r="AK60" s="527"/>
      <c r="AM60" s="470"/>
      <c r="AN60" s="6"/>
      <c r="AO60" s="6">
        <v>47</v>
      </c>
      <c r="AP60" s="508"/>
      <c r="AQ60" s="509"/>
      <c r="AR60" s="515"/>
      <c r="AS60" s="502" t="s">
        <v>152</v>
      </c>
      <c r="AT60" s="527"/>
    </row>
    <row r="61" spans="1:46" ht="32.5" customHeight="1" x14ac:dyDescent="0.35">
      <c r="A61" s="1478">
        <v>45626</v>
      </c>
      <c r="B61" s="472">
        <v>1</v>
      </c>
      <c r="C61" s="618"/>
      <c r="D61" s="619"/>
      <c r="E61" s="494"/>
      <c r="F61" s="620"/>
      <c r="G61" s="514"/>
      <c r="H61" s="576"/>
      <c r="I61" s="573"/>
      <c r="J61" s="568"/>
      <c r="K61" s="66"/>
      <c r="L61" s="470"/>
      <c r="M61" s="6"/>
      <c r="N61" s="6"/>
      <c r="O61" s="508"/>
      <c r="P61" s="623"/>
      <c r="Q61" s="524"/>
      <c r="R61" s="524"/>
      <c r="S61" s="624"/>
      <c r="T61" s="66"/>
      <c r="U61" s="470"/>
      <c r="V61" s="6"/>
      <c r="W61" s="6"/>
      <c r="X61" s="508"/>
      <c r="Y61" s="469"/>
      <c r="Z61" s="502"/>
      <c r="AA61" s="502"/>
      <c r="AB61" s="624"/>
      <c r="AC61" s="66"/>
      <c r="AD61" s="470"/>
      <c r="AE61" s="6"/>
      <c r="AF61" s="6"/>
      <c r="AG61" s="508"/>
      <c r="AH61" s="509"/>
      <c r="AI61" s="502"/>
      <c r="AJ61" s="502"/>
      <c r="AK61" s="624"/>
      <c r="AM61" s="470"/>
      <c r="AN61" s="6"/>
      <c r="AO61" s="6">
        <v>40</v>
      </c>
      <c r="AP61" s="508"/>
      <c r="AQ61" s="469"/>
      <c r="AR61" s="6"/>
      <c r="AS61" s="502" t="s">
        <v>993</v>
      </c>
      <c r="AT61" s="624"/>
    </row>
    <row r="62" spans="1:46" ht="62.5" customHeight="1" x14ac:dyDescent="0.35">
      <c r="A62" s="1477"/>
      <c r="B62" s="500">
        <v>2</v>
      </c>
      <c r="C62" s="618"/>
      <c r="D62" s="619"/>
      <c r="E62" s="619"/>
      <c r="F62" s="620"/>
      <c r="G62" s="617"/>
      <c r="H62" s="576"/>
      <c r="I62" s="641"/>
      <c r="J62" s="568"/>
      <c r="K62" s="66"/>
      <c r="L62" s="470"/>
      <c r="M62" s="6"/>
      <c r="N62" s="6"/>
      <c r="O62" s="508"/>
      <c r="P62" s="623"/>
      <c r="Q62" s="665"/>
      <c r="R62" s="524"/>
      <c r="S62" s="624"/>
      <c r="T62" s="66"/>
      <c r="U62" s="470"/>
      <c r="V62" s="6"/>
      <c r="W62" s="6"/>
      <c r="X62" s="508"/>
      <c r="Y62" s="469"/>
      <c r="Z62" s="502"/>
      <c r="AA62" s="579"/>
      <c r="AB62" s="624"/>
      <c r="AC62" s="66"/>
      <c r="AD62" s="470"/>
      <c r="AE62" s="6"/>
      <c r="AF62" s="6"/>
      <c r="AG62" s="508"/>
      <c r="AH62" s="1491"/>
      <c r="AI62" s="1492"/>
      <c r="AJ62" s="1493"/>
      <c r="AK62" s="624"/>
      <c r="AM62" s="470"/>
      <c r="AN62" s="6"/>
      <c r="AO62" s="6"/>
      <c r="AP62" s="508"/>
      <c r="AQ62" s="509"/>
      <c r="AR62" s="6"/>
      <c r="AS62" s="502"/>
      <c r="AT62" s="624"/>
    </row>
    <row r="63" spans="1:46" ht="64.2" hidden="1" customHeight="1" x14ac:dyDescent="0.35">
      <c r="A63" s="1478">
        <v>45596</v>
      </c>
      <c r="B63" s="472">
        <v>1</v>
      </c>
      <c r="C63" s="587"/>
      <c r="D63" s="588"/>
      <c r="E63" s="588"/>
      <c r="F63" s="589"/>
      <c r="G63" s="598"/>
      <c r="H63" s="590"/>
      <c r="I63" s="641"/>
      <c r="J63" s="568"/>
      <c r="K63" s="66"/>
      <c r="L63" s="470"/>
      <c r="M63" s="6"/>
      <c r="N63" s="6"/>
      <c r="O63" s="495"/>
      <c r="P63" s="598"/>
      <c r="Q63" s="590"/>
      <c r="R63" s="590"/>
      <c r="S63" s="599"/>
      <c r="T63" s="66"/>
      <c r="U63" s="470"/>
      <c r="V63" s="6"/>
      <c r="W63" s="6"/>
      <c r="X63" s="495"/>
      <c r="Y63" s="566"/>
      <c r="Z63" s="514"/>
      <c r="AA63" s="579"/>
      <c r="AB63" s="563"/>
      <c r="AC63" s="66"/>
      <c r="AD63" s="470"/>
      <c r="AE63" s="6"/>
      <c r="AF63" s="6"/>
      <c r="AG63" s="495"/>
      <c r="AH63" s="566"/>
      <c r="AI63" s="514"/>
      <c r="AJ63" s="6"/>
      <c r="AK63" s="586"/>
      <c r="AM63" s="470"/>
      <c r="AN63" s="6"/>
      <c r="AO63" s="6"/>
      <c r="AP63" s="495"/>
      <c r="AQ63" s="566"/>
      <c r="AR63" s="514"/>
      <c r="AS63" s="514"/>
      <c r="AT63" s="586"/>
    </row>
    <row r="64" spans="1:46" ht="62.5" hidden="1" customHeight="1" x14ac:dyDescent="0.35">
      <c r="A64" s="1477"/>
      <c r="B64" s="592">
        <v>2</v>
      </c>
      <c r="C64" s="610"/>
      <c r="D64" s="611"/>
      <c r="E64" s="611"/>
      <c r="F64" s="612"/>
      <c r="G64" s="613"/>
      <c r="H64" s="614"/>
      <c r="I64" s="615"/>
      <c r="J64" s="616"/>
      <c r="K64" s="66"/>
      <c r="L64" s="531"/>
      <c r="M64" s="530"/>
      <c r="N64" s="530"/>
      <c r="O64" s="528"/>
      <c r="P64" s="595"/>
      <c r="Q64" s="596"/>
      <c r="R64" s="596"/>
      <c r="S64" s="597"/>
      <c r="T64" s="66"/>
      <c r="U64" s="531"/>
      <c r="V64" s="530"/>
      <c r="W64" s="530"/>
      <c r="X64" s="528"/>
      <c r="Y64" s="529"/>
      <c r="Z64" s="530"/>
      <c r="AA64" s="579"/>
      <c r="AB64" s="593"/>
      <c r="AC64" s="66"/>
      <c r="AD64" s="531"/>
      <c r="AE64" s="530"/>
      <c r="AF64" s="530"/>
      <c r="AG64" s="528"/>
      <c r="AH64" s="529"/>
      <c r="AI64" s="530"/>
      <c r="AJ64" s="530"/>
      <c r="AK64" s="594"/>
      <c r="AM64" s="531"/>
      <c r="AN64" s="530"/>
      <c r="AO64" s="530"/>
      <c r="AP64" s="528"/>
      <c r="AQ64" s="529"/>
      <c r="AR64" s="530"/>
      <c r="AS64" s="530"/>
      <c r="AT64" s="594"/>
    </row>
    <row r="65" spans="1:42" x14ac:dyDescent="0.35">
      <c r="A65" s="423" t="s">
        <v>225</v>
      </c>
      <c r="C65" s="631">
        <f>SUM(C3:C64)</f>
        <v>535</v>
      </c>
      <c r="D65" s="65">
        <f>SUM(D3:D64)</f>
        <v>120</v>
      </c>
      <c r="E65" s="631">
        <f>SUM(E3:E64)</f>
        <v>68</v>
      </c>
      <c r="F65" s="65">
        <f>SUM(F3:F64)</f>
        <v>1329</v>
      </c>
      <c r="L65" s="65">
        <f>SUM(L3:L64)</f>
        <v>0</v>
      </c>
      <c r="M65" s="65">
        <f>SUM(M3:M64)</f>
        <v>372</v>
      </c>
      <c r="N65" s="65">
        <f>SUM(N3:N64)</f>
        <v>0</v>
      </c>
      <c r="O65" s="65">
        <f>SUM(O3:O64)</f>
        <v>1793</v>
      </c>
      <c r="U65" s="65">
        <f>SUM(U3:U64)</f>
        <v>538</v>
      </c>
      <c r="V65" s="65">
        <f>SUM(V3:V64)</f>
        <v>104</v>
      </c>
      <c r="W65" s="65">
        <f>SUM(W3:W64)</f>
        <v>931</v>
      </c>
      <c r="X65" s="65">
        <f>SUM(X3:X64)</f>
        <v>1824</v>
      </c>
      <c r="AD65" s="65">
        <f>SUM(AD3:AD64)</f>
        <v>0</v>
      </c>
      <c r="AE65" s="65">
        <f>SUM(AE3:AE64)</f>
        <v>0</v>
      </c>
      <c r="AF65" s="65">
        <f>SUM(AF3:AF64)</f>
        <v>34</v>
      </c>
      <c r="AG65" s="65">
        <f>SUM(AG3:AG64)</f>
        <v>1805</v>
      </c>
      <c r="AM65" s="65">
        <f>SUM(AM3:AM64)</f>
        <v>4088</v>
      </c>
      <c r="AN65" s="65">
        <f>SUM(AN3:AN64)</f>
        <v>0</v>
      </c>
      <c r="AO65" s="65">
        <f>SUM(AO3:AO64)</f>
        <v>222</v>
      </c>
      <c r="AP65" s="65">
        <f>SUM(AP3:AP64)</f>
        <v>2206</v>
      </c>
    </row>
    <row r="73" spans="1:42" ht="14.6" thickBot="1" x14ac:dyDescent="0.4"/>
    <row r="74" spans="1:42" ht="18.45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2" ht="18.45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2" ht="18" x14ac:dyDescent="0.4">
      <c r="B76" s="541" t="s">
        <v>218</v>
      </c>
      <c r="C76" s="542">
        <f>C65</f>
        <v>535</v>
      </c>
      <c r="D76" s="543">
        <f>C76/60</f>
        <v>8.9166666666666661</v>
      </c>
      <c r="E76" s="542">
        <f>D65</f>
        <v>120</v>
      </c>
      <c r="F76" s="544">
        <f>E76/60</f>
        <v>2</v>
      </c>
      <c r="G76" s="542">
        <f>E65</f>
        <v>68</v>
      </c>
      <c r="H76" s="543">
        <f>G76/60</f>
        <v>1.1333333333333333</v>
      </c>
      <c r="I76" s="542">
        <f>F65</f>
        <v>1329</v>
      </c>
      <c r="J76" s="543">
        <f>I76/60</f>
        <v>22.15</v>
      </c>
    </row>
    <row r="77" spans="1:42" ht="18" x14ac:dyDescent="0.4">
      <c r="B77" s="541" t="s">
        <v>219</v>
      </c>
      <c r="C77" s="545">
        <f>L65</f>
        <v>0</v>
      </c>
      <c r="D77" s="546">
        <f>C77/60</f>
        <v>0</v>
      </c>
      <c r="E77" s="545">
        <f>M65</f>
        <v>372</v>
      </c>
      <c r="F77" s="547">
        <f>E77/60</f>
        <v>6.2</v>
      </c>
      <c r="G77" s="545">
        <f>N65</f>
        <v>0</v>
      </c>
      <c r="H77" s="546">
        <f>G77/60</f>
        <v>0</v>
      </c>
      <c r="I77" s="545">
        <f>O65</f>
        <v>1793</v>
      </c>
      <c r="J77" s="546">
        <f>I77/60</f>
        <v>29.883333333333333</v>
      </c>
    </row>
    <row r="78" spans="1:42" ht="18" x14ac:dyDescent="0.4">
      <c r="B78" s="541" t="s">
        <v>220</v>
      </c>
      <c r="C78" s="545">
        <f>U65</f>
        <v>538</v>
      </c>
      <c r="D78" s="546">
        <f>C78/60</f>
        <v>8.9666666666666668</v>
      </c>
      <c r="E78" s="545">
        <f>V65</f>
        <v>104</v>
      </c>
      <c r="F78" s="547">
        <f>E78/60</f>
        <v>1.7333333333333334</v>
      </c>
      <c r="G78" s="545">
        <f>W65</f>
        <v>931</v>
      </c>
      <c r="H78" s="546">
        <f>G78/60</f>
        <v>15.516666666666667</v>
      </c>
      <c r="I78" s="545">
        <f>X65</f>
        <v>1824</v>
      </c>
      <c r="J78" s="546">
        <f>I78/60</f>
        <v>30.4</v>
      </c>
    </row>
    <row r="79" spans="1:42" ht="18.45" thickBot="1" x14ac:dyDescent="0.45">
      <c r="B79" s="541" t="s">
        <v>221</v>
      </c>
      <c r="C79" s="548">
        <f>AD65</f>
        <v>0</v>
      </c>
      <c r="D79" s="549">
        <f>C79/60</f>
        <v>0</v>
      </c>
      <c r="E79" s="548">
        <f>AE65</f>
        <v>0</v>
      </c>
      <c r="F79" s="550">
        <f>E79/60</f>
        <v>0</v>
      </c>
      <c r="G79" s="548">
        <f>AF65</f>
        <v>34</v>
      </c>
      <c r="H79" s="549">
        <f>G79/60</f>
        <v>0.56666666666666665</v>
      </c>
      <c r="I79" s="548">
        <f>AG65</f>
        <v>1805</v>
      </c>
      <c r="J79" s="549">
        <f>I79/60</f>
        <v>30.083333333333332</v>
      </c>
    </row>
    <row r="80" spans="1:42" ht="18.45" thickBot="1" x14ac:dyDescent="0.45">
      <c r="B80" s="541" t="s">
        <v>488</v>
      </c>
      <c r="C80" s="643">
        <f>AM65</f>
        <v>4088</v>
      </c>
      <c r="D80" s="642">
        <f>C80/60</f>
        <v>68.13333333333334</v>
      </c>
      <c r="E80" s="643">
        <f>AN65</f>
        <v>0</v>
      </c>
      <c r="F80" s="644">
        <f>E80/60</f>
        <v>0</v>
      </c>
      <c r="G80" s="643">
        <f>AO65</f>
        <v>222</v>
      </c>
      <c r="H80" s="642">
        <f>G80/60</f>
        <v>3.7</v>
      </c>
      <c r="I80" s="643">
        <f>AP65</f>
        <v>2206</v>
      </c>
      <c r="J80" s="642">
        <f>I80/60</f>
        <v>36.766666666666666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86.01666666666668</v>
      </c>
      <c r="E82" s="556"/>
      <c r="F82" s="557">
        <f>SUM(F76:F80)</f>
        <v>9.9333333333333336</v>
      </c>
      <c r="G82" s="556"/>
      <c r="H82" s="557">
        <f>SUM(H76:H80)</f>
        <v>20.916666666666668</v>
      </c>
      <c r="I82" s="556"/>
      <c r="J82" s="558">
        <f>AVERAGE(J76:J80)</f>
        <v>29.856666666666666</v>
      </c>
    </row>
  </sheetData>
  <mergeCells count="48">
    <mergeCell ref="AQ1:AT1"/>
    <mergeCell ref="A3:A4"/>
    <mergeCell ref="A5:A6"/>
    <mergeCell ref="C1:F1"/>
    <mergeCell ref="G1:J1"/>
    <mergeCell ref="L1:O1"/>
    <mergeCell ref="P1:S1"/>
    <mergeCell ref="U1:X1"/>
    <mergeCell ref="Y1:AB1"/>
    <mergeCell ref="AH14:AJ14"/>
    <mergeCell ref="A15:A16"/>
    <mergeCell ref="AD1:AG1"/>
    <mergeCell ref="AH1:AK1"/>
    <mergeCell ref="AM1:AP1"/>
    <mergeCell ref="A25:A26"/>
    <mergeCell ref="A7:A8"/>
    <mergeCell ref="A9:A10"/>
    <mergeCell ref="A11:A12"/>
    <mergeCell ref="A13:A14"/>
    <mergeCell ref="A17:A18"/>
    <mergeCell ref="AQ18:AS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51:A52"/>
    <mergeCell ref="A53:A54"/>
    <mergeCell ref="A55:A56"/>
    <mergeCell ref="A57:A58"/>
    <mergeCell ref="A59:A60"/>
    <mergeCell ref="AH62:AJ62"/>
    <mergeCell ref="A63:A64"/>
    <mergeCell ref="C74:D74"/>
    <mergeCell ref="E74:F74"/>
    <mergeCell ref="G74:H74"/>
    <mergeCell ref="I74:J74"/>
    <mergeCell ref="A61:A6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T83"/>
  <sheetViews>
    <sheetView zoomScale="55" zoomScaleNormal="55" workbookViewId="0">
      <pane xSplit="3" ySplit="2" topLeftCell="D24" activePane="bottomRight" state="frozen"/>
      <selection pane="topRight" activeCell="D1" sqref="D1"/>
      <selection pane="bottomLeft" activeCell="A3" sqref="A3"/>
      <selection pane="bottomRight" activeCell="J24" sqref="J24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3.152343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7.304687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3" style="423" customWidth="1"/>
    <col min="17" max="17" width="27.3046875" style="423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2.3828125" style="423" customWidth="1"/>
    <col min="28" max="28" width="27" style="423" customWidth="1"/>
    <col min="29" max="33" width="10.69140625" style="423" customWidth="1"/>
    <col min="34" max="34" width="31.3046875" style="423" customWidth="1"/>
    <col min="35" max="35" width="18.5351562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53515625" style="423" customWidth="1"/>
    <col min="45" max="45" width="28.30468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7" t="s">
        <v>199</v>
      </c>
      <c r="AR2" s="655" t="s">
        <v>200</v>
      </c>
      <c r="AS2" s="655" t="s">
        <v>201</v>
      </c>
      <c r="AT2" s="655" t="s">
        <v>204</v>
      </c>
    </row>
    <row r="3" spans="1:46" ht="78" customHeight="1" x14ac:dyDescent="0.45">
      <c r="A3" s="1351">
        <v>45627</v>
      </c>
      <c r="B3" s="676">
        <v>1</v>
      </c>
      <c r="C3" s="677"/>
      <c r="D3" s="678"/>
      <c r="E3" s="246"/>
      <c r="F3" s="679"/>
      <c r="G3" s="680"/>
      <c r="H3" s="681"/>
      <c r="I3" s="682"/>
      <c r="J3" s="683"/>
      <c r="K3" s="287"/>
      <c r="L3" s="684"/>
      <c r="M3" s="685"/>
      <c r="N3" s="685"/>
      <c r="O3" s="686"/>
      <c r="P3" s="687"/>
      <c r="Q3" s="688"/>
      <c r="R3" s="688"/>
      <c r="S3" s="686"/>
      <c r="T3" s="287"/>
      <c r="U3" s="684"/>
      <c r="V3" s="685"/>
      <c r="W3" s="246"/>
      <c r="X3" s="689"/>
      <c r="Y3" s="296"/>
      <c r="Z3" s="687"/>
      <c r="AA3" s="682"/>
      <c r="AB3" s="690"/>
      <c r="AC3" s="287"/>
      <c r="AD3" s="684"/>
      <c r="AE3" s="685"/>
      <c r="AF3" s="246"/>
      <c r="AG3" s="686"/>
      <c r="AH3" s="687"/>
      <c r="AI3" s="687"/>
      <c r="AJ3" s="245"/>
      <c r="AK3" s="686"/>
      <c r="AL3" s="255"/>
      <c r="AM3" s="684"/>
      <c r="AN3" s="685"/>
      <c r="AO3" s="246"/>
      <c r="AP3" s="686"/>
      <c r="AQ3" s="687"/>
      <c r="AR3" s="691"/>
      <c r="AS3" s="245"/>
      <c r="AT3" s="686"/>
    </row>
    <row r="4" spans="1:46" ht="69.75" customHeight="1" x14ac:dyDescent="0.45">
      <c r="A4" s="1352"/>
      <c r="B4" s="692">
        <v>2</v>
      </c>
      <c r="C4" s="693"/>
      <c r="D4" s="694"/>
      <c r="E4" s="694"/>
      <c r="F4" s="695"/>
      <c r="G4" s="696"/>
      <c r="H4" s="681"/>
      <c r="I4" s="697"/>
      <c r="J4" s="698"/>
      <c r="K4" s="287"/>
      <c r="L4" s="699"/>
      <c r="M4" s="246"/>
      <c r="N4" s="246"/>
      <c r="O4" s="689"/>
      <c r="P4" s="251"/>
      <c r="Q4" s="681"/>
      <c r="R4" s="226"/>
      <c r="S4" s="689"/>
      <c r="T4" s="287"/>
      <c r="U4" s="699">
        <v>40</v>
      </c>
      <c r="V4" s="245"/>
      <c r="W4" s="246">
        <v>11</v>
      </c>
      <c r="X4" s="689"/>
      <c r="Y4" s="696" t="s">
        <v>994</v>
      </c>
      <c r="Z4" s="682"/>
      <c r="AA4" s="682" t="s">
        <v>325</v>
      </c>
      <c r="AB4" s="700"/>
      <c r="AC4" s="287"/>
      <c r="AD4" s="699"/>
      <c r="AE4" s="246"/>
      <c r="AF4" s="246"/>
      <c r="AG4" s="689"/>
      <c r="AH4" s="251"/>
      <c r="AI4" s="682"/>
      <c r="AJ4" s="246"/>
      <c r="AK4" s="689"/>
      <c r="AL4" s="255"/>
      <c r="AM4" s="699"/>
      <c r="AN4" s="246"/>
      <c r="AO4" s="246">
        <v>10</v>
      </c>
      <c r="AP4" s="689"/>
      <c r="AQ4" s="251"/>
      <c r="AR4" s="682"/>
      <c r="AS4" s="246" t="s">
        <v>336</v>
      </c>
      <c r="AT4" s="689"/>
    </row>
    <row r="5" spans="1:46" ht="60" customHeight="1" x14ac:dyDescent="0.45">
      <c r="A5" s="1351">
        <v>45628</v>
      </c>
      <c r="B5" s="692">
        <v>1</v>
      </c>
      <c r="C5" s="693"/>
      <c r="D5" s="694"/>
      <c r="E5" s="694"/>
      <c r="F5" s="695"/>
      <c r="G5" s="696"/>
      <c r="H5" s="696"/>
      <c r="I5" s="697"/>
      <c r="J5" s="698"/>
      <c r="K5" s="287"/>
      <c r="L5" s="699"/>
      <c r="M5" s="246"/>
      <c r="N5" s="246"/>
      <c r="O5" s="689"/>
      <c r="P5" s="251"/>
      <c r="Q5" s="246"/>
      <c r="R5" s="246"/>
      <c r="S5" s="689"/>
      <c r="T5" s="287"/>
      <c r="U5" s="699"/>
      <c r="V5" s="246"/>
      <c r="W5" s="246"/>
      <c r="X5" s="689"/>
      <c r="Y5" s="296"/>
      <c r="Z5" s="681"/>
      <c r="AA5" s="701"/>
      <c r="AB5" s="702"/>
      <c r="AC5" s="287"/>
      <c r="AD5" s="699"/>
      <c r="AE5" s="246"/>
      <c r="AF5" s="246"/>
      <c r="AG5" s="689"/>
      <c r="AH5" s="251"/>
      <c r="AI5" s="246"/>
      <c r="AJ5" s="703"/>
      <c r="AK5" s="689"/>
      <c r="AL5" s="255"/>
      <c r="AM5" s="699"/>
      <c r="AN5" s="246"/>
      <c r="AO5" s="246">
        <v>30</v>
      </c>
      <c r="AP5" s="689"/>
      <c r="AQ5" s="251"/>
      <c r="AR5" s="246"/>
      <c r="AS5" s="245" t="s">
        <v>97</v>
      </c>
      <c r="AT5" s="704"/>
    </row>
    <row r="6" spans="1:46" ht="80.5" customHeight="1" x14ac:dyDescent="0.45">
      <c r="A6" s="1352"/>
      <c r="B6" s="692">
        <v>2</v>
      </c>
      <c r="C6" s="693"/>
      <c r="D6" s="694"/>
      <c r="E6" s="694"/>
      <c r="F6" s="695"/>
      <c r="G6" s="680"/>
      <c r="H6" s="682"/>
      <c r="I6" s="697"/>
      <c r="J6" s="705"/>
      <c r="K6" s="287"/>
      <c r="L6" s="699"/>
      <c r="M6" s="246"/>
      <c r="N6" s="246"/>
      <c r="O6" s="689"/>
      <c r="P6" s="251"/>
      <c r="Q6" s="681"/>
      <c r="R6" s="246"/>
      <c r="S6" s="705"/>
      <c r="T6" s="287"/>
      <c r="U6" s="699"/>
      <c r="V6" s="246"/>
      <c r="W6" s="246"/>
      <c r="X6" s="689"/>
      <c r="Y6" s="296"/>
      <c r="Z6" s="681"/>
      <c r="AA6" s="682"/>
      <c r="AB6" s="705"/>
      <c r="AC6" s="287"/>
      <c r="AD6" s="699"/>
      <c r="AE6" s="246"/>
      <c r="AF6" s="246"/>
      <c r="AG6" s="689"/>
      <c r="AH6" s="251"/>
      <c r="AI6" s="246"/>
      <c r="AJ6" s="246"/>
      <c r="AK6" s="705"/>
      <c r="AL6" s="255"/>
      <c r="AM6" s="699"/>
      <c r="AN6" s="246"/>
      <c r="AO6" s="246"/>
      <c r="AP6" s="302"/>
      <c r="AQ6" s="296"/>
      <c r="AR6" s="251"/>
      <c r="AS6" s="245"/>
      <c r="AT6" s="705"/>
    </row>
    <row r="7" spans="1:46" ht="71.5" customHeight="1" x14ac:dyDescent="0.45">
      <c r="A7" s="1351">
        <v>45629</v>
      </c>
      <c r="B7" s="692">
        <v>1</v>
      </c>
      <c r="C7" s="693"/>
      <c r="D7" s="694"/>
      <c r="E7" s="694"/>
      <c r="F7" s="695"/>
      <c r="G7" s="680"/>
      <c r="H7" s="682"/>
      <c r="I7" s="705"/>
      <c r="J7" s="705"/>
      <c r="K7" s="287"/>
      <c r="L7" s="699"/>
      <c r="M7" s="251"/>
      <c r="N7" s="246"/>
      <c r="O7" s="689"/>
      <c r="P7" s="251"/>
      <c r="Q7" s="706"/>
      <c r="R7" s="246"/>
      <c r="S7" s="704"/>
      <c r="T7" s="287"/>
      <c r="U7" s="699"/>
      <c r="V7" s="246"/>
      <c r="W7" s="246">
        <v>15</v>
      </c>
      <c r="X7" s="689"/>
      <c r="Y7" s="296"/>
      <c r="Z7" s="681"/>
      <c r="AA7" s="701" t="s">
        <v>152</v>
      </c>
      <c r="AB7" s="704"/>
      <c r="AC7" s="287"/>
      <c r="AD7" s="699"/>
      <c r="AE7" s="246"/>
      <c r="AF7" s="246"/>
      <c r="AG7" s="689"/>
      <c r="AH7" s="251"/>
      <c r="AI7" s="706"/>
      <c r="AJ7" s="705"/>
      <c r="AK7" s="689"/>
      <c r="AL7" s="255"/>
      <c r="AM7" s="699"/>
      <c r="AN7" s="246"/>
      <c r="AO7" s="246"/>
      <c r="AP7" s="302"/>
      <c r="AQ7" s="689"/>
      <c r="AR7" s="251"/>
      <c r="AS7" s="706"/>
      <c r="AT7" s="707"/>
    </row>
    <row r="8" spans="1:46" ht="69.650000000000006" customHeight="1" x14ac:dyDescent="0.45">
      <c r="A8" s="1352"/>
      <c r="B8" s="692">
        <v>2</v>
      </c>
      <c r="C8" s="693"/>
      <c r="D8" s="694"/>
      <c r="E8" s="694"/>
      <c r="F8" s="695"/>
      <c r="G8" s="696"/>
      <c r="H8" s="682"/>
      <c r="I8" s="697"/>
      <c r="J8" s="705"/>
      <c r="K8" s="287"/>
      <c r="L8" s="699"/>
      <c r="M8" s="246"/>
      <c r="N8" s="246"/>
      <c r="O8" s="689"/>
      <c r="P8" s="251"/>
      <c r="Q8" s="246"/>
      <c r="R8" s="245"/>
      <c r="S8" s="704"/>
      <c r="T8" s="287"/>
      <c r="U8" s="699"/>
      <c r="V8" s="699"/>
      <c r="W8" s="699">
        <v>22</v>
      </c>
      <c r="X8" s="689"/>
      <c r="Y8" s="296"/>
      <c r="Z8" s="301"/>
      <c r="AA8" s="296" t="s">
        <v>995</v>
      </c>
      <c r="AB8" s="705"/>
      <c r="AC8" s="287"/>
      <c r="AD8" s="699"/>
      <c r="AE8" s="246"/>
      <c r="AF8" s="246"/>
      <c r="AG8" s="689"/>
      <c r="AH8" s="251"/>
      <c r="AI8" s="245"/>
      <c r="AJ8" s="682"/>
      <c r="AK8" s="705"/>
      <c r="AL8" s="255"/>
      <c r="AM8" s="699">
        <v>418</v>
      </c>
      <c r="AN8" s="246"/>
      <c r="AO8" s="246"/>
      <c r="AP8" s="302"/>
      <c r="AQ8" s="689" t="s">
        <v>583</v>
      </c>
      <c r="AR8" s="296"/>
      <c r="AS8" s="246"/>
      <c r="AT8" s="705"/>
    </row>
    <row r="9" spans="1:46" ht="76.95" customHeight="1" x14ac:dyDescent="0.45">
      <c r="A9" s="1351">
        <v>45630</v>
      </c>
      <c r="B9" s="692">
        <v>1</v>
      </c>
      <c r="C9" s="693"/>
      <c r="D9" s="694"/>
      <c r="E9" s="694"/>
      <c r="F9" s="695"/>
      <c r="G9" s="696"/>
      <c r="H9" s="681"/>
      <c r="I9" s="697"/>
      <c r="J9" s="705"/>
      <c r="K9" s="287"/>
      <c r="L9" s="699"/>
      <c r="M9" s="246"/>
      <c r="N9" s="246"/>
      <c r="O9" s="689"/>
      <c r="P9" s="251"/>
      <c r="Q9" s="246"/>
      <c r="R9" s="245"/>
      <c r="S9" s="705"/>
      <c r="T9" s="287"/>
      <c r="U9" s="699"/>
      <c r="V9" s="246"/>
      <c r="W9" s="246"/>
      <c r="X9" s="689"/>
      <c r="Y9" s="296"/>
      <c r="Z9" s="246"/>
      <c r="AA9" s="701"/>
      <c r="AB9" s="705"/>
      <c r="AC9" s="287"/>
      <c r="AD9" s="699"/>
      <c r="AE9" s="246"/>
      <c r="AF9" s="246"/>
      <c r="AG9" s="689"/>
      <c r="AH9" s="251"/>
      <c r="AI9" s="246"/>
      <c r="AJ9" s="246"/>
      <c r="AK9" s="705"/>
      <c r="AL9" s="255"/>
      <c r="AM9" s="699"/>
      <c r="AN9" s="246"/>
      <c r="AO9" s="246"/>
      <c r="AP9" s="302"/>
      <c r="AQ9" s="689"/>
      <c r="AR9" s="251"/>
      <c r="AS9" s="246"/>
      <c r="AT9" s="708"/>
    </row>
    <row r="10" spans="1:46" ht="67.2" customHeight="1" x14ac:dyDescent="0.45">
      <c r="A10" s="1352"/>
      <c r="B10" s="692">
        <v>2</v>
      </c>
      <c r="C10" s="693"/>
      <c r="D10" s="693"/>
      <c r="E10" s="693">
        <v>37</v>
      </c>
      <c r="F10" s="695"/>
      <c r="G10" s="709"/>
      <c r="H10" s="710"/>
      <c r="I10" s="711" t="s">
        <v>152</v>
      </c>
      <c r="J10" s="705"/>
      <c r="K10" s="287"/>
      <c r="L10" s="699"/>
      <c r="M10" s="246"/>
      <c r="N10" s="246"/>
      <c r="O10" s="689"/>
      <c r="P10" s="251"/>
      <c r="Q10" s="246"/>
      <c r="R10" s="245"/>
      <c r="S10" s="705"/>
      <c r="T10" s="287"/>
      <c r="U10" s="699"/>
      <c r="V10" s="246"/>
      <c r="W10" s="246">
        <v>34</v>
      </c>
      <c r="X10" s="689"/>
      <c r="Y10" s="296"/>
      <c r="Z10" s="296"/>
      <c r="AA10" s="287" t="s">
        <v>152</v>
      </c>
      <c r="AB10" s="705"/>
      <c r="AC10" s="287"/>
      <c r="AD10" s="699"/>
      <c r="AE10" s="246"/>
      <c r="AF10" s="246"/>
      <c r="AG10" s="689"/>
      <c r="AH10" s="296"/>
      <c r="AI10" s="245"/>
      <c r="AJ10" s="682"/>
      <c r="AK10" s="705"/>
      <c r="AL10" s="255"/>
      <c r="AM10" s="699"/>
      <c r="AN10" s="246"/>
      <c r="AO10" s="246">
        <v>39</v>
      </c>
      <c r="AP10" s="302"/>
      <c r="AQ10" s="689"/>
      <c r="AR10" s="251"/>
      <c r="AS10" s="246" t="s">
        <v>152</v>
      </c>
      <c r="AT10" s="705"/>
    </row>
    <row r="11" spans="1:46" ht="60" customHeight="1" x14ac:dyDescent="0.45">
      <c r="A11" s="1351">
        <v>45631</v>
      </c>
      <c r="B11" s="692">
        <v>1</v>
      </c>
      <c r="C11" s="693"/>
      <c r="D11" s="693"/>
      <c r="E11" s="693">
        <v>15</v>
      </c>
      <c r="F11" s="695"/>
      <c r="G11" s="712"/>
      <c r="H11" s="710"/>
      <c r="I11" s="711" t="s">
        <v>152</v>
      </c>
      <c r="J11" s="698"/>
      <c r="K11" s="287"/>
      <c r="L11" s="699"/>
      <c r="M11" s="246"/>
      <c r="N11" s="246"/>
      <c r="O11" s="689"/>
      <c r="P11" s="251"/>
      <c r="Q11" s="246"/>
      <c r="R11" s="245"/>
      <c r="S11" s="689"/>
      <c r="T11" s="287"/>
      <c r="U11" s="699"/>
      <c r="V11" s="246"/>
      <c r="W11" s="246"/>
      <c r="X11" s="689"/>
      <c r="Y11" s="296"/>
      <c r="Z11" s="246"/>
      <c r="AA11" s="701"/>
      <c r="AB11" s="689"/>
      <c r="AC11" s="287"/>
      <c r="AD11" s="699"/>
      <c r="AE11" s="246"/>
      <c r="AF11" s="246"/>
      <c r="AG11" s="689"/>
      <c r="AH11" s="251"/>
      <c r="AI11" s="246"/>
      <c r="AJ11" s="701"/>
      <c r="AK11" s="689"/>
      <c r="AL11" s="255"/>
      <c r="AM11" s="699"/>
      <c r="AN11" s="246"/>
      <c r="AO11" s="246"/>
      <c r="AP11" s="689"/>
      <c r="AQ11" s="251"/>
      <c r="AR11" s="246"/>
      <c r="AS11" s="246"/>
      <c r="AT11" s="704"/>
    </row>
    <row r="12" spans="1:46" ht="55.2" customHeight="1" x14ac:dyDescent="0.45">
      <c r="A12" s="1352"/>
      <c r="B12" s="692">
        <v>2</v>
      </c>
      <c r="C12" s="693"/>
      <c r="D12" s="694"/>
      <c r="E12" s="694">
        <v>27</v>
      </c>
      <c r="F12" s="695"/>
      <c r="G12" s="696"/>
      <c r="H12" s="681"/>
      <c r="I12" s="711" t="s">
        <v>152</v>
      </c>
      <c r="J12" s="705"/>
      <c r="K12" s="287"/>
      <c r="L12" s="699"/>
      <c r="M12" s="246"/>
      <c r="N12" s="246"/>
      <c r="O12" s="689"/>
      <c r="P12" s="251"/>
      <c r="Q12" s="246"/>
      <c r="R12" s="245"/>
      <c r="S12" s="705"/>
      <c r="T12" s="287"/>
      <c r="U12" s="699"/>
      <c r="V12" s="246"/>
      <c r="W12" s="246">
        <v>29</v>
      </c>
      <c r="X12" s="689"/>
      <c r="Y12" s="296"/>
      <c r="Z12" s="682"/>
      <c r="AA12" s="701" t="s">
        <v>996</v>
      </c>
      <c r="AB12" s="705"/>
      <c r="AC12" s="287"/>
      <c r="AD12" s="699"/>
      <c r="AE12" s="246"/>
      <c r="AF12" s="246"/>
      <c r="AG12" s="689"/>
      <c r="AH12" s="251"/>
      <c r="AI12" s="245"/>
      <c r="AJ12" s="245"/>
      <c r="AK12" s="705"/>
      <c r="AL12" s="255"/>
      <c r="AM12" s="699"/>
      <c r="AN12" s="246"/>
      <c r="AO12" s="246"/>
      <c r="AP12" s="689"/>
      <c r="AQ12" s="251"/>
      <c r="AR12" s="246"/>
      <c r="AS12" s="245"/>
      <c r="AT12" s="705"/>
    </row>
    <row r="13" spans="1:46" ht="34.950000000000003" customHeight="1" x14ac:dyDescent="0.45">
      <c r="A13" s="1351">
        <v>45632</v>
      </c>
      <c r="B13" s="692">
        <v>1</v>
      </c>
      <c r="C13" s="693"/>
      <c r="D13" s="694"/>
      <c r="E13" s="694"/>
      <c r="F13" s="695"/>
      <c r="G13" s="696"/>
      <c r="H13" s="681"/>
      <c r="I13" s="697"/>
      <c r="J13" s="705"/>
      <c r="K13" s="287"/>
      <c r="L13" s="699"/>
      <c r="M13" s="246"/>
      <c r="N13" s="246"/>
      <c r="O13" s="695"/>
      <c r="P13" s="251"/>
      <c r="Q13" s="246"/>
      <c r="R13" s="246"/>
      <c r="S13" s="705"/>
      <c r="T13" s="287"/>
      <c r="U13" s="699"/>
      <c r="V13" s="246"/>
      <c r="W13" s="246"/>
      <c r="X13" s="695"/>
      <c r="Y13" s="296"/>
      <c r="Z13" s="245"/>
      <c r="AA13" s="701"/>
      <c r="AB13" s="705"/>
      <c r="AC13" s="287"/>
      <c r="AD13" s="699"/>
      <c r="AE13" s="246"/>
      <c r="AF13" s="246"/>
      <c r="AG13" s="695"/>
      <c r="AH13" s="251"/>
      <c r="AI13" s="246"/>
      <c r="AJ13" s="701"/>
      <c r="AK13" s="705"/>
      <c r="AL13" s="255"/>
      <c r="AM13" s="699">
        <v>175</v>
      </c>
      <c r="AN13" s="246"/>
      <c r="AO13" s="246">
        <v>15</v>
      </c>
      <c r="AP13" s="695"/>
      <c r="AQ13" s="251" t="s">
        <v>997</v>
      </c>
      <c r="AR13" s="246"/>
      <c r="AS13" s="682" t="s">
        <v>325</v>
      </c>
      <c r="AT13" s="705"/>
    </row>
    <row r="14" spans="1:46" ht="49.2" customHeight="1" x14ac:dyDescent="0.45">
      <c r="A14" s="1352"/>
      <c r="B14" s="692">
        <v>2</v>
      </c>
      <c r="C14" s="693"/>
      <c r="D14" s="694"/>
      <c r="E14" s="694"/>
      <c r="F14" s="695">
        <v>44</v>
      </c>
      <c r="G14" s="696"/>
      <c r="H14" s="682"/>
      <c r="I14" s="697"/>
      <c r="J14" s="705" t="s">
        <v>954</v>
      </c>
      <c r="K14" s="287"/>
      <c r="L14" s="699"/>
      <c r="M14" s="246"/>
      <c r="N14" s="246"/>
      <c r="O14" s="695">
        <v>30</v>
      </c>
      <c r="P14" s="296"/>
      <c r="Q14" s="246"/>
      <c r="R14" s="246"/>
      <c r="S14" s="705" t="s">
        <v>954</v>
      </c>
      <c r="T14" s="287"/>
      <c r="U14" s="699"/>
      <c r="V14" s="246"/>
      <c r="W14" s="246">
        <v>15</v>
      </c>
      <c r="X14" s="695">
        <v>50</v>
      </c>
      <c r="Y14" s="296"/>
      <c r="Z14" s="245"/>
      <c r="AA14" s="701" t="s">
        <v>152</v>
      </c>
      <c r="AB14" s="705" t="s">
        <v>954</v>
      </c>
      <c r="AC14" s="287"/>
      <c r="AD14" s="699"/>
      <c r="AE14" s="246"/>
      <c r="AF14" s="246"/>
      <c r="AG14" s="695">
        <v>43</v>
      </c>
      <c r="AH14" s="1514"/>
      <c r="AI14" s="1462"/>
      <c r="AJ14" s="1515"/>
      <c r="AK14" s="705" t="s">
        <v>954</v>
      </c>
      <c r="AL14" s="255"/>
      <c r="AM14" s="699"/>
      <c r="AN14" s="246"/>
      <c r="AO14" s="246"/>
      <c r="AP14" s="695">
        <v>46</v>
      </c>
      <c r="AQ14" s="296"/>
      <c r="AR14" s="246"/>
      <c r="AS14" s="701"/>
      <c r="AT14" s="705" t="s">
        <v>954</v>
      </c>
    </row>
    <row r="15" spans="1:46" ht="48" customHeight="1" x14ac:dyDescent="0.45">
      <c r="A15" s="1351">
        <v>45633</v>
      </c>
      <c r="B15" s="692">
        <v>1</v>
      </c>
      <c r="C15" s="693"/>
      <c r="D15" s="694"/>
      <c r="E15" s="246">
        <v>10</v>
      </c>
      <c r="F15" s="705"/>
      <c r="G15" s="696"/>
      <c r="H15" s="682"/>
      <c r="I15" s="697" t="s">
        <v>325</v>
      </c>
      <c r="J15" s="705"/>
      <c r="K15" s="287"/>
      <c r="L15" s="699"/>
      <c r="M15" s="246"/>
      <c r="N15" s="246"/>
      <c r="O15" s="695"/>
      <c r="P15" s="680"/>
      <c r="Q15" s="682"/>
      <c r="R15" s="682"/>
      <c r="S15" s="705"/>
      <c r="T15" s="287"/>
      <c r="U15" s="699"/>
      <c r="V15" s="246"/>
      <c r="W15" s="246"/>
      <c r="X15" s="695"/>
      <c r="Y15" s="696"/>
      <c r="Z15" s="682"/>
      <c r="AA15" s="701"/>
      <c r="AB15" s="705"/>
      <c r="AC15" s="287"/>
      <c r="AD15" s="699"/>
      <c r="AE15" s="246"/>
      <c r="AF15" s="287"/>
      <c r="AG15" s="695"/>
      <c r="AH15" s="680"/>
      <c r="AI15" s="682"/>
      <c r="AJ15" s="245"/>
      <c r="AK15" s="705"/>
      <c r="AL15" s="255"/>
      <c r="AM15" s="699"/>
      <c r="AN15" s="246"/>
      <c r="AO15" s="287">
        <v>11</v>
      </c>
      <c r="AP15" s="680"/>
      <c r="AQ15" s="682"/>
      <c r="AR15" s="682"/>
      <c r="AS15" s="682" t="s">
        <v>325</v>
      </c>
      <c r="AT15" s="705"/>
    </row>
    <row r="16" spans="1:46" ht="63" customHeight="1" x14ac:dyDescent="0.45">
      <c r="A16" s="1352"/>
      <c r="B16" s="692">
        <v>2</v>
      </c>
      <c r="C16" s="693"/>
      <c r="D16" s="693">
        <v>52</v>
      </c>
      <c r="E16" s="693"/>
      <c r="F16" s="695"/>
      <c r="G16" s="713"/>
      <c r="H16" s="710" t="s">
        <v>998</v>
      </c>
      <c r="I16" s="714"/>
      <c r="J16" s="705"/>
      <c r="K16" s="287"/>
      <c r="L16" s="699"/>
      <c r="M16" s="246">
        <v>27</v>
      </c>
      <c r="N16" s="246"/>
      <c r="O16" s="695"/>
      <c r="P16" s="713"/>
      <c r="Q16" s="710" t="s">
        <v>998</v>
      </c>
      <c r="R16" s="714"/>
      <c r="S16" s="705"/>
      <c r="T16" s="287"/>
      <c r="U16" s="699"/>
      <c r="V16" s="246">
        <v>30</v>
      </c>
      <c r="W16" s="246">
        <v>38</v>
      </c>
      <c r="X16" s="695"/>
      <c r="Y16" s="713"/>
      <c r="Z16" s="710" t="s">
        <v>998</v>
      </c>
      <c r="AA16" s="715" t="s">
        <v>152</v>
      </c>
      <c r="AB16" s="705"/>
      <c r="AC16" s="287"/>
      <c r="AD16" s="699"/>
      <c r="AE16" s="246">
        <v>34</v>
      </c>
      <c r="AF16" s="246"/>
      <c r="AG16" s="695"/>
      <c r="AH16" s="716"/>
      <c r="AI16" s="710" t="s">
        <v>998</v>
      </c>
      <c r="AJ16" s="714"/>
      <c r="AK16" s="705"/>
      <c r="AL16" s="255"/>
      <c r="AM16" s="699"/>
      <c r="AN16" s="246">
        <v>39</v>
      </c>
      <c r="AO16" s="246"/>
      <c r="AP16" s="695"/>
      <c r="AQ16" s="713"/>
      <c r="AR16" s="710" t="s">
        <v>998</v>
      </c>
      <c r="AS16" s="714"/>
      <c r="AT16" s="705"/>
    </row>
    <row r="17" spans="1:46" ht="66" customHeight="1" x14ac:dyDescent="0.45">
      <c r="A17" s="1351">
        <v>45634</v>
      </c>
      <c r="B17" s="717">
        <v>1</v>
      </c>
      <c r="C17" s="693"/>
      <c r="D17" s="694"/>
      <c r="E17" s="694"/>
      <c r="F17" s="695"/>
      <c r="G17" s="680"/>
      <c r="H17" s="681"/>
      <c r="I17" s="697"/>
      <c r="J17" s="705"/>
      <c r="K17" s="287"/>
      <c r="L17" s="699"/>
      <c r="M17" s="246"/>
      <c r="N17" s="246"/>
      <c r="O17" s="695"/>
      <c r="P17" s="680"/>
      <c r="Q17" s="681"/>
      <c r="R17" s="682"/>
      <c r="S17" s="705"/>
      <c r="T17" s="287"/>
      <c r="U17" s="699"/>
      <c r="V17" s="246"/>
      <c r="W17" s="246">
        <v>14</v>
      </c>
      <c r="X17" s="695"/>
      <c r="Y17" s="696"/>
      <c r="Z17" s="681"/>
      <c r="AA17" s="715" t="s">
        <v>152</v>
      </c>
      <c r="AB17" s="705"/>
      <c r="AC17" s="287"/>
      <c r="AD17" s="699"/>
      <c r="AE17" s="246"/>
      <c r="AF17" s="246"/>
      <c r="AG17" s="695"/>
      <c r="AH17" s="680"/>
      <c r="AI17" s="681"/>
      <c r="AJ17" s="682"/>
      <c r="AK17" s="705"/>
      <c r="AL17" s="255"/>
      <c r="AM17" s="699"/>
      <c r="AN17" s="246"/>
      <c r="AO17" s="246"/>
      <c r="AP17" s="680"/>
      <c r="AQ17" s="681"/>
      <c r="AR17" s="682"/>
      <c r="AS17" s="701"/>
      <c r="AT17" s="705"/>
    </row>
    <row r="18" spans="1:46" ht="49.95" customHeight="1" x14ac:dyDescent="0.45">
      <c r="A18" s="1352"/>
      <c r="B18" s="692">
        <v>2</v>
      </c>
      <c r="C18" s="693"/>
      <c r="D18" s="694"/>
      <c r="E18" s="694"/>
      <c r="F18" s="695"/>
      <c r="G18" s="696"/>
      <c r="H18" s="718"/>
      <c r="I18" s="697"/>
      <c r="J18" s="705"/>
      <c r="K18" s="287"/>
      <c r="L18" s="699"/>
      <c r="M18" s="246">
        <v>19</v>
      </c>
      <c r="N18" s="246">
        <v>23</v>
      </c>
      <c r="O18" s="695"/>
      <c r="P18" s="696"/>
      <c r="Q18" s="682" t="s">
        <v>832</v>
      </c>
      <c r="R18" s="697" t="s">
        <v>325</v>
      </c>
      <c r="S18" s="705"/>
      <c r="T18" s="287"/>
      <c r="U18" s="699"/>
      <c r="V18" s="246"/>
      <c r="W18" s="694"/>
      <c r="X18" s="695"/>
      <c r="Y18" s="696"/>
      <c r="Z18" s="682"/>
      <c r="AA18" s="701"/>
      <c r="AB18" s="705"/>
      <c r="AC18" s="287"/>
      <c r="AD18" s="699"/>
      <c r="AE18" s="246"/>
      <c r="AF18" s="246"/>
      <c r="AG18" s="695"/>
      <c r="AH18" s="696"/>
      <c r="AI18" s="682"/>
      <c r="AJ18" s="681"/>
      <c r="AK18" s="705"/>
      <c r="AL18" s="255"/>
      <c r="AM18" s="699"/>
      <c r="AN18" s="246"/>
      <c r="AO18" s="246">
        <v>25</v>
      </c>
      <c r="AP18" s="695"/>
      <c r="AQ18" s="1516" t="s">
        <v>999</v>
      </c>
      <c r="AR18" s="1517"/>
      <c r="AS18" s="1518"/>
      <c r="AT18" s="705"/>
    </row>
    <row r="19" spans="1:46" ht="33.65" customHeight="1" x14ac:dyDescent="0.45">
      <c r="A19" s="1351">
        <v>45635</v>
      </c>
      <c r="B19" s="692">
        <v>1</v>
      </c>
      <c r="C19" s="287"/>
      <c r="D19" s="694"/>
      <c r="E19" s="694">
        <v>37</v>
      </c>
      <c r="F19" s="695"/>
      <c r="G19" s="719"/>
      <c r="H19" s="246"/>
      <c r="I19" s="711" t="s">
        <v>152</v>
      </c>
      <c r="J19" s="705"/>
      <c r="K19" s="287"/>
      <c r="L19" s="699"/>
      <c r="M19" s="246"/>
      <c r="N19" s="246"/>
      <c r="O19" s="695"/>
      <c r="P19" s="699"/>
      <c r="Q19" s="246"/>
      <c r="R19" s="246"/>
      <c r="S19" s="705"/>
      <c r="T19" s="287"/>
      <c r="U19" s="699"/>
      <c r="V19" s="246"/>
      <c r="W19" s="246">
        <v>141</v>
      </c>
      <c r="X19" s="695"/>
      <c r="Y19" s="699"/>
      <c r="Z19" s="245"/>
      <c r="AA19" s="715" t="s">
        <v>152</v>
      </c>
      <c r="AB19" s="705"/>
      <c r="AC19" s="287"/>
      <c r="AD19" s="699"/>
      <c r="AE19" s="246"/>
      <c r="AF19" s="246"/>
      <c r="AG19" s="695"/>
      <c r="AH19" s="699"/>
      <c r="AI19" s="246"/>
      <c r="AJ19" s="701"/>
      <c r="AK19" s="705"/>
      <c r="AL19" s="255"/>
      <c r="AM19" s="699"/>
      <c r="AN19" s="246"/>
      <c r="AO19" s="246"/>
      <c r="AP19" s="695"/>
      <c r="AQ19" s="699"/>
      <c r="AR19" s="246"/>
      <c r="AS19" s="682"/>
      <c r="AT19" s="705"/>
    </row>
    <row r="20" spans="1:46" ht="44.5" customHeight="1" x14ac:dyDescent="0.45">
      <c r="A20" s="1352"/>
      <c r="B20" s="692">
        <v>2</v>
      </c>
      <c r="C20" s="693"/>
      <c r="D20" s="694"/>
      <c r="E20" s="694">
        <v>15</v>
      </c>
      <c r="F20" s="695"/>
      <c r="G20" s="719"/>
      <c r="H20" s="245"/>
      <c r="I20" s="711" t="s">
        <v>152</v>
      </c>
      <c r="J20" s="705"/>
      <c r="K20" s="287"/>
      <c r="L20" s="699"/>
      <c r="M20" s="246">
        <v>20</v>
      </c>
      <c r="N20" s="246"/>
      <c r="O20" s="695"/>
      <c r="P20" s="719"/>
      <c r="Q20" s="245" t="s">
        <v>1000</v>
      </c>
      <c r="R20" s="697"/>
      <c r="S20" s="705"/>
      <c r="T20" s="287"/>
      <c r="U20" s="699"/>
      <c r="V20" s="246"/>
      <c r="W20" s="246"/>
      <c r="X20" s="695"/>
      <c r="Y20" s="719"/>
      <c r="Z20" s="245"/>
      <c r="AA20" s="682"/>
      <c r="AB20" s="705"/>
      <c r="AC20" s="287"/>
      <c r="AD20" s="699"/>
      <c r="AE20" s="246"/>
      <c r="AF20" s="246">
        <v>11</v>
      </c>
      <c r="AG20" s="695"/>
      <c r="AH20" s="719"/>
      <c r="AI20" s="245"/>
      <c r="AJ20" s="697" t="s">
        <v>1001</v>
      </c>
      <c r="AK20" s="705"/>
      <c r="AL20" s="255"/>
      <c r="AM20" s="699"/>
      <c r="AN20" s="246"/>
      <c r="AO20" s="246"/>
      <c r="AP20" s="695"/>
      <c r="AQ20" s="719"/>
      <c r="AR20" s="245"/>
      <c r="AS20" s="697"/>
      <c r="AT20" s="705"/>
    </row>
    <row r="21" spans="1:46" ht="39.65" customHeight="1" x14ac:dyDescent="0.45">
      <c r="A21" s="1351">
        <v>45636</v>
      </c>
      <c r="B21" s="692">
        <v>1</v>
      </c>
      <c r="C21" s="693"/>
      <c r="D21" s="694"/>
      <c r="E21" s="694">
        <v>48</v>
      </c>
      <c r="F21" s="695"/>
      <c r="G21" s="720"/>
      <c r="H21" s="681"/>
      <c r="I21" s="711" t="s">
        <v>152</v>
      </c>
      <c r="J21" s="721"/>
      <c r="K21" s="287"/>
      <c r="L21" s="699"/>
      <c r="M21" s="246"/>
      <c r="N21" s="246"/>
      <c r="O21" s="695"/>
      <c r="P21" s="699"/>
      <c r="Q21" s="246"/>
      <c r="R21" s="246"/>
      <c r="S21" s="721"/>
      <c r="T21" s="287"/>
      <c r="U21" s="699"/>
      <c r="V21" s="246"/>
      <c r="W21" s="246">
        <v>122</v>
      </c>
      <c r="X21" s="695"/>
      <c r="Y21" s="719"/>
      <c r="Z21" s="246"/>
      <c r="AA21" s="715" t="s">
        <v>152</v>
      </c>
      <c r="AB21" s="721"/>
      <c r="AC21" s="287"/>
      <c r="AD21" s="699"/>
      <c r="AE21" s="246"/>
      <c r="AF21" s="246">
        <v>38</v>
      </c>
      <c r="AG21" s="695"/>
      <c r="AH21" s="699"/>
      <c r="AI21" s="246"/>
      <c r="AJ21" s="701" t="s">
        <v>996</v>
      </c>
      <c r="AK21" s="721"/>
      <c r="AL21" s="255"/>
      <c r="AM21" s="699"/>
      <c r="AN21" s="246"/>
      <c r="AO21" s="246"/>
      <c r="AP21" s="695"/>
      <c r="AQ21" s="699"/>
      <c r="AR21" s="245"/>
      <c r="AS21" s="701"/>
      <c r="AT21" s="721"/>
    </row>
    <row r="22" spans="1:46" ht="49.95" customHeight="1" x14ac:dyDescent="0.45">
      <c r="A22" s="1352"/>
      <c r="B22" s="692">
        <v>2</v>
      </c>
      <c r="C22" s="693"/>
      <c r="D22" s="694"/>
      <c r="E22" s="694"/>
      <c r="F22" s="695">
        <v>536</v>
      </c>
      <c r="G22" s="722"/>
      <c r="H22" s="682"/>
      <c r="I22" s="697"/>
      <c r="J22" s="705" t="s">
        <v>975</v>
      </c>
      <c r="K22" s="287"/>
      <c r="L22" s="699"/>
      <c r="M22" s="246"/>
      <c r="N22" s="246"/>
      <c r="O22" s="695">
        <v>509</v>
      </c>
      <c r="P22" s="296"/>
      <c r="Q22" s="682"/>
      <c r="R22" s="246"/>
      <c r="S22" s="705" t="s">
        <v>975</v>
      </c>
      <c r="T22" s="287"/>
      <c r="U22" s="699"/>
      <c r="V22" s="246"/>
      <c r="W22" s="246"/>
      <c r="X22" s="695">
        <v>504</v>
      </c>
      <c r="Y22" s="719"/>
      <c r="Z22" s="682"/>
      <c r="AA22" s="701"/>
      <c r="AB22" s="705" t="s">
        <v>975</v>
      </c>
      <c r="AC22" s="287"/>
      <c r="AD22" s="699"/>
      <c r="AE22" s="246"/>
      <c r="AF22" s="246"/>
      <c r="AG22" s="695">
        <v>528</v>
      </c>
      <c r="AH22" s="699"/>
      <c r="AI22" s="246"/>
      <c r="AJ22" s="705"/>
      <c r="AK22" s="705" t="s">
        <v>975</v>
      </c>
      <c r="AL22" s="255"/>
      <c r="AM22" s="699"/>
      <c r="AN22" s="246"/>
      <c r="AO22" s="246"/>
      <c r="AP22" s="695">
        <v>540</v>
      </c>
      <c r="AQ22" s="699"/>
      <c r="AR22" s="682"/>
      <c r="AS22" s="302"/>
      <c r="AT22" s="705" t="s">
        <v>975</v>
      </c>
    </row>
    <row r="23" spans="1:46" ht="47.5" customHeight="1" x14ac:dyDescent="0.45">
      <c r="A23" s="1351">
        <v>45637</v>
      </c>
      <c r="B23" s="717">
        <v>1</v>
      </c>
      <c r="C23" s="693"/>
      <c r="D23" s="694"/>
      <c r="E23" s="694">
        <v>58</v>
      </c>
      <c r="F23" s="695"/>
      <c r="G23" s="680"/>
      <c r="H23" s="681"/>
      <c r="I23" s="711" t="s">
        <v>152</v>
      </c>
      <c r="J23" s="705"/>
      <c r="K23" s="287"/>
      <c r="L23" s="699"/>
      <c r="M23" s="246"/>
      <c r="N23" s="246"/>
      <c r="O23" s="695"/>
      <c r="P23" s="680"/>
      <c r="Q23" s="681"/>
      <c r="R23" s="682"/>
      <c r="S23" s="705"/>
      <c r="T23" s="287"/>
      <c r="U23" s="699"/>
      <c r="V23" s="246"/>
      <c r="W23" s="246">
        <v>23</v>
      </c>
      <c r="X23" s="695"/>
      <c r="Y23" s="719"/>
      <c r="Z23" s="697"/>
      <c r="AA23" s="715" t="s">
        <v>152</v>
      </c>
      <c r="AB23" s="705"/>
      <c r="AC23" s="287"/>
      <c r="AD23" s="699"/>
      <c r="AE23" s="246"/>
      <c r="AF23" s="251">
        <v>40</v>
      </c>
      <c r="AG23" s="695"/>
      <c r="AH23" s="699"/>
      <c r="AI23" s="681"/>
      <c r="AJ23" s="715" t="s">
        <v>152</v>
      </c>
      <c r="AK23" s="705"/>
      <c r="AL23" s="255"/>
      <c r="AM23" s="699"/>
      <c r="AN23" s="246"/>
      <c r="AO23" s="246"/>
      <c r="AP23" s="695"/>
      <c r="AQ23" s="246"/>
      <c r="AR23" s="681"/>
      <c r="AS23" s="707"/>
      <c r="AT23" s="705"/>
    </row>
    <row r="24" spans="1:46" ht="49.95" customHeight="1" x14ac:dyDescent="0.45">
      <c r="A24" s="1352"/>
      <c r="B24" s="692">
        <v>2</v>
      </c>
      <c r="C24" s="693"/>
      <c r="D24" s="694"/>
      <c r="E24" s="694">
        <v>10</v>
      </c>
      <c r="F24" s="695">
        <v>355</v>
      </c>
      <c r="G24" s="680"/>
      <c r="H24" s="682"/>
      <c r="I24" s="711" t="s">
        <v>152</v>
      </c>
      <c r="J24" s="705" t="s">
        <v>975</v>
      </c>
      <c r="K24" s="287"/>
      <c r="L24" s="699"/>
      <c r="M24" s="246"/>
      <c r="N24" s="246"/>
      <c r="O24" s="695">
        <v>318</v>
      </c>
      <c r="P24" s="680"/>
      <c r="Q24" s="681"/>
      <c r="R24" s="682"/>
      <c r="S24" s="705" t="s">
        <v>975</v>
      </c>
      <c r="T24" s="287"/>
      <c r="U24" s="246"/>
      <c r="V24" s="695"/>
      <c r="W24" s="680" t="s">
        <v>1002</v>
      </c>
      <c r="X24" s="695">
        <v>347</v>
      </c>
      <c r="Y24" s="697"/>
      <c r="Z24" s="681"/>
      <c r="AA24" s="701" t="s">
        <v>996</v>
      </c>
      <c r="AB24" s="705" t="s">
        <v>975</v>
      </c>
      <c r="AC24" s="287"/>
      <c r="AD24" s="699"/>
      <c r="AE24" s="246"/>
      <c r="AF24" s="251"/>
      <c r="AG24" s="695">
        <v>351</v>
      </c>
      <c r="AH24" s="697"/>
      <c r="AI24" s="681"/>
      <c r="AJ24" s="682"/>
      <c r="AK24" s="705" t="s">
        <v>975</v>
      </c>
      <c r="AL24" s="255"/>
      <c r="AM24" s="699"/>
      <c r="AN24" s="246"/>
      <c r="AO24" s="246"/>
      <c r="AP24" s="695">
        <v>364</v>
      </c>
      <c r="AQ24" s="681"/>
      <c r="AR24" s="681"/>
      <c r="AS24" s="705"/>
      <c r="AT24" s="705" t="s">
        <v>975</v>
      </c>
    </row>
    <row r="25" spans="1:46" ht="53.5" customHeight="1" x14ac:dyDescent="0.45">
      <c r="A25" s="1351">
        <v>45638</v>
      </c>
      <c r="B25" s="692">
        <v>1</v>
      </c>
      <c r="C25" s="693"/>
      <c r="D25" s="694"/>
      <c r="E25" s="694"/>
      <c r="F25" s="695"/>
      <c r="G25" s="680"/>
      <c r="H25" s="681"/>
      <c r="I25" s="697"/>
      <c r="J25" s="705"/>
      <c r="K25" s="287"/>
      <c r="L25" s="699"/>
      <c r="M25" s="246"/>
      <c r="N25" s="246"/>
      <c r="O25" s="695"/>
      <c r="P25" s="699"/>
      <c r="Q25" s="681"/>
      <c r="R25" s="246"/>
      <c r="S25" s="705"/>
      <c r="T25" s="287"/>
      <c r="U25" s="699"/>
      <c r="V25" s="246"/>
      <c r="W25" s="246">
        <v>24</v>
      </c>
      <c r="X25" s="695"/>
      <c r="Y25" s="719"/>
      <c r="Z25" s="245"/>
      <c r="AA25" s="682" t="s">
        <v>325</v>
      </c>
      <c r="AB25" s="705"/>
      <c r="AC25" s="287"/>
      <c r="AD25" s="699"/>
      <c r="AE25" s="246"/>
      <c r="AF25" s="246">
        <v>9</v>
      </c>
      <c r="AG25" s="695"/>
      <c r="AH25" s="246"/>
      <c r="AI25" s="245"/>
      <c r="AJ25" s="682" t="s">
        <v>325</v>
      </c>
      <c r="AK25" s="705"/>
      <c r="AL25" s="255"/>
      <c r="AM25" s="699"/>
      <c r="AN25" s="246"/>
      <c r="AO25" s="246">
        <v>33</v>
      </c>
      <c r="AP25" s="695"/>
      <c r="AQ25" s="246"/>
      <c r="AR25" s="246"/>
      <c r="AS25" s="682" t="s">
        <v>325</v>
      </c>
      <c r="AT25" s="705"/>
    </row>
    <row r="26" spans="1:46" ht="42" customHeight="1" x14ac:dyDescent="0.45">
      <c r="A26" s="1352"/>
      <c r="B26" s="692">
        <v>2</v>
      </c>
      <c r="C26" s="693"/>
      <c r="D26" s="694"/>
      <c r="E26" s="694"/>
      <c r="F26" s="695"/>
      <c r="G26" s="680"/>
      <c r="H26" s="682"/>
      <c r="I26" s="697"/>
      <c r="J26" s="705"/>
      <c r="K26" s="287"/>
      <c r="L26" s="699"/>
      <c r="M26" s="246"/>
      <c r="N26" s="246"/>
      <c r="O26" s="695"/>
      <c r="P26" s="680"/>
      <c r="Q26" s="682"/>
      <c r="R26" s="707"/>
      <c r="S26" s="705"/>
      <c r="T26" s="287"/>
      <c r="U26" s="699"/>
      <c r="V26" s="694">
        <v>190</v>
      </c>
      <c r="W26" s="246"/>
      <c r="X26" s="695"/>
      <c r="Y26" s="697"/>
      <c r="Z26" s="682" t="s">
        <v>1003</v>
      </c>
      <c r="AA26" s="701"/>
      <c r="AB26" s="705"/>
      <c r="AC26" s="287"/>
      <c r="AD26" s="699"/>
      <c r="AE26" s="694">
        <v>15</v>
      </c>
      <c r="AF26" s="246"/>
      <c r="AG26" s="695"/>
      <c r="AH26" s="697"/>
      <c r="AI26" s="682" t="s">
        <v>1004</v>
      </c>
      <c r="AJ26" s="682" t="s">
        <v>325</v>
      </c>
      <c r="AK26" s="705"/>
      <c r="AL26" s="255"/>
      <c r="AM26" s="699"/>
      <c r="AN26" s="694"/>
      <c r="AO26" s="246">
        <v>57</v>
      </c>
      <c r="AP26" s="695"/>
      <c r="AQ26" s="680"/>
      <c r="AR26" s="682"/>
      <c r="AS26" s="682" t="s">
        <v>325</v>
      </c>
      <c r="AT26" s="705"/>
    </row>
    <row r="27" spans="1:46" ht="49.95" customHeight="1" x14ac:dyDescent="0.45">
      <c r="A27" s="1351">
        <v>45639</v>
      </c>
      <c r="B27" s="717">
        <v>1</v>
      </c>
      <c r="C27" s="693"/>
      <c r="D27" s="694"/>
      <c r="E27" s="694">
        <v>27</v>
      </c>
      <c r="F27" s="695"/>
      <c r="G27" s="680"/>
      <c r="H27" s="681"/>
      <c r="I27" s="711" t="s">
        <v>152</v>
      </c>
      <c r="J27" s="705"/>
      <c r="K27" s="287"/>
      <c r="L27" s="699"/>
      <c r="M27" s="246"/>
      <c r="N27" s="246"/>
      <c r="O27" s="695"/>
      <c r="P27" s="680"/>
      <c r="Q27" s="681"/>
      <c r="R27" s="682"/>
      <c r="S27" s="705"/>
      <c r="T27" s="287"/>
      <c r="U27" s="699"/>
      <c r="V27" s="246"/>
      <c r="W27" s="246">
        <v>50</v>
      </c>
      <c r="X27" s="695"/>
      <c r="Y27" s="680"/>
      <c r="Z27" s="682"/>
      <c r="AA27" s="715" t="s">
        <v>152</v>
      </c>
      <c r="AB27" s="705"/>
      <c r="AC27" s="287"/>
      <c r="AD27" s="699"/>
      <c r="AE27" s="246"/>
      <c r="AF27" s="246"/>
      <c r="AG27" s="695"/>
      <c r="AH27" s="680"/>
      <c r="AI27" s="245"/>
      <c r="AJ27" s="682"/>
      <c r="AK27" s="705"/>
      <c r="AL27" s="255"/>
      <c r="AM27" s="699"/>
      <c r="AN27" s="246"/>
      <c r="AO27" s="246">
        <v>52</v>
      </c>
      <c r="AP27" s="695"/>
      <c r="AQ27" s="245"/>
      <c r="AR27" s="246"/>
      <c r="AS27" s="682" t="s">
        <v>325</v>
      </c>
      <c r="AT27" s="705"/>
    </row>
    <row r="28" spans="1:46" ht="72" customHeight="1" x14ac:dyDescent="0.45">
      <c r="A28" s="1352"/>
      <c r="B28" s="692">
        <v>2</v>
      </c>
      <c r="C28" s="693"/>
      <c r="D28" s="694"/>
      <c r="E28" s="694"/>
      <c r="F28" s="695"/>
      <c r="G28" s="682"/>
      <c r="H28" s="682"/>
      <c r="I28" s="707"/>
      <c r="J28" s="705"/>
      <c r="K28" s="287"/>
      <c r="L28" s="699"/>
      <c r="M28" s="246"/>
      <c r="N28" s="246"/>
      <c r="O28" s="695"/>
      <c r="P28" s="682"/>
      <c r="Q28" s="682"/>
      <c r="R28" s="682"/>
      <c r="S28" s="705"/>
      <c r="T28" s="287"/>
      <c r="U28" s="699"/>
      <c r="V28" s="246"/>
      <c r="W28" s="287"/>
      <c r="X28" s="695"/>
      <c r="Y28" s="682"/>
      <c r="Z28" s="246"/>
      <c r="AA28" s="701"/>
      <c r="AB28" s="705"/>
      <c r="AC28" s="287"/>
      <c r="AD28" s="699"/>
      <c r="AE28" s="246"/>
      <c r="AF28" s="246"/>
      <c r="AG28" s="695"/>
      <c r="AH28" s="680"/>
      <c r="AI28" s="245"/>
      <c r="AJ28" s="701"/>
      <c r="AK28" s="705"/>
      <c r="AL28" s="255"/>
      <c r="AM28" s="699"/>
      <c r="AN28" s="246"/>
      <c r="AO28" s="246">
        <v>24</v>
      </c>
      <c r="AP28" s="695"/>
      <c r="AQ28" s="245"/>
      <c r="AR28" s="246"/>
      <c r="AS28" s="682" t="s">
        <v>325</v>
      </c>
      <c r="AT28" s="705"/>
    </row>
    <row r="29" spans="1:46" ht="66" customHeight="1" x14ac:dyDescent="0.45">
      <c r="A29" s="1351">
        <v>45640</v>
      </c>
      <c r="B29" s="692">
        <v>1</v>
      </c>
      <c r="C29" s="693"/>
      <c r="D29" s="694"/>
      <c r="E29" s="694">
        <v>106</v>
      </c>
      <c r="F29" s="695"/>
      <c r="G29" s="682"/>
      <c r="H29" s="681"/>
      <c r="I29" s="707"/>
      <c r="J29" s="705"/>
      <c r="K29" s="287"/>
      <c r="L29" s="699"/>
      <c r="M29" s="246"/>
      <c r="N29" s="246"/>
      <c r="O29" s="695"/>
      <c r="P29" s="680"/>
      <c r="Q29" s="682"/>
      <c r="R29" s="682"/>
      <c r="S29" s="705"/>
      <c r="T29" s="287"/>
      <c r="U29" s="699"/>
      <c r="V29" s="246"/>
      <c r="W29" s="246">
        <v>111</v>
      </c>
      <c r="X29" s="695"/>
      <c r="Y29" s="682"/>
      <c r="Z29" s="681"/>
      <c r="AA29" s="701" t="s">
        <v>328</v>
      </c>
      <c r="AB29" s="705"/>
      <c r="AC29" s="287"/>
      <c r="AD29" s="699"/>
      <c r="AE29" s="246"/>
      <c r="AF29" s="246">
        <v>57</v>
      </c>
      <c r="AG29" s="695"/>
      <c r="AH29" s="680"/>
      <c r="AI29" s="681"/>
      <c r="AJ29" s="246" t="s">
        <v>508</v>
      </c>
      <c r="AK29" s="705"/>
      <c r="AL29" s="255"/>
      <c r="AM29" s="699"/>
      <c r="AN29" s="246"/>
      <c r="AO29" s="246"/>
      <c r="AP29" s="695"/>
      <c r="AQ29" s="245"/>
      <c r="AR29" s="681"/>
      <c r="AS29" s="302"/>
      <c r="AT29" s="705"/>
    </row>
    <row r="30" spans="1:46" ht="39.65" customHeight="1" x14ac:dyDescent="0.45">
      <c r="A30" s="1352"/>
      <c r="B30" s="717">
        <v>2</v>
      </c>
      <c r="C30" s="693"/>
      <c r="D30" s="694"/>
      <c r="E30" s="694">
        <v>15</v>
      </c>
      <c r="F30" s="695"/>
      <c r="G30" s="682"/>
      <c r="H30" s="681"/>
      <c r="I30" s="701" t="s">
        <v>152</v>
      </c>
      <c r="J30" s="705"/>
      <c r="K30" s="287"/>
      <c r="L30" s="699"/>
      <c r="M30" s="246"/>
      <c r="N30" s="246"/>
      <c r="O30" s="695"/>
      <c r="P30" s="680"/>
      <c r="Q30" s="682"/>
      <c r="R30" s="682"/>
      <c r="S30" s="705"/>
      <c r="T30" s="287"/>
      <c r="U30" s="699"/>
      <c r="V30" s="246"/>
      <c r="W30" s="246">
        <v>20</v>
      </c>
      <c r="X30" s="695"/>
      <c r="Y30" s="682"/>
      <c r="Z30" s="681"/>
      <c r="AA30" s="701" t="s">
        <v>328</v>
      </c>
      <c r="AB30" s="705"/>
      <c r="AC30" s="287"/>
      <c r="AD30" s="699"/>
      <c r="AE30" s="246"/>
      <c r="AF30" s="246">
        <v>10</v>
      </c>
      <c r="AG30" s="695"/>
      <c r="AH30" s="680"/>
      <c r="AI30" s="682"/>
      <c r="AJ30" s="246" t="s">
        <v>508</v>
      </c>
      <c r="AK30" s="705"/>
      <c r="AL30" s="255"/>
      <c r="AM30" s="699"/>
      <c r="AN30" s="246"/>
      <c r="AO30" s="246">
        <v>8</v>
      </c>
      <c r="AP30" s="695"/>
      <c r="AQ30" s="296"/>
      <c r="AR30" s="245"/>
      <c r="AS30" s="302" t="s">
        <v>325</v>
      </c>
      <c r="AT30" s="704"/>
    </row>
    <row r="31" spans="1:46" ht="39.65" customHeight="1" x14ac:dyDescent="0.45">
      <c r="A31" s="1351">
        <v>45641</v>
      </c>
      <c r="B31" s="692">
        <v>1</v>
      </c>
      <c r="C31" s="693"/>
      <c r="D31" s="694"/>
      <c r="E31" s="694">
        <v>10</v>
      </c>
      <c r="F31" s="695"/>
      <c r="G31" s="680"/>
      <c r="H31" s="682"/>
      <c r="I31" s="701" t="s">
        <v>152</v>
      </c>
      <c r="J31" s="705"/>
      <c r="K31" s="287"/>
      <c r="L31" s="699"/>
      <c r="M31" s="246"/>
      <c r="N31" s="246"/>
      <c r="O31" s="695"/>
      <c r="P31" s="251"/>
      <c r="Q31" s="246"/>
      <c r="R31" s="246"/>
      <c r="S31" s="705"/>
      <c r="T31" s="287"/>
      <c r="U31" s="699"/>
      <c r="V31" s="246"/>
      <c r="W31" s="246"/>
      <c r="X31" s="695"/>
      <c r="Y31" s="296"/>
      <c r="Z31" s="246"/>
      <c r="AA31" s="701"/>
      <c r="AB31" s="705"/>
      <c r="AC31" s="287"/>
      <c r="AD31" s="699"/>
      <c r="AE31" s="246"/>
      <c r="AF31" s="246">
        <v>10</v>
      </c>
      <c r="AG31" s="695"/>
      <c r="AH31" s="680"/>
      <c r="AI31" s="246"/>
      <c r="AJ31" s="246" t="s">
        <v>508</v>
      </c>
      <c r="AK31" s="705"/>
      <c r="AL31" s="255"/>
      <c r="AM31" s="699"/>
      <c r="AN31" s="246"/>
      <c r="AO31" s="246"/>
      <c r="AP31" s="695"/>
      <c r="AQ31" s="251"/>
      <c r="AR31" s="246"/>
      <c r="AS31" s="246"/>
      <c r="AT31" s="704"/>
    </row>
    <row r="32" spans="1:46" ht="63" customHeight="1" x14ac:dyDescent="0.45">
      <c r="A32" s="1352"/>
      <c r="B32" s="692">
        <v>2</v>
      </c>
      <c r="C32" s="693"/>
      <c r="D32" s="693"/>
      <c r="E32" s="694">
        <v>15</v>
      </c>
      <c r="F32" s="693"/>
      <c r="G32" s="680"/>
      <c r="H32" s="705"/>
      <c r="I32" s="701" t="s">
        <v>152</v>
      </c>
      <c r="J32" s="705"/>
      <c r="K32" s="287"/>
      <c r="L32" s="699"/>
      <c r="M32" s="246"/>
      <c r="N32" s="246"/>
      <c r="O32" s="246"/>
      <c r="P32" s="251"/>
      <c r="Q32" s="705"/>
      <c r="R32" s="246"/>
      <c r="S32" s="705"/>
      <c r="T32" s="287"/>
      <c r="U32" s="699"/>
      <c r="V32" s="246"/>
      <c r="W32" s="694"/>
      <c r="X32" s="246"/>
      <c r="Y32" s="680"/>
      <c r="Z32" s="705"/>
      <c r="AA32" s="701"/>
      <c r="AB32" s="705"/>
      <c r="AC32" s="287"/>
      <c r="AD32" s="699"/>
      <c r="AE32" s="246"/>
      <c r="AF32" s="694"/>
      <c r="AG32" s="246"/>
      <c r="AH32" s="680"/>
      <c r="AI32" s="705"/>
      <c r="AJ32" s="701"/>
      <c r="AK32" s="705"/>
      <c r="AL32" s="255"/>
      <c r="AM32" s="699"/>
      <c r="AN32" s="246"/>
      <c r="AO32" s="246"/>
      <c r="AP32" s="695"/>
      <c r="AQ32" s="251"/>
      <c r="AR32" s="705"/>
      <c r="AS32" s="696"/>
      <c r="AT32" s="704"/>
    </row>
    <row r="33" spans="1:46" ht="43.2" customHeight="1" x14ac:dyDescent="0.45">
      <c r="A33" s="1351">
        <v>45642</v>
      </c>
      <c r="B33" s="692">
        <v>1</v>
      </c>
      <c r="C33" s="693"/>
      <c r="D33" s="694"/>
      <c r="E33" s="694">
        <v>15</v>
      </c>
      <c r="F33" s="695"/>
      <c r="G33" s="680"/>
      <c r="H33" s="682"/>
      <c r="I33" s="701" t="s">
        <v>152</v>
      </c>
      <c r="J33" s="705"/>
      <c r="K33" s="287"/>
      <c r="L33" s="699"/>
      <c r="M33" s="246"/>
      <c r="N33" s="246"/>
      <c r="O33" s="695"/>
      <c r="P33" s="251"/>
      <c r="Q33" s="246"/>
      <c r="R33" s="246"/>
      <c r="S33" s="705"/>
      <c r="T33" s="287"/>
      <c r="U33" s="699"/>
      <c r="V33" s="246"/>
      <c r="W33" s="246"/>
      <c r="X33" s="695"/>
      <c r="Y33" s="251"/>
      <c r="Z33" s="246"/>
      <c r="AA33" s="701"/>
      <c r="AB33" s="705"/>
      <c r="AC33" s="287"/>
      <c r="AD33" s="699"/>
      <c r="AE33" s="246"/>
      <c r="AF33" s="246">
        <v>10</v>
      </c>
      <c r="AG33" s="695"/>
      <c r="AH33" s="251"/>
      <c r="AI33" s="245"/>
      <c r="AJ33" s="701" t="s">
        <v>152</v>
      </c>
      <c r="AK33" s="705"/>
      <c r="AL33" s="255"/>
      <c r="AM33" s="699"/>
      <c r="AN33" s="246"/>
      <c r="AO33" s="246">
        <v>10</v>
      </c>
      <c r="AP33" s="695"/>
      <c r="AQ33" s="251"/>
      <c r="AR33" s="245"/>
      <c r="AS33" s="246" t="s">
        <v>152</v>
      </c>
      <c r="AT33" s="705"/>
    </row>
    <row r="34" spans="1:46" ht="67.95" customHeight="1" x14ac:dyDescent="0.45">
      <c r="A34" s="1352"/>
      <c r="B34" s="717">
        <v>2</v>
      </c>
      <c r="C34" s="694"/>
      <c r="D34" s="694"/>
      <c r="E34" s="694">
        <v>12</v>
      </c>
      <c r="F34" s="695"/>
      <c r="G34" s="696"/>
      <c r="H34" s="682"/>
      <c r="I34" s="701" t="s">
        <v>152</v>
      </c>
      <c r="J34" s="705"/>
      <c r="K34" s="287"/>
      <c r="L34" s="699"/>
      <c r="M34" s="246"/>
      <c r="N34" s="246"/>
      <c r="O34" s="695"/>
      <c r="P34" s="251"/>
      <c r="Q34" s="682"/>
      <c r="R34" s="246"/>
      <c r="S34" s="705"/>
      <c r="T34" s="287"/>
      <c r="U34" s="699"/>
      <c r="V34" s="246"/>
      <c r="W34" s="246">
        <v>31</v>
      </c>
      <c r="X34" s="695"/>
      <c r="Y34" s="245"/>
      <c r="Z34" s="245"/>
      <c r="AA34" s="701" t="s">
        <v>152</v>
      </c>
      <c r="AB34" s="705"/>
      <c r="AC34" s="287"/>
      <c r="AD34" s="699"/>
      <c r="AE34" s="246"/>
      <c r="AF34" s="246"/>
      <c r="AG34" s="695"/>
      <c r="AH34" s="251"/>
      <c r="AI34" s="246"/>
      <c r="AJ34" s="245"/>
      <c r="AK34" s="705"/>
      <c r="AL34" s="255"/>
      <c r="AM34" s="699"/>
      <c r="AN34" s="246"/>
      <c r="AO34" s="246"/>
      <c r="AP34" s="695"/>
      <c r="AQ34" s="251"/>
      <c r="AR34" s="246"/>
      <c r="AS34" s="682"/>
      <c r="AT34" s="705"/>
    </row>
    <row r="35" spans="1:46" ht="51" customHeight="1" x14ac:dyDescent="0.45">
      <c r="A35" s="1351">
        <v>45643</v>
      </c>
      <c r="B35" s="692">
        <v>1</v>
      </c>
      <c r="C35" s="694"/>
      <c r="D35" s="694"/>
      <c r="E35" s="302">
        <v>20</v>
      </c>
      <c r="F35" s="695"/>
      <c r="G35" s="719"/>
      <c r="H35" s="251"/>
      <c r="I35" s="701" t="s">
        <v>152</v>
      </c>
      <c r="J35" s="705"/>
      <c r="K35" s="287"/>
      <c r="L35" s="699"/>
      <c r="M35" s="246"/>
      <c r="N35" s="246"/>
      <c r="O35" s="695"/>
      <c r="P35" s="719"/>
      <c r="Q35" s="723"/>
      <c r="R35" s="682"/>
      <c r="S35" s="705"/>
      <c r="T35" s="287"/>
      <c r="U35" s="699"/>
      <c r="V35" s="246"/>
      <c r="W35" s="302">
        <v>31</v>
      </c>
      <c r="X35" s="695"/>
      <c r="Y35" s="719"/>
      <c r="Z35" s="245"/>
      <c r="AA35" s="701" t="s">
        <v>152</v>
      </c>
      <c r="AB35" s="705"/>
      <c r="AC35" s="287"/>
      <c r="AD35" s="699"/>
      <c r="AE35" s="246"/>
      <c r="AF35" s="246"/>
      <c r="AG35" s="695"/>
      <c r="AH35" s="719"/>
      <c r="AI35" s="246"/>
      <c r="AJ35" s="696"/>
      <c r="AK35" s="705"/>
      <c r="AL35" s="255"/>
      <c r="AM35" s="699"/>
      <c r="AN35" s="246"/>
      <c r="AO35" s="302"/>
      <c r="AP35" s="695"/>
      <c r="AQ35" s="251"/>
      <c r="AR35" s="707"/>
      <c r="AS35" s="708"/>
      <c r="AT35" s="705"/>
    </row>
    <row r="36" spans="1:46" ht="46.95" customHeight="1" x14ac:dyDescent="0.45">
      <c r="A36" s="1352"/>
      <c r="B36" s="692">
        <v>2</v>
      </c>
      <c r="C36" s="302"/>
      <c r="D36" s="246"/>
      <c r="E36" s="302">
        <v>378</v>
      </c>
      <c r="F36" s="695"/>
      <c r="G36" s="707"/>
      <c r="H36" s="682"/>
      <c r="I36" s="707" t="s">
        <v>1005</v>
      </c>
      <c r="J36" s="705"/>
      <c r="K36" s="287"/>
      <c r="L36" s="719"/>
      <c r="M36" s="246"/>
      <c r="N36" s="246"/>
      <c r="O36" s="695"/>
      <c r="P36" s="719"/>
      <c r="Q36" s="682"/>
      <c r="R36" s="245"/>
      <c r="S36" s="705"/>
      <c r="T36" s="287"/>
      <c r="U36" s="699"/>
      <c r="V36" s="246"/>
      <c r="W36" s="246">
        <v>31</v>
      </c>
      <c r="X36" s="695"/>
      <c r="Y36" s="719"/>
      <c r="Z36" s="682"/>
      <c r="AA36" s="701" t="s">
        <v>152</v>
      </c>
      <c r="AB36" s="705"/>
      <c r="AC36" s="287"/>
      <c r="AD36" s="699"/>
      <c r="AE36" s="246"/>
      <c r="AF36" s="302"/>
      <c r="AG36" s="695"/>
      <c r="AH36" s="719"/>
      <c r="AI36" s="245"/>
      <c r="AJ36" s="701"/>
      <c r="AK36" s="705"/>
      <c r="AL36" s="255"/>
      <c r="AM36" s="699"/>
      <c r="AN36" s="246"/>
      <c r="AO36" s="699"/>
      <c r="AP36" s="695"/>
      <c r="AQ36" s="251"/>
      <c r="AR36" s="296"/>
      <c r="AS36" s="719"/>
      <c r="AT36" s="705"/>
    </row>
    <row r="37" spans="1:46" ht="59.5" customHeight="1" x14ac:dyDescent="0.45">
      <c r="A37" s="1351">
        <v>45644</v>
      </c>
      <c r="B37" s="717">
        <v>1</v>
      </c>
      <c r="C37" s="302"/>
      <c r="D37" s="694">
        <v>90</v>
      </c>
      <c r="E37" s="302"/>
      <c r="F37" s="695"/>
      <c r="G37" s="707"/>
      <c r="H37" s="296" t="s">
        <v>366</v>
      </c>
      <c r="I37" s="697"/>
      <c r="J37" s="705"/>
      <c r="K37" s="287"/>
      <c r="L37" s="699"/>
      <c r="M37" s="246"/>
      <c r="N37" s="246"/>
      <c r="O37" s="695"/>
      <c r="P37" s="251"/>
      <c r="Q37" s="246"/>
      <c r="R37" s="246"/>
      <c r="S37" s="705"/>
      <c r="T37" s="287"/>
      <c r="U37" s="699"/>
      <c r="V37" s="246"/>
      <c r="W37" s="246">
        <v>60</v>
      </c>
      <c r="X37" s="695"/>
      <c r="Y37" s="251"/>
      <c r="Z37" s="245"/>
      <c r="AA37" s="701" t="s">
        <v>152</v>
      </c>
      <c r="AB37" s="705"/>
      <c r="AC37" s="287"/>
      <c r="AD37" s="699"/>
      <c r="AE37" s="246"/>
      <c r="AF37" s="246"/>
      <c r="AG37" s="695"/>
      <c r="AH37" s="296"/>
      <c r="AI37" s="246"/>
      <c r="AJ37" s="701"/>
      <c r="AK37" s="705"/>
      <c r="AL37" s="255"/>
      <c r="AM37" s="699"/>
      <c r="AN37" s="246"/>
      <c r="AO37" s="246"/>
      <c r="AP37" s="695"/>
      <c r="AQ37" s="251"/>
      <c r="AR37" s="246"/>
      <c r="AS37" s="246"/>
      <c r="AT37" s="705"/>
    </row>
    <row r="38" spans="1:46" ht="55.95" customHeight="1" x14ac:dyDescent="0.45">
      <c r="A38" s="1352"/>
      <c r="B38" s="692">
        <v>2</v>
      </c>
      <c r="C38" s="302"/>
      <c r="D38" s="694"/>
      <c r="E38" s="302">
        <v>36</v>
      </c>
      <c r="F38" s="695"/>
      <c r="G38" s="707"/>
      <c r="H38" s="296"/>
      <c r="I38" s="697" t="s">
        <v>152</v>
      </c>
      <c r="J38" s="705"/>
      <c r="K38" s="287"/>
      <c r="L38" s="699"/>
      <c r="M38" s="246"/>
      <c r="N38" s="246"/>
      <c r="O38" s="695"/>
      <c r="P38" s="296"/>
      <c r="Q38" s="296"/>
      <c r="R38" s="246"/>
      <c r="S38" s="705"/>
      <c r="T38" s="287"/>
      <c r="U38" s="699"/>
      <c r="V38" s="246"/>
      <c r="W38" s="246">
        <v>55</v>
      </c>
      <c r="X38" s="695"/>
      <c r="Y38" s="296"/>
      <c r="Z38" s="245"/>
      <c r="AA38" s="701" t="s">
        <v>152</v>
      </c>
      <c r="AB38" s="705"/>
      <c r="AC38" s="287"/>
      <c r="AD38" s="699"/>
      <c r="AE38" s="246"/>
      <c r="AF38" s="246"/>
      <c r="AG38" s="695"/>
      <c r="AH38" s="296"/>
      <c r="AI38" s="246"/>
      <c r="AJ38" s="701"/>
      <c r="AK38" s="705"/>
      <c r="AL38" s="255"/>
      <c r="AM38" s="699"/>
      <c r="AN38" s="246">
        <v>30</v>
      </c>
      <c r="AO38" s="246"/>
      <c r="AP38" s="695"/>
      <c r="AQ38" s="296"/>
      <c r="AR38" s="246" t="s">
        <v>1007</v>
      </c>
      <c r="AS38" s="719"/>
      <c r="AT38" s="705"/>
    </row>
    <row r="39" spans="1:46" ht="70.95" customHeight="1" x14ac:dyDescent="0.45">
      <c r="A39" s="1351">
        <v>45645</v>
      </c>
      <c r="B39" s="692">
        <v>1</v>
      </c>
      <c r="C39" s="302"/>
      <c r="D39" s="694"/>
      <c r="E39" s="694"/>
      <c r="F39" s="695"/>
      <c r="G39" s="707"/>
      <c r="H39" s="296"/>
      <c r="I39" s="697"/>
      <c r="J39" s="705"/>
      <c r="K39" s="287"/>
      <c r="L39" s="699"/>
      <c r="M39" s="246"/>
      <c r="N39" s="246"/>
      <c r="O39" s="695"/>
      <c r="P39" s="707"/>
      <c r="Q39" s="681"/>
      <c r="R39" s="246"/>
      <c r="S39" s="705"/>
      <c r="T39" s="287"/>
      <c r="U39" s="699"/>
      <c r="V39" s="246"/>
      <c r="W39" s="246">
        <v>30</v>
      </c>
      <c r="X39" s="695"/>
      <c r="Y39" s="251"/>
      <c r="Z39" s="682"/>
      <c r="AA39" s="701" t="s">
        <v>152</v>
      </c>
      <c r="AB39" s="705"/>
      <c r="AC39" s="287"/>
      <c r="AD39" s="699"/>
      <c r="AE39" s="246"/>
      <c r="AF39" s="246"/>
      <c r="AG39" s="695"/>
      <c r="AH39" s="707"/>
      <c r="AI39" s="681"/>
      <c r="AJ39" s="701"/>
      <c r="AK39" s="705"/>
      <c r="AL39" s="255"/>
      <c r="AM39" s="699"/>
      <c r="AN39" s="246"/>
      <c r="AO39" s="246"/>
      <c r="AP39" s="695"/>
      <c r="AQ39" s="682"/>
      <c r="AR39" s="707"/>
      <c r="AS39" s="701"/>
      <c r="AT39" s="705"/>
    </row>
    <row r="40" spans="1:46" ht="72.650000000000006" customHeight="1" x14ac:dyDescent="0.45">
      <c r="A40" s="1352"/>
      <c r="B40" s="692">
        <v>2</v>
      </c>
      <c r="C40" s="694"/>
      <c r="D40" s="694"/>
      <c r="E40" s="694">
        <v>38</v>
      </c>
      <c r="F40" s="695"/>
      <c r="G40" s="707"/>
      <c r="H40" s="296"/>
      <c r="I40" s="697" t="s">
        <v>152</v>
      </c>
      <c r="J40" s="705"/>
      <c r="K40" s="287"/>
      <c r="L40" s="699"/>
      <c r="M40" s="246"/>
      <c r="N40" s="246"/>
      <c r="O40" s="695"/>
      <c r="P40" s="680"/>
      <c r="Q40" s="681"/>
      <c r="R40" s="707"/>
      <c r="S40" s="705"/>
      <c r="T40" s="287"/>
      <c r="U40" s="699"/>
      <c r="V40" s="246"/>
      <c r="W40" s="246">
        <v>38</v>
      </c>
      <c r="X40" s="695"/>
      <c r="Y40" s="296"/>
      <c r="Z40" s="246"/>
      <c r="AA40" s="701" t="s">
        <v>152</v>
      </c>
      <c r="AB40" s="705"/>
      <c r="AC40" s="287"/>
      <c r="AD40" s="699"/>
      <c r="AE40" s="246"/>
      <c r="AF40" s="246"/>
      <c r="AG40" s="695"/>
      <c r="AH40" s="719"/>
      <c r="AI40" s="682"/>
      <c r="AJ40" s="701"/>
      <c r="AK40" s="705"/>
      <c r="AL40" s="255"/>
      <c r="AM40" s="719"/>
      <c r="AN40" s="246"/>
      <c r="AO40" s="246"/>
      <c r="AP40" s="695"/>
      <c r="AQ40" s="680"/>
      <c r="AR40" s="681"/>
      <c r="AS40" s="707"/>
      <c r="AT40" s="705"/>
    </row>
    <row r="41" spans="1:46" ht="39.65" customHeight="1" x14ac:dyDescent="0.45">
      <c r="A41" s="1351">
        <v>45646</v>
      </c>
      <c r="B41" s="692">
        <v>1</v>
      </c>
      <c r="C41" s="693"/>
      <c r="D41" s="694">
        <v>13</v>
      </c>
      <c r="E41" s="694">
        <v>61</v>
      </c>
      <c r="F41" s="695"/>
      <c r="G41" s="680"/>
      <c r="H41" s="682" t="s">
        <v>1006</v>
      </c>
      <c r="I41" s="697" t="s">
        <v>152</v>
      </c>
      <c r="J41" s="705"/>
      <c r="K41" s="287"/>
      <c r="L41" s="699"/>
      <c r="M41" s="246">
        <v>25</v>
      </c>
      <c r="N41" s="246"/>
      <c r="O41" s="695"/>
      <c r="P41" s="251"/>
      <c r="Q41" s="246" t="s">
        <v>1006</v>
      </c>
      <c r="R41" s="707"/>
      <c r="S41" s="705"/>
      <c r="T41" s="287"/>
      <c r="U41" s="699"/>
      <c r="V41" s="246"/>
      <c r="W41" s="246"/>
      <c r="X41" s="695"/>
      <c r="Y41" s="251"/>
      <c r="Z41" s="245"/>
      <c r="AA41" s="701"/>
      <c r="AB41" s="705"/>
      <c r="AC41" s="287"/>
      <c r="AD41" s="699"/>
      <c r="AE41" s="246"/>
      <c r="AF41" s="246"/>
      <c r="AG41" s="695"/>
      <c r="AH41" s="719"/>
      <c r="AI41" s="245"/>
      <c r="AJ41" s="246"/>
      <c r="AK41" s="705"/>
      <c r="AL41" s="255"/>
      <c r="AM41" s="699"/>
      <c r="AN41" s="246"/>
      <c r="AO41" s="246"/>
      <c r="AP41" s="695"/>
      <c r="AQ41" s="251"/>
      <c r="AR41" s="245"/>
      <c r="AS41" s="707"/>
      <c r="AT41" s="705"/>
    </row>
    <row r="42" spans="1:46" ht="52.95" customHeight="1" x14ac:dyDescent="0.45">
      <c r="A42" s="1352"/>
      <c r="B42" s="692">
        <v>2</v>
      </c>
      <c r="C42" s="694"/>
      <c r="D42" s="694"/>
      <c r="E42" s="694"/>
      <c r="F42" s="695"/>
      <c r="G42" s="680"/>
      <c r="H42" s="682"/>
      <c r="I42" s="707"/>
      <c r="J42" s="705"/>
      <c r="K42" s="287"/>
      <c r="L42" s="699"/>
      <c r="M42" s="246"/>
      <c r="N42" s="246"/>
      <c r="O42" s="695"/>
      <c r="P42" s="251"/>
      <c r="Q42" s="245"/>
      <c r="R42" s="246"/>
      <c r="S42" s="705"/>
      <c r="T42" s="287"/>
      <c r="U42" s="699"/>
      <c r="V42" s="246"/>
      <c r="W42" s="246"/>
      <c r="X42" s="695"/>
      <c r="Y42" s="296"/>
      <c r="Z42" s="246"/>
      <c r="AA42" s="701"/>
      <c r="AB42" s="705"/>
      <c r="AC42" s="287"/>
      <c r="AD42" s="699"/>
      <c r="AE42" s="246"/>
      <c r="AF42" s="246"/>
      <c r="AG42" s="695"/>
      <c r="AH42" s="251"/>
      <c r="AI42" s="245"/>
      <c r="AJ42" s="246"/>
      <c r="AK42" s="705"/>
      <c r="AL42" s="255"/>
      <c r="AM42" s="699"/>
      <c r="AN42" s="246"/>
      <c r="AO42" s="246"/>
      <c r="AP42" s="695"/>
      <c r="AQ42" s="251"/>
      <c r="AR42" s="246"/>
      <c r="AS42" s="246"/>
      <c r="AT42" s="705"/>
    </row>
    <row r="43" spans="1:46" ht="65.5" customHeight="1" x14ac:dyDescent="0.45">
      <c r="A43" s="1351">
        <v>45647</v>
      </c>
      <c r="B43" s="692">
        <v>1</v>
      </c>
      <c r="C43" s="694"/>
      <c r="D43" s="694"/>
      <c r="E43" s="694">
        <v>15</v>
      </c>
      <c r="F43" s="695"/>
      <c r="G43" s="681"/>
      <c r="H43" s="681"/>
      <c r="I43" s="707" t="s">
        <v>152</v>
      </c>
      <c r="J43" s="705"/>
      <c r="K43" s="287"/>
      <c r="L43" s="699"/>
      <c r="M43" s="246"/>
      <c r="N43" s="246"/>
      <c r="O43" s="695"/>
      <c r="P43" s="251"/>
      <c r="Q43" s="246"/>
      <c r="R43" s="246"/>
      <c r="S43" s="705"/>
      <c r="T43" s="287"/>
      <c r="U43" s="699"/>
      <c r="V43" s="246"/>
      <c r="W43" s="246"/>
      <c r="X43" s="695"/>
      <c r="Y43" s="251"/>
      <c r="Z43" s="246"/>
      <c r="AA43" s="701"/>
      <c r="AB43" s="705"/>
      <c r="AC43" s="287"/>
      <c r="AD43" s="699"/>
      <c r="AE43" s="246"/>
      <c r="AF43" s="246"/>
      <c r="AG43" s="695"/>
      <c r="AH43" s="245"/>
      <c r="AI43" s="682"/>
      <c r="AJ43" s="246"/>
      <c r="AK43" s="705"/>
      <c r="AL43" s="255"/>
      <c r="AM43" s="699"/>
      <c r="AN43" s="246"/>
      <c r="AO43" s="246"/>
      <c r="AP43" s="695"/>
      <c r="AQ43" s="245"/>
      <c r="AR43" s="682"/>
      <c r="AS43" s="246"/>
      <c r="AT43" s="705"/>
    </row>
    <row r="44" spans="1:46" ht="69" customHeight="1" x14ac:dyDescent="0.45">
      <c r="A44" s="1352"/>
      <c r="B44" s="692">
        <v>2</v>
      </c>
      <c r="C44" s="694"/>
      <c r="D44" s="694"/>
      <c r="E44" s="694">
        <v>17</v>
      </c>
      <c r="F44" s="695"/>
      <c r="G44" s="681"/>
      <c r="H44" s="296"/>
      <c r="I44" s="707" t="s">
        <v>152</v>
      </c>
      <c r="J44" s="705"/>
      <c r="K44" s="287"/>
      <c r="L44" s="699"/>
      <c r="M44" s="246"/>
      <c r="N44" s="246"/>
      <c r="O44" s="689"/>
      <c r="P44" s="296"/>
      <c r="Q44" s="246"/>
      <c r="R44" s="245"/>
      <c r="S44" s="705"/>
      <c r="T44" s="287"/>
      <c r="U44" s="699"/>
      <c r="V44" s="246"/>
      <c r="W44" s="694"/>
      <c r="X44" s="695"/>
      <c r="Y44" s="681"/>
      <c r="Z44" s="682"/>
      <c r="AA44" s="701"/>
      <c r="AB44" s="705"/>
      <c r="AC44" s="287"/>
      <c r="AD44" s="699"/>
      <c r="AE44" s="246"/>
      <c r="AF44" s="246"/>
      <c r="AG44" s="689"/>
      <c r="AH44" s="251"/>
      <c r="AI44" s="245"/>
      <c r="AJ44" s="701"/>
      <c r="AK44" s="705"/>
      <c r="AL44" s="255"/>
      <c r="AM44" s="699"/>
      <c r="AN44" s="246"/>
      <c r="AO44" s="246"/>
      <c r="AP44" s="689"/>
      <c r="AQ44" s="251"/>
      <c r="AR44" s="245"/>
      <c r="AS44" s="245"/>
      <c r="AT44" s="705"/>
    </row>
    <row r="45" spans="1:46" ht="69" customHeight="1" x14ac:dyDescent="0.45">
      <c r="A45" s="1351">
        <v>45648</v>
      </c>
      <c r="B45" s="692">
        <v>1</v>
      </c>
      <c r="C45" s="694"/>
      <c r="D45" s="694"/>
      <c r="E45" s="694"/>
      <c r="F45" s="695"/>
      <c r="G45" s="681"/>
      <c r="H45" s="681"/>
      <c r="I45" s="707"/>
      <c r="J45" s="705"/>
      <c r="K45" s="287"/>
      <c r="L45" s="699"/>
      <c r="M45" s="246"/>
      <c r="N45" s="246"/>
      <c r="O45" s="689"/>
      <c r="P45" s="251"/>
      <c r="Q45" s="245"/>
      <c r="R45" s="246"/>
      <c r="S45" s="705"/>
      <c r="T45" s="287"/>
      <c r="U45" s="699"/>
      <c r="V45" s="245"/>
      <c r="W45" s="246"/>
      <c r="X45" s="695"/>
      <c r="Y45" s="251"/>
      <c r="Z45" s="245"/>
      <c r="AA45" s="701"/>
      <c r="AB45" s="705"/>
      <c r="AC45" s="287"/>
      <c r="AD45" s="699"/>
      <c r="AE45" s="246"/>
      <c r="AF45" s="246"/>
      <c r="AG45" s="689"/>
      <c r="AH45" s="251"/>
      <c r="AI45" s="245"/>
      <c r="AJ45" s="245"/>
      <c r="AK45" s="705"/>
      <c r="AL45" s="255"/>
      <c r="AM45" s="699"/>
      <c r="AN45" s="246"/>
      <c r="AO45" s="246"/>
      <c r="AP45" s="689"/>
      <c r="AQ45" s="251"/>
      <c r="AR45" s="245"/>
      <c r="AS45" s="246"/>
      <c r="AT45" s="705"/>
    </row>
    <row r="46" spans="1:46" ht="48.65" customHeight="1" x14ac:dyDescent="0.45">
      <c r="A46" s="1352"/>
      <c r="B46" s="692">
        <v>2</v>
      </c>
      <c r="C46" s="694"/>
      <c r="D46" s="694"/>
      <c r="E46" s="694">
        <v>15</v>
      </c>
      <c r="F46" s="695"/>
      <c r="G46" s="681"/>
      <c r="H46" s="681"/>
      <c r="I46" s="707" t="s">
        <v>152</v>
      </c>
      <c r="J46" s="705"/>
      <c r="K46" s="287"/>
      <c r="L46" s="699"/>
      <c r="M46" s="246"/>
      <c r="N46" s="246"/>
      <c r="O46" s="724"/>
      <c r="P46" s="251"/>
      <c r="Q46" s="682"/>
      <c r="R46" s="245"/>
      <c r="S46" s="705"/>
      <c r="T46" s="287"/>
      <c r="U46" s="699"/>
      <c r="V46" s="246"/>
      <c r="W46" s="246"/>
      <c r="X46" s="689"/>
      <c r="Y46" s="246"/>
      <c r="Z46" s="246"/>
      <c r="AA46" s="245"/>
      <c r="AB46" s="705"/>
      <c r="AC46" s="287"/>
      <c r="AD46" s="699"/>
      <c r="AE46" s="246"/>
      <c r="AF46" s="246">
        <v>10</v>
      </c>
      <c r="AG46" s="689"/>
      <c r="AH46" s="296"/>
      <c r="AI46" s="245"/>
      <c r="AJ46" s="701" t="s">
        <v>508</v>
      </c>
      <c r="AK46" s="705"/>
      <c r="AL46" s="255"/>
      <c r="AM46" s="699"/>
      <c r="AN46" s="246"/>
      <c r="AO46" s="246">
        <v>23</v>
      </c>
      <c r="AP46" s="689"/>
      <c r="AQ46" s="251"/>
      <c r="AR46" s="682"/>
      <c r="AS46" s="245" t="s">
        <v>508</v>
      </c>
      <c r="AT46" s="705"/>
    </row>
    <row r="47" spans="1:46" ht="58.95" customHeight="1" x14ac:dyDescent="0.45">
      <c r="A47" s="1351">
        <v>45649</v>
      </c>
      <c r="B47" s="692">
        <v>1</v>
      </c>
      <c r="C47" s="694"/>
      <c r="D47" s="694"/>
      <c r="E47" s="694">
        <v>29</v>
      </c>
      <c r="F47" s="695"/>
      <c r="G47" s="681"/>
      <c r="H47" s="682"/>
      <c r="I47" s="707" t="s">
        <v>152</v>
      </c>
      <c r="J47" s="698"/>
      <c r="K47" s="287"/>
      <c r="L47" s="699"/>
      <c r="M47" s="246"/>
      <c r="N47" s="246"/>
      <c r="O47" s="689"/>
      <c r="P47" s="251"/>
      <c r="Q47" s="246"/>
      <c r="R47" s="246"/>
      <c r="S47" s="705"/>
      <c r="T47" s="287"/>
      <c r="U47" s="699"/>
      <c r="V47" s="246"/>
      <c r="W47" s="246">
        <v>42</v>
      </c>
      <c r="X47" s="689"/>
      <c r="Y47" s="681"/>
      <c r="Z47" s="245"/>
      <c r="AA47" s="245" t="s">
        <v>152</v>
      </c>
      <c r="AB47" s="705"/>
      <c r="AC47" s="287"/>
      <c r="AD47" s="699"/>
      <c r="AE47" s="246"/>
      <c r="AF47" s="246"/>
      <c r="AG47" s="689"/>
      <c r="AH47" s="296"/>
      <c r="AI47" s="682"/>
      <c r="AJ47" s="701"/>
      <c r="AK47" s="689"/>
      <c r="AL47" s="255"/>
      <c r="AM47" s="699"/>
      <c r="AN47" s="246"/>
      <c r="AO47" s="246">
        <v>20</v>
      </c>
      <c r="AP47" s="689"/>
      <c r="AQ47" s="251"/>
      <c r="AR47" s="682"/>
      <c r="AS47" s="245" t="s">
        <v>508</v>
      </c>
      <c r="AT47" s="689"/>
    </row>
    <row r="48" spans="1:46" ht="34.950000000000003" customHeight="1" x14ac:dyDescent="0.45">
      <c r="A48" s="1352"/>
      <c r="B48" s="692">
        <v>2</v>
      </c>
      <c r="C48" s="694"/>
      <c r="D48" s="694"/>
      <c r="E48" s="694">
        <v>23</v>
      </c>
      <c r="F48" s="695"/>
      <c r="G48" s="682"/>
      <c r="H48" s="682"/>
      <c r="I48" s="707" t="s">
        <v>152</v>
      </c>
      <c r="J48" s="705"/>
      <c r="K48" s="287"/>
      <c r="L48" s="699"/>
      <c r="M48" s="246"/>
      <c r="N48" s="246"/>
      <c r="O48" s="695"/>
      <c r="P48" s="682"/>
      <c r="Q48" s="682"/>
      <c r="R48" s="707"/>
      <c r="S48" s="705"/>
      <c r="T48" s="287"/>
      <c r="U48" s="699"/>
      <c r="V48" s="246"/>
      <c r="W48" s="246"/>
      <c r="X48" s="695"/>
      <c r="Y48" s="682"/>
      <c r="Z48" s="682"/>
      <c r="AA48" s="707"/>
      <c r="AB48" s="705"/>
      <c r="AC48" s="287"/>
      <c r="AD48" s="699"/>
      <c r="AE48" s="246"/>
      <c r="AF48" s="246"/>
      <c r="AG48" s="695"/>
      <c r="AH48" s="296"/>
      <c r="AI48" s="682"/>
      <c r="AJ48" s="707"/>
      <c r="AK48" s="705"/>
      <c r="AL48" s="255"/>
      <c r="AM48" s="699"/>
      <c r="AN48" s="246"/>
      <c r="AO48" s="699"/>
      <c r="AP48" s="246"/>
      <c r="AQ48" s="695"/>
      <c r="AR48" s="682"/>
      <c r="AS48" s="245"/>
      <c r="AT48" s="689"/>
    </row>
    <row r="49" spans="1:46" ht="43.2" customHeight="1" x14ac:dyDescent="0.45">
      <c r="A49" s="1351">
        <v>45650</v>
      </c>
      <c r="B49" s="692">
        <v>1</v>
      </c>
      <c r="C49" s="694"/>
      <c r="D49" s="694"/>
      <c r="E49" s="694"/>
      <c r="F49" s="695"/>
      <c r="G49" s="682"/>
      <c r="H49" s="681"/>
      <c r="I49" s="707"/>
      <c r="J49" s="705"/>
      <c r="K49" s="287"/>
      <c r="L49" s="699"/>
      <c r="M49" s="246"/>
      <c r="N49" s="246"/>
      <c r="O49" s="695"/>
      <c r="P49" s="682"/>
      <c r="Q49" s="681"/>
      <c r="R49" s="707"/>
      <c r="S49" s="705"/>
      <c r="T49" s="287"/>
      <c r="U49" s="699"/>
      <c r="V49" s="246"/>
      <c r="W49" s="246"/>
      <c r="X49" s="695"/>
      <c r="Y49" s="682"/>
      <c r="Z49" s="245"/>
      <c r="AA49" s="245"/>
      <c r="AB49" s="705"/>
      <c r="AC49" s="287"/>
      <c r="AD49" s="699"/>
      <c r="AE49" s="246"/>
      <c r="AF49" s="246"/>
      <c r="AG49" s="695"/>
      <c r="AH49" s="296"/>
      <c r="AI49" s="681"/>
      <c r="AJ49" s="707"/>
      <c r="AK49" s="705"/>
      <c r="AL49" s="255"/>
      <c r="AM49" s="699"/>
      <c r="AN49" s="246"/>
      <c r="AO49" s="246"/>
      <c r="AP49" s="682"/>
      <c r="AQ49" s="681"/>
      <c r="AR49" s="707"/>
      <c r="AS49" s="705"/>
      <c r="AT49" s="705"/>
    </row>
    <row r="50" spans="1:46" ht="51.65" customHeight="1" x14ac:dyDescent="0.45">
      <c r="A50" s="1352"/>
      <c r="B50" s="692">
        <v>2</v>
      </c>
      <c r="C50" s="694"/>
      <c r="D50" s="694"/>
      <c r="E50" s="694"/>
      <c r="F50" s="695"/>
      <c r="G50" s="681"/>
      <c r="H50" s="681"/>
      <c r="I50" s="707"/>
      <c r="J50" s="705"/>
      <c r="K50" s="287"/>
      <c r="L50" s="699"/>
      <c r="M50" s="246"/>
      <c r="N50" s="246"/>
      <c r="O50" s="695"/>
      <c r="P50" s="681"/>
      <c r="Q50" s="681"/>
      <c r="R50" s="707"/>
      <c r="S50" s="705"/>
      <c r="T50" s="287"/>
      <c r="U50" s="699"/>
      <c r="V50" s="246"/>
      <c r="W50" s="246"/>
      <c r="X50" s="695"/>
      <c r="Y50" s="681"/>
      <c r="Z50" s="681"/>
      <c r="AA50" s="707"/>
      <c r="AB50" s="705"/>
      <c r="AC50" s="287"/>
      <c r="AD50" s="699"/>
      <c r="AE50" s="246"/>
      <c r="AF50" s="246"/>
      <c r="AG50" s="695"/>
      <c r="AH50" s="296"/>
      <c r="AI50" s="681"/>
      <c r="AJ50" s="707"/>
      <c r="AK50" s="705"/>
      <c r="AL50" s="255"/>
      <c r="AM50" s="699"/>
      <c r="AN50" s="246"/>
      <c r="AO50" s="246"/>
      <c r="AP50" s="681"/>
      <c r="AQ50" s="681"/>
      <c r="AR50" s="707"/>
      <c r="AS50" s="705"/>
      <c r="AT50" s="705"/>
    </row>
    <row r="51" spans="1:46" ht="34.950000000000003" customHeight="1" x14ac:dyDescent="0.45">
      <c r="A51" s="1351">
        <v>45651</v>
      </c>
      <c r="B51" s="692">
        <v>1</v>
      </c>
      <c r="C51" s="694"/>
      <c r="D51" s="694"/>
      <c r="E51" s="694">
        <v>10</v>
      </c>
      <c r="F51" s="695"/>
      <c r="G51" s="681"/>
      <c r="H51" s="681"/>
      <c r="I51" s="707" t="s">
        <v>152</v>
      </c>
      <c r="J51" s="705"/>
      <c r="K51" s="287"/>
      <c r="L51" s="699"/>
      <c r="M51" s="246"/>
      <c r="N51" s="246"/>
      <c r="O51" s="695"/>
      <c r="P51" s="681"/>
      <c r="Q51" s="681"/>
      <c r="R51" s="707"/>
      <c r="S51" s="705"/>
      <c r="T51" s="287"/>
      <c r="U51" s="699"/>
      <c r="V51" s="246"/>
      <c r="W51" s="246"/>
      <c r="X51" s="695"/>
      <c r="Y51" s="681"/>
      <c r="Z51" s="681"/>
      <c r="AA51" s="707"/>
      <c r="AB51" s="705"/>
      <c r="AC51" s="287"/>
      <c r="AD51" s="699"/>
      <c r="AE51" s="246"/>
      <c r="AF51" s="246"/>
      <c r="AG51" s="695"/>
      <c r="AH51" s="681"/>
      <c r="AI51" s="681"/>
      <c r="AJ51" s="707"/>
      <c r="AK51" s="705"/>
      <c r="AL51" s="255"/>
      <c r="AM51" s="699"/>
      <c r="AN51" s="246">
        <v>24</v>
      </c>
      <c r="AO51" s="246"/>
      <c r="AP51" s="681"/>
      <c r="AQ51" s="681"/>
      <c r="AR51" s="707" t="s">
        <v>1008</v>
      </c>
      <c r="AS51" s="705"/>
      <c r="AT51" s="705"/>
    </row>
    <row r="52" spans="1:46" ht="49.2" customHeight="1" x14ac:dyDescent="0.45">
      <c r="A52" s="1352"/>
      <c r="B52" s="692">
        <v>2</v>
      </c>
      <c r="C52" s="694"/>
      <c r="D52" s="694"/>
      <c r="E52" s="694">
        <v>23</v>
      </c>
      <c r="F52" s="695"/>
      <c r="G52" s="682"/>
      <c r="H52" s="682"/>
      <c r="I52" s="707" t="s">
        <v>152</v>
      </c>
      <c r="J52" s="705"/>
      <c r="K52" s="287"/>
      <c r="L52" s="699"/>
      <c r="M52" s="246"/>
      <c r="N52" s="246"/>
      <c r="O52" s="695"/>
      <c r="P52" s="682"/>
      <c r="Q52" s="682"/>
      <c r="R52" s="707"/>
      <c r="S52" s="705"/>
      <c r="T52" s="287"/>
      <c r="U52" s="699"/>
      <c r="V52" s="246"/>
      <c r="W52" s="246">
        <v>25</v>
      </c>
      <c r="X52" s="695"/>
      <c r="Y52" s="682"/>
      <c r="Z52" s="682"/>
      <c r="AA52" s="707" t="s">
        <v>152</v>
      </c>
      <c r="AB52" s="705"/>
      <c r="AC52" s="287"/>
      <c r="AD52" s="699"/>
      <c r="AE52" s="246"/>
      <c r="AF52" s="246"/>
      <c r="AG52" s="695"/>
      <c r="AH52" s="682"/>
      <c r="AI52" s="682"/>
      <c r="AJ52" s="707"/>
      <c r="AK52" s="705"/>
      <c r="AL52" s="255"/>
      <c r="AM52" s="699"/>
      <c r="AN52" s="689"/>
      <c r="AO52" s="689"/>
      <c r="AP52" s="689"/>
      <c r="AQ52" s="251"/>
      <c r="AR52" s="246"/>
      <c r="AS52" s="705"/>
      <c r="AT52" s="705"/>
    </row>
    <row r="53" spans="1:46" ht="48" customHeight="1" x14ac:dyDescent="0.45">
      <c r="A53" s="1351">
        <v>45652</v>
      </c>
      <c r="B53" s="692">
        <v>1</v>
      </c>
      <c r="C53" s="694"/>
      <c r="D53" s="694"/>
      <c r="E53" s="694">
        <v>10</v>
      </c>
      <c r="F53" s="695"/>
      <c r="G53" s="681"/>
      <c r="H53" s="681"/>
      <c r="I53" s="697" t="s">
        <v>152</v>
      </c>
      <c r="J53" s="705"/>
      <c r="K53" s="287"/>
      <c r="L53" s="699"/>
      <c r="M53" s="246"/>
      <c r="N53" s="246"/>
      <c r="O53" s="689"/>
      <c r="P53" s="296"/>
      <c r="Q53" s="682"/>
      <c r="R53" s="246"/>
      <c r="S53" s="705"/>
      <c r="T53" s="287"/>
      <c r="U53" s="699"/>
      <c r="V53" s="246"/>
      <c r="W53" s="246"/>
      <c r="X53" s="689"/>
      <c r="Y53" s="296"/>
      <c r="Z53" s="246"/>
      <c r="AA53" s="245"/>
      <c r="AB53" s="689"/>
      <c r="AC53" s="287"/>
      <c r="AD53" s="699"/>
      <c r="AE53" s="245"/>
      <c r="AF53" s="246">
        <v>10</v>
      </c>
      <c r="AG53" s="689"/>
      <c r="AH53" s="251"/>
      <c r="AI53" s="246"/>
      <c r="AJ53" s="245" t="s">
        <v>508</v>
      </c>
      <c r="AK53" s="689"/>
      <c r="AL53" s="255"/>
      <c r="AM53" s="699"/>
      <c r="AN53" s="245">
        <v>35</v>
      </c>
      <c r="AO53" s="246"/>
      <c r="AP53" s="689"/>
      <c r="AQ53" s="296"/>
      <c r="AR53" s="246" t="s">
        <v>1008</v>
      </c>
      <c r="AS53" s="246"/>
      <c r="AT53" s="689"/>
    </row>
    <row r="54" spans="1:46" ht="45.65" customHeight="1" x14ac:dyDescent="0.45">
      <c r="A54" s="1352"/>
      <c r="B54" s="725">
        <v>2</v>
      </c>
      <c r="C54" s="694"/>
      <c r="D54" s="694"/>
      <c r="E54" s="694">
        <v>74</v>
      </c>
      <c r="F54" s="695"/>
      <c r="G54" s="681"/>
      <c r="H54" s="682"/>
      <c r="I54" s="697" t="s">
        <v>152</v>
      </c>
      <c r="J54" s="705"/>
      <c r="K54" s="287"/>
      <c r="L54" s="699"/>
      <c r="M54" s="246"/>
      <c r="N54" s="246"/>
      <c r="O54" s="695"/>
      <c r="P54" s="681"/>
      <c r="Q54" s="682"/>
      <c r="R54" s="681"/>
      <c r="S54" s="705"/>
      <c r="T54" s="287"/>
      <c r="U54" s="699"/>
      <c r="V54" s="246"/>
      <c r="W54" s="246">
        <v>111</v>
      </c>
      <c r="X54" s="695"/>
      <c r="Y54" s="682"/>
      <c r="Z54" s="682"/>
      <c r="AA54" s="701" t="s">
        <v>152</v>
      </c>
      <c r="AB54" s="705"/>
      <c r="AC54" s="287"/>
      <c r="AD54" s="699"/>
      <c r="AE54" s="246"/>
      <c r="AF54" s="246"/>
      <c r="AG54" s="689"/>
      <c r="AH54" s="251"/>
      <c r="AI54" s="682"/>
      <c r="AJ54" s="246"/>
      <c r="AK54" s="705"/>
      <c r="AL54" s="255"/>
      <c r="AM54" s="699"/>
      <c r="AN54" s="246">
        <v>720</v>
      </c>
      <c r="AO54" s="246"/>
      <c r="AP54" s="695"/>
      <c r="AQ54" s="296"/>
      <c r="AR54" s="246" t="s">
        <v>1008</v>
      </c>
      <c r="AS54" s="705"/>
      <c r="AT54" s="705"/>
    </row>
    <row r="55" spans="1:46" ht="39.65" customHeight="1" x14ac:dyDescent="0.45">
      <c r="A55" s="1351">
        <v>45653</v>
      </c>
      <c r="B55" s="692">
        <v>1</v>
      </c>
      <c r="C55" s="693"/>
      <c r="D55" s="694"/>
      <c r="E55" s="694">
        <v>25</v>
      </c>
      <c r="F55" s="695"/>
      <c r="G55" s="681"/>
      <c r="H55" s="681"/>
      <c r="I55" s="697" t="s">
        <v>152</v>
      </c>
      <c r="J55" s="689"/>
      <c r="K55" s="287"/>
      <c r="L55" s="699"/>
      <c r="M55" s="246"/>
      <c r="N55" s="246"/>
      <c r="O55" s="689"/>
      <c r="P55" s="251"/>
      <c r="Q55" s="682"/>
      <c r="R55" s="246"/>
      <c r="S55" s="689"/>
      <c r="T55" s="287"/>
      <c r="U55" s="699"/>
      <c r="V55" s="246"/>
      <c r="W55" s="246">
        <v>26</v>
      </c>
      <c r="X55" s="689"/>
      <c r="Y55" s="251"/>
      <c r="Z55" s="681"/>
      <c r="AA55" s="701" t="s">
        <v>152</v>
      </c>
      <c r="AB55" s="689"/>
      <c r="AC55" s="287"/>
      <c r="AD55" s="699"/>
      <c r="AE55" s="246"/>
      <c r="AF55" s="246"/>
      <c r="AG55" s="689"/>
      <c r="AH55" s="251"/>
      <c r="AI55" s="682"/>
      <c r="AJ55" s="245"/>
      <c r="AK55" s="689"/>
      <c r="AL55" s="255"/>
      <c r="AM55" s="699"/>
      <c r="AN55" s="246"/>
      <c r="AO55" s="246"/>
      <c r="AP55" s="689"/>
      <c r="AQ55" s="251"/>
      <c r="AR55" s="245"/>
      <c r="AS55" s="705"/>
      <c r="AT55" s="689"/>
    </row>
    <row r="56" spans="1:46" ht="94.2" customHeight="1" x14ac:dyDescent="0.45">
      <c r="A56" s="1352"/>
      <c r="B56" s="725">
        <v>2</v>
      </c>
      <c r="C56" s="693"/>
      <c r="D56" s="694"/>
      <c r="E56" s="694">
        <v>27</v>
      </c>
      <c r="F56" s="695"/>
      <c r="G56" s="682"/>
      <c r="H56" s="682"/>
      <c r="I56" s="697" t="s">
        <v>152</v>
      </c>
      <c r="J56" s="705"/>
      <c r="K56" s="287"/>
      <c r="L56" s="699"/>
      <c r="M56" s="246"/>
      <c r="N56" s="246"/>
      <c r="O56" s="695"/>
      <c r="P56" s="682"/>
      <c r="Q56" s="681"/>
      <c r="R56" s="682"/>
      <c r="S56" s="705"/>
      <c r="T56" s="287"/>
      <c r="U56" s="699"/>
      <c r="V56" s="246"/>
      <c r="W56" s="246"/>
      <c r="X56" s="695"/>
      <c r="Y56" s="296"/>
      <c r="Z56" s="681"/>
      <c r="AA56" s="245"/>
      <c r="AB56" s="705"/>
      <c r="AC56" s="287"/>
      <c r="AD56" s="699"/>
      <c r="AE56" s="246"/>
      <c r="AF56" s="246"/>
      <c r="AG56" s="695"/>
      <c r="AH56" s="682"/>
      <c r="AI56" s="681"/>
      <c r="AJ56" s="682"/>
      <c r="AK56" s="705"/>
      <c r="AL56" s="255"/>
      <c r="AM56" s="699"/>
      <c r="AN56" s="246"/>
      <c r="AO56" s="246"/>
      <c r="AP56" s="695"/>
      <c r="AQ56" s="682"/>
      <c r="AR56" s="245"/>
      <c r="AS56" s="246"/>
      <c r="AT56" s="705"/>
    </row>
    <row r="57" spans="1:46" ht="52.2" customHeight="1" x14ac:dyDescent="0.45">
      <c r="A57" s="1351">
        <v>45654</v>
      </c>
      <c r="B57" s="692">
        <v>1</v>
      </c>
      <c r="C57" s="693"/>
      <c r="D57" s="694"/>
      <c r="E57" s="694"/>
      <c r="F57" s="695"/>
      <c r="G57" s="682"/>
      <c r="H57" s="682"/>
      <c r="I57" s="707"/>
      <c r="J57" s="705"/>
      <c r="K57" s="287"/>
      <c r="L57" s="699"/>
      <c r="M57" s="246"/>
      <c r="N57" s="246"/>
      <c r="O57" s="695"/>
      <c r="P57" s="682"/>
      <c r="Q57" s="681"/>
      <c r="R57" s="682"/>
      <c r="S57" s="705"/>
      <c r="T57" s="287"/>
      <c r="U57" s="699"/>
      <c r="V57" s="246"/>
      <c r="W57" s="246"/>
      <c r="X57" s="695"/>
      <c r="Y57" s="682"/>
      <c r="Z57" s="681"/>
      <c r="AA57" s="245"/>
      <c r="AB57" s="705"/>
      <c r="AC57" s="287"/>
      <c r="AD57" s="699"/>
      <c r="AE57" s="246"/>
      <c r="AF57" s="246"/>
      <c r="AG57" s="695"/>
      <c r="AH57" s="682"/>
      <c r="AI57" s="681"/>
      <c r="AJ57" s="682"/>
      <c r="AK57" s="705"/>
      <c r="AL57" s="255"/>
      <c r="AM57" s="699"/>
      <c r="AN57" s="246"/>
      <c r="AO57" s="246"/>
      <c r="AP57" s="695"/>
      <c r="AQ57" s="682"/>
      <c r="AR57" s="681"/>
      <c r="AS57" s="246"/>
      <c r="AT57" s="705"/>
    </row>
    <row r="58" spans="1:46" ht="78" customHeight="1" x14ac:dyDescent="0.45">
      <c r="A58" s="1352"/>
      <c r="B58" s="725">
        <v>2</v>
      </c>
      <c r="C58" s="693"/>
      <c r="D58" s="694">
        <v>134</v>
      </c>
      <c r="E58" s="694">
        <v>17</v>
      </c>
      <c r="F58" s="695"/>
      <c r="G58" s="682"/>
      <c r="H58" s="682" t="s">
        <v>1010</v>
      </c>
      <c r="I58" s="697" t="s">
        <v>152</v>
      </c>
      <c r="J58" s="705"/>
      <c r="K58" s="287"/>
      <c r="L58" s="699"/>
      <c r="M58" s="246">
        <v>142</v>
      </c>
      <c r="N58" s="246"/>
      <c r="O58" s="695"/>
      <c r="P58" s="682"/>
      <c r="Q58" s="681" t="s">
        <v>1010</v>
      </c>
      <c r="R58" s="682"/>
      <c r="S58" s="705"/>
      <c r="T58" s="287"/>
      <c r="U58" s="699">
        <v>229</v>
      </c>
      <c r="V58" s="246">
        <v>164</v>
      </c>
      <c r="W58" s="246"/>
      <c r="X58" s="695"/>
      <c r="Y58" s="682" t="s">
        <v>1009</v>
      </c>
      <c r="Z58" s="681" t="s">
        <v>1010</v>
      </c>
      <c r="AA58" s="245"/>
      <c r="AB58" s="705"/>
      <c r="AC58" s="287"/>
      <c r="AD58" s="699"/>
      <c r="AE58" s="246">
        <v>141</v>
      </c>
      <c r="AF58" s="246"/>
      <c r="AG58" s="695"/>
      <c r="AH58" s="682"/>
      <c r="AI58" s="681" t="s">
        <v>1010</v>
      </c>
      <c r="AJ58" s="246"/>
      <c r="AK58" s="705"/>
      <c r="AL58" s="255"/>
      <c r="AM58" s="699"/>
      <c r="AN58" s="246">
        <v>156</v>
      </c>
      <c r="AO58" s="246"/>
      <c r="AP58" s="695"/>
      <c r="AQ58" s="682"/>
      <c r="AR58" s="681" t="s">
        <v>1010</v>
      </c>
      <c r="AS58" s="246"/>
      <c r="AT58" s="705"/>
    </row>
    <row r="59" spans="1:46" ht="73.2" customHeight="1" x14ac:dyDescent="0.45">
      <c r="A59" s="1351">
        <v>45655</v>
      </c>
      <c r="B59" s="692">
        <v>1</v>
      </c>
      <c r="C59" s="693"/>
      <c r="D59" s="694"/>
      <c r="E59" s="694"/>
      <c r="F59" s="695"/>
      <c r="G59" s="682"/>
      <c r="H59" s="681"/>
      <c r="I59" s="697"/>
      <c r="J59" s="705"/>
      <c r="K59" s="287"/>
      <c r="L59" s="699"/>
      <c r="M59" s="246"/>
      <c r="N59" s="246"/>
      <c r="O59" s="689"/>
      <c r="P59" s="251"/>
      <c r="Q59" s="245"/>
      <c r="R59" s="246"/>
      <c r="S59" s="705"/>
      <c r="T59" s="287"/>
      <c r="U59" s="699">
        <v>288</v>
      </c>
      <c r="V59" s="246"/>
      <c r="W59" s="246"/>
      <c r="X59" s="689"/>
      <c r="Y59" s="682" t="s">
        <v>1009</v>
      </c>
      <c r="Z59" s="681"/>
      <c r="AA59" s="701"/>
      <c r="AB59" s="705"/>
      <c r="AC59" s="287"/>
      <c r="AD59" s="699"/>
      <c r="AE59" s="246"/>
      <c r="AF59" s="246"/>
      <c r="AG59" s="689"/>
      <c r="AH59" s="296"/>
      <c r="AI59" s="246"/>
      <c r="AJ59" s="682"/>
      <c r="AK59" s="705"/>
      <c r="AL59" s="255"/>
      <c r="AM59" s="699"/>
      <c r="AN59" s="246"/>
      <c r="AO59" s="246">
        <v>15</v>
      </c>
      <c r="AP59" s="689"/>
      <c r="AQ59" s="296"/>
      <c r="AR59" s="246"/>
      <c r="AS59" s="682" t="s">
        <v>388</v>
      </c>
      <c r="AT59" s="705"/>
    </row>
    <row r="60" spans="1:46" ht="36" customHeight="1" x14ac:dyDescent="0.45">
      <c r="A60" s="1352"/>
      <c r="B60" s="725">
        <v>2</v>
      </c>
      <c r="C60" s="693"/>
      <c r="D60" s="694"/>
      <c r="E60" s="694"/>
      <c r="F60" s="695"/>
      <c r="G60" s="681"/>
      <c r="H60" s="682"/>
      <c r="I60" s="697"/>
      <c r="J60" s="705"/>
      <c r="K60" s="287"/>
      <c r="L60" s="699"/>
      <c r="M60" s="246"/>
      <c r="N60" s="246"/>
      <c r="O60" s="689"/>
      <c r="P60" s="251"/>
      <c r="Q60" s="682"/>
      <c r="R60" s="246"/>
      <c r="S60" s="705"/>
      <c r="T60" s="287"/>
      <c r="U60" s="699"/>
      <c r="V60" s="246"/>
      <c r="W60" s="246"/>
      <c r="X60" s="689"/>
      <c r="Y60" s="296"/>
      <c r="Z60" s="682"/>
      <c r="AA60" s="245"/>
      <c r="AB60" s="705"/>
      <c r="AC60" s="287"/>
      <c r="AD60" s="699"/>
      <c r="AE60" s="246"/>
      <c r="AF60" s="246"/>
      <c r="AG60" s="689"/>
      <c r="AH60" s="251"/>
      <c r="AI60" s="682"/>
      <c r="AJ60" s="245"/>
      <c r="AK60" s="705"/>
      <c r="AL60" s="255"/>
      <c r="AM60" s="699"/>
      <c r="AN60" s="246"/>
      <c r="AO60" s="246"/>
      <c r="AP60" s="689"/>
      <c r="AQ60" s="251"/>
      <c r="AR60" s="682"/>
      <c r="AS60" s="245"/>
      <c r="AT60" s="705"/>
    </row>
    <row r="61" spans="1:46" ht="32.5" customHeight="1" x14ac:dyDescent="0.45">
      <c r="A61" s="1351">
        <v>45656</v>
      </c>
      <c r="B61" s="692">
        <v>1</v>
      </c>
      <c r="C61" s="726"/>
      <c r="D61" s="727"/>
      <c r="E61" s="694">
        <v>20</v>
      </c>
      <c r="F61" s="728"/>
      <c r="G61" s="681"/>
      <c r="H61" s="723"/>
      <c r="I61" s="697" t="s">
        <v>152</v>
      </c>
      <c r="J61" s="698"/>
      <c r="K61" s="287"/>
      <c r="L61" s="699"/>
      <c r="M61" s="246"/>
      <c r="N61" s="246"/>
      <c r="O61" s="689"/>
      <c r="P61" s="729"/>
      <c r="Q61" s="306"/>
      <c r="R61" s="306"/>
      <c r="S61" s="730"/>
      <c r="T61" s="287"/>
      <c r="U61" s="699"/>
      <c r="V61" s="246"/>
      <c r="W61" s="246"/>
      <c r="X61" s="689"/>
      <c r="Y61" s="296"/>
      <c r="Z61" s="245"/>
      <c r="AA61" s="245"/>
      <c r="AB61" s="730"/>
      <c r="AC61" s="287"/>
      <c r="AD61" s="699"/>
      <c r="AE61" s="246"/>
      <c r="AF61" s="246"/>
      <c r="AG61" s="689"/>
      <c r="AH61" s="251"/>
      <c r="AI61" s="245"/>
      <c r="AJ61" s="245"/>
      <c r="AK61" s="730"/>
      <c r="AL61" s="255"/>
      <c r="AM61" s="699"/>
      <c r="AN61" s="246"/>
      <c r="AO61" s="246"/>
      <c r="AP61" s="689"/>
      <c r="AQ61" s="296"/>
      <c r="AR61" s="246"/>
      <c r="AS61" s="245"/>
      <c r="AT61" s="730"/>
    </row>
    <row r="62" spans="1:46" ht="62.5" customHeight="1" x14ac:dyDescent="0.45">
      <c r="A62" s="1352"/>
      <c r="B62" s="725">
        <v>2</v>
      </c>
      <c r="C62" s="726"/>
      <c r="D62" s="727"/>
      <c r="E62" s="727">
        <v>20</v>
      </c>
      <c r="F62" s="728"/>
      <c r="G62" s="731"/>
      <c r="H62" s="723"/>
      <c r="I62" s="697" t="s">
        <v>152</v>
      </c>
      <c r="J62" s="698"/>
      <c r="K62" s="287"/>
      <c r="L62" s="699"/>
      <c r="M62" s="246"/>
      <c r="N62" s="246"/>
      <c r="O62" s="689"/>
      <c r="P62" s="729"/>
      <c r="Q62" s="732"/>
      <c r="R62" s="306"/>
      <c r="S62" s="730"/>
      <c r="T62" s="287"/>
      <c r="U62" s="699"/>
      <c r="V62" s="246"/>
      <c r="W62" s="246"/>
      <c r="X62" s="689"/>
      <c r="Y62" s="296"/>
      <c r="Z62" s="245"/>
      <c r="AA62" s="701"/>
      <c r="AB62" s="730"/>
      <c r="AC62" s="287"/>
      <c r="AD62" s="699"/>
      <c r="AE62" s="246"/>
      <c r="AF62" s="246"/>
      <c r="AG62" s="689"/>
      <c r="AH62" s="1514"/>
      <c r="AI62" s="1462"/>
      <c r="AJ62" s="1515"/>
      <c r="AK62" s="730"/>
      <c r="AL62" s="255"/>
      <c r="AM62" s="699"/>
      <c r="AN62" s="246"/>
      <c r="AO62" s="246"/>
      <c r="AP62" s="689"/>
      <c r="AQ62" s="251"/>
      <c r="AR62" s="246"/>
      <c r="AS62" s="245"/>
      <c r="AT62" s="730"/>
    </row>
    <row r="63" spans="1:46" ht="62.5" customHeight="1" x14ac:dyDescent="0.45">
      <c r="A63" s="759"/>
      <c r="B63" s="725">
        <v>1</v>
      </c>
      <c r="C63" s="726"/>
      <c r="D63" s="727"/>
      <c r="E63" s="727"/>
      <c r="F63" s="728"/>
      <c r="G63" s="731"/>
      <c r="H63" s="723"/>
      <c r="I63" s="697"/>
      <c r="J63" s="698"/>
      <c r="K63" s="287"/>
      <c r="L63" s="699"/>
      <c r="M63" s="246"/>
      <c r="N63" s="246"/>
      <c r="O63" s="689"/>
      <c r="P63" s="729"/>
      <c r="Q63" s="732"/>
      <c r="R63" s="306"/>
      <c r="S63" s="730"/>
      <c r="T63" s="287"/>
      <c r="U63" s="699"/>
      <c r="V63" s="246"/>
      <c r="W63" s="246"/>
      <c r="X63" s="689"/>
      <c r="Y63" s="296"/>
      <c r="Z63" s="245"/>
      <c r="AA63" s="701"/>
      <c r="AB63" s="730"/>
      <c r="AC63" s="287"/>
      <c r="AD63" s="699"/>
      <c r="AE63" s="246"/>
      <c r="AF63" s="246"/>
      <c r="AG63" s="689"/>
      <c r="AH63" s="758"/>
      <c r="AI63" s="301"/>
      <c r="AJ63" s="296"/>
      <c r="AK63" s="730"/>
      <c r="AL63" s="255"/>
      <c r="AM63" s="699"/>
      <c r="AN63" s="246"/>
      <c r="AO63" s="246"/>
      <c r="AP63" s="689"/>
      <c r="AQ63" s="251"/>
      <c r="AR63" s="246"/>
      <c r="AS63" s="245"/>
      <c r="AT63" s="730"/>
    </row>
    <row r="64" spans="1:46" ht="64.2" hidden="1" customHeight="1" x14ac:dyDescent="0.45">
      <c r="A64" s="1351">
        <v>45657</v>
      </c>
      <c r="B64" s="692">
        <v>1</v>
      </c>
      <c r="C64" s="733"/>
      <c r="D64" s="734"/>
      <c r="E64" s="734"/>
      <c r="F64" s="735"/>
      <c r="G64" s="736"/>
      <c r="H64" s="737"/>
      <c r="I64" s="697"/>
      <c r="J64" s="698"/>
      <c r="K64" s="287"/>
      <c r="L64" s="699"/>
      <c r="M64" s="246"/>
      <c r="N64" s="246"/>
      <c r="O64" s="695"/>
      <c r="P64" s="736"/>
      <c r="Q64" s="737"/>
      <c r="R64" s="737"/>
      <c r="S64" s="738"/>
      <c r="T64" s="287"/>
      <c r="U64" s="699"/>
      <c r="V64" s="246"/>
      <c r="W64" s="246"/>
      <c r="X64" s="695"/>
      <c r="Y64" s="680"/>
      <c r="Z64" s="681"/>
      <c r="AA64" s="701"/>
      <c r="AB64" s="739"/>
      <c r="AC64" s="287"/>
      <c r="AD64" s="699"/>
      <c r="AE64" s="246"/>
      <c r="AF64" s="246"/>
      <c r="AG64" s="695"/>
      <c r="AH64" s="680"/>
      <c r="AI64" s="681"/>
      <c r="AJ64" s="246"/>
      <c r="AK64" s="740"/>
      <c r="AL64" s="255"/>
      <c r="AM64" s="699"/>
      <c r="AN64" s="246"/>
      <c r="AO64" s="246"/>
      <c r="AP64" s="695"/>
      <c r="AQ64" s="680"/>
      <c r="AR64" s="681"/>
      <c r="AS64" s="681"/>
      <c r="AT64" s="740"/>
    </row>
    <row r="65" spans="1:46" ht="62.5" customHeight="1" x14ac:dyDescent="0.45">
      <c r="A65" s="1352"/>
      <c r="B65" s="324">
        <v>2</v>
      </c>
      <c r="C65" s="741"/>
      <c r="D65" s="742"/>
      <c r="E65" s="742">
        <v>29</v>
      </c>
      <c r="F65" s="743"/>
      <c r="G65" s="744"/>
      <c r="H65" s="745"/>
      <c r="I65" s="746" t="s">
        <v>152</v>
      </c>
      <c r="J65" s="747"/>
      <c r="K65" s="287"/>
      <c r="L65" s="748"/>
      <c r="M65" s="749"/>
      <c r="N65" s="749"/>
      <c r="O65" s="750"/>
      <c r="P65" s="751"/>
      <c r="Q65" s="752"/>
      <c r="R65" s="752"/>
      <c r="S65" s="753"/>
      <c r="T65" s="287"/>
      <c r="U65" s="748"/>
      <c r="V65" s="749"/>
      <c r="W65" s="749">
        <v>10</v>
      </c>
      <c r="X65" s="750"/>
      <c r="Y65" s="754"/>
      <c r="Z65" s="749" t="s">
        <v>152</v>
      </c>
      <c r="AA65" s="701"/>
      <c r="AB65" s="755"/>
      <c r="AC65" s="287"/>
      <c r="AD65" s="748"/>
      <c r="AE65" s="749"/>
      <c r="AF65" s="749"/>
      <c r="AG65" s="750"/>
      <c r="AH65" s="754"/>
      <c r="AI65" s="749"/>
      <c r="AJ65" s="749"/>
      <c r="AK65" s="756"/>
      <c r="AL65" s="255"/>
      <c r="AM65" s="748"/>
      <c r="AN65" s="749"/>
      <c r="AO65" s="749">
        <v>10</v>
      </c>
      <c r="AP65" s="750"/>
      <c r="AQ65" s="754"/>
      <c r="AR65" s="749"/>
      <c r="AS65" s="749" t="s">
        <v>152</v>
      </c>
      <c r="AT65" s="756"/>
    </row>
    <row r="66" spans="1:46" ht="18" x14ac:dyDescent="0.45">
      <c r="A66" s="255" t="s">
        <v>225</v>
      </c>
      <c r="B66" s="354"/>
      <c r="C66" s="757">
        <f>SUM(C3:C65)</f>
        <v>0</v>
      </c>
      <c r="D66" s="354">
        <f>SUM(D3:D65)</f>
        <v>289</v>
      </c>
      <c r="E66" s="757">
        <f>SUM(E3:E65)</f>
        <v>1344</v>
      </c>
      <c r="F66" s="354">
        <f>SUM(F3:F65)</f>
        <v>935</v>
      </c>
      <c r="G66" s="255"/>
      <c r="H66" s="255"/>
      <c r="I66" s="255"/>
      <c r="J66" s="255"/>
      <c r="K66" s="255"/>
      <c r="L66" s="354">
        <f>SUM(L3:L65)</f>
        <v>0</v>
      </c>
      <c r="M66" s="354">
        <f>SUM(M3:M65)</f>
        <v>233</v>
      </c>
      <c r="N66" s="354">
        <f>SUM(N3:N65)</f>
        <v>23</v>
      </c>
      <c r="O66" s="354">
        <f>SUM(O3:O65)</f>
        <v>857</v>
      </c>
      <c r="P66" s="255"/>
      <c r="Q66" s="255"/>
      <c r="R66" s="255"/>
      <c r="S66" s="255"/>
      <c r="T66" s="255"/>
      <c r="U66" s="354">
        <f>SUM(U3:U65)</f>
        <v>557</v>
      </c>
      <c r="V66" s="354">
        <f>SUM(V3:V65)</f>
        <v>384</v>
      </c>
      <c r="W66" s="354">
        <f>SUM(W3:W65)</f>
        <v>1159</v>
      </c>
      <c r="X66" s="354">
        <f>SUM(X3:X65)</f>
        <v>901</v>
      </c>
      <c r="Y66" s="255"/>
      <c r="Z66" s="255"/>
      <c r="AA66" s="255"/>
      <c r="AB66" s="255"/>
      <c r="AC66" s="255"/>
      <c r="AD66" s="354">
        <f>SUM(AD3:AD65)</f>
        <v>0</v>
      </c>
      <c r="AE66" s="354">
        <f>SUM(AE3:AE65)</f>
        <v>190</v>
      </c>
      <c r="AF66" s="354">
        <f>SUM(AF3:AF65)</f>
        <v>205</v>
      </c>
      <c r="AG66" s="354">
        <f>SUM(AG3:AG65)</f>
        <v>922</v>
      </c>
      <c r="AH66" s="255"/>
      <c r="AI66" s="255"/>
      <c r="AJ66" s="255"/>
      <c r="AK66" s="255"/>
      <c r="AL66" s="255"/>
      <c r="AM66" s="354">
        <f>SUM(AM3:AM65)</f>
        <v>593</v>
      </c>
      <c r="AN66" s="354">
        <f>SUM(AN3:AN65)</f>
        <v>1004</v>
      </c>
      <c r="AO66" s="354">
        <f>SUM(AO3:AO65)</f>
        <v>382</v>
      </c>
      <c r="AP66" s="354">
        <f>SUM(AP3:AP65)</f>
        <v>950</v>
      </c>
      <c r="AQ66" s="255"/>
      <c r="AR66" s="255"/>
      <c r="AS66" s="255"/>
      <c r="AT66" s="255"/>
    </row>
    <row r="74" spans="1:46" ht="14.6" thickBot="1" x14ac:dyDescent="0.4"/>
    <row r="75" spans="1:46" ht="18.45" thickBot="1" x14ac:dyDescent="0.5">
      <c r="B75" s="354"/>
      <c r="C75" s="1349" t="s">
        <v>199</v>
      </c>
      <c r="D75" s="1350"/>
      <c r="E75" s="1347" t="s">
        <v>200</v>
      </c>
      <c r="F75" s="1348"/>
      <c r="G75" s="1349" t="s">
        <v>201</v>
      </c>
      <c r="H75" s="1350"/>
      <c r="I75" s="1349" t="s">
        <v>204</v>
      </c>
      <c r="J75" s="1350"/>
    </row>
    <row r="76" spans="1:46" ht="18.45" thickBot="1" x14ac:dyDescent="0.5">
      <c r="B76" s="354"/>
      <c r="C76" s="552" t="s">
        <v>222</v>
      </c>
      <c r="D76" s="553" t="s">
        <v>223</v>
      </c>
      <c r="E76" s="554" t="s">
        <v>222</v>
      </c>
      <c r="F76" s="555" t="s">
        <v>223</v>
      </c>
      <c r="G76" s="552" t="s">
        <v>222</v>
      </c>
      <c r="H76" s="553" t="s">
        <v>223</v>
      </c>
      <c r="I76" s="552" t="s">
        <v>222</v>
      </c>
      <c r="J76" s="553" t="s">
        <v>223</v>
      </c>
    </row>
    <row r="77" spans="1:46" ht="18" x14ac:dyDescent="0.4">
      <c r="B77" s="541" t="s">
        <v>218</v>
      </c>
      <c r="C77" s="542">
        <f>C66</f>
        <v>0</v>
      </c>
      <c r="D77" s="543">
        <f>C77/60</f>
        <v>0</v>
      </c>
      <c r="E77" s="542">
        <f>D66</f>
        <v>289</v>
      </c>
      <c r="F77" s="544">
        <f>E77/60</f>
        <v>4.8166666666666664</v>
      </c>
      <c r="G77" s="542">
        <f>E66</f>
        <v>1344</v>
      </c>
      <c r="H77" s="543">
        <f>G77/60</f>
        <v>22.4</v>
      </c>
      <c r="I77" s="542">
        <f>F66</f>
        <v>935</v>
      </c>
      <c r="J77" s="543">
        <f>I77/60</f>
        <v>15.583333333333334</v>
      </c>
    </row>
    <row r="78" spans="1:46" ht="18" x14ac:dyDescent="0.4">
      <c r="B78" s="541" t="s">
        <v>219</v>
      </c>
      <c r="C78" s="545">
        <f>L66</f>
        <v>0</v>
      </c>
      <c r="D78" s="546">
        <f>C78/60</f>
        <v>0</v>
      </c>
      <c r="E78" s="545">
        <f>M66</f>
        <v>233</v>
      </c>
      <c r="F78" s="547">
        <f>E78/60</f>
        <v>3.8833333333333333</v>
      </c>
      <c r="G78" s="545">
        <f>N66</f>
        <v>23</v>
      </c>
      <c r="H78" s="546">
        <f>G78/60</f>
        <v>0.38333333333333336</v>
      </c>
      <c r="I78" s="545">
        <f>O66</f>
        <v>857</v>
      </c>
      <c r="J78" s="546">
        <f>I78/60</f>
        <v>14.283333333333333</v>
      </c>
    </row>
    <row r="79" spans="1:46" ht="18" x14ac:dyDescent="0.4">
      <c r="B79" s="541" t="s">
        <v>220</v>
      </c>
      <c r="C79" s="545">
        <f>U66</f>
        <v>557</v>
      </c>
      <c r="D79" s="546">
        <f>C79/60</f>
        <v>9.2833333333333332</v>
      </c>
      <c r="E79" s="545">
        <f>V66</f>
        <v>384</v>
      </c>
      <c r="F79" s="547">
        <f>E79/60</f>
        <v>6.4</v>
      </c>
      <c r="G79" s="545">
        <f>W66</f>
        <v>1159</v>
      </c>
      <c r="H79" s="546">
        <f>G79/60</f>
        <v>19.316666666666666</v>
      </c>
      <c r="I79" s="545">
        <f>X66</f>
        <v>901</v>
      </c>
      <c r="J79" s="546">
        <f>I79/60</f>
        <v>15.016666666666667</v>
      </c>
    </row>
    <row r="80" spans="1:46" ht="18.45" thickBot="1" x14ac:dyDescent="0.45">
      <c r="B80" s="541" t="s">
        <v>221</v>
      </c>
      <c r="C80" s="548">
        <f>AD66</f>
        <v>0</v>
      </c>
      <c r="D80" s="549">
        <f>C80/60</f>
        <v>0</v>
      </c>
      <c r="E80" s="548">
        <f>AE66</f>
        <v>190</v>
      </c>
      <c r="F80" s="550">
        <f>E80/60</f>
        <v>3.1666666666666665</v>
      </c>
      <c r="G80" s="548">
        <f>AF66</f>
        <v>205</v>
      </c>
      <c r="H80" s="549">
        <f>G80/60</f>
        <v>3.4166666666666665</v>
      </c>
      <c r="I80" s="548">
        <f>AG66</f>
        <v>922</v>
      </c>
      <c r="J80" s="549">
        <f>I80/60</f>
        <v>15.366666666666667</v>
      </c>
    </row>
    <row r="81" spans="2:10" ht="18.45" thickBot="1" x14ac:dyDescent="0.45">
      <c r="B81" s="541" t="s">
        <v>488</v>
      </c>
      <c r="C81" s="643">
        <f>AM66</f>
        <v>593</v>
      </c>
      <c r="D81" s="642">
        <f>C81/60</f>
        <v>9.8833333333333329</v>
      </c>
      <c r="E81" s="643">
        <f>AN66</f>
        <v>1004</v>
      </c>
      <c r="F81" s="644">
        <f>E81/60</f>
        <v>16.733333333333334</v>
      </c>
      <c r="G81" s="643">
        <f>AO66</f>
        <v>382</v>
      </c>
      <c r="H81" s="642">
        <f>G81/60</f>
        <v>6.3666666666666663</v>
      </c>
      <c r="I81" s="643">
        <f>AP66</f>
        <v>950</v>
      </c>
      <c r="J81" s="642">
        <f>I81/60</f>
        <v>15.833333333333334</v>
      </c>
    </row>
    <row r="82" spans="2:10" ht="18.45" thickBot="1" x14ac:dyDescent="0.5">
      <c r="B82" s="354"/>
      <c r="C82" s="255"/>
      <c r="D82" s="255"/>
      <c r="E82" s="255"/>
      <c r="F82" s="255"/>
      <c r="G82" s="255"/>
      <c r="H82" s="255"/>
      <c r="I82" s="255"/>
      <c r="J82" s="255"/>
    </row>
    <row r="83" spans="2:10" ht="18.45" thickBot="1" x14ac:dyDescent="0.5">
      <c r="B83" s="551" t="s">
        <v>217</v>
      </c>
      <c r="C83" s="556"/>
      <c r="D83" s="557">
        <f>SUM(D77:D81)</f>
        <v>19.166666666666664</v>
      </c>
      <c r="E83" s="556"/>
      <c r="F83" s="557">
        <f>SUM(F77:F81)</f>
        <v>35</v>
      </c>
      <c r="G83" s="556"/>
      <c r="H83" s="557">
        <f>SUM(H77:H81)</f>
        <v>51.883333333333326</v>
      </c>
      <c r="I83" s="556"/>
      <c r="J83" s="558">
        <f>AVERAGE(J77:J81)</f>
        <v>15.216666666666665</v>
      </c>
    </row>
  </sheetData>
  <mergeCells count="48">
    <mergeCell ref="AQ1:AT1"/>
    <mergeCell ref="A3:A4"/>
    <mergeCell ref="A5:A6"/>
    <mergeCell ref="C1:F1"/>
    <mergeCell ref="G1:J1"/>
    <mergeCell ref="L1:O1"/>
    <mergeCell ref="P1:S1"/>
    <mergeCell ref="U1:X1"/>
    <mergeCell ref="Y1:AB1"/>
    <mergeCell ref="AH14:AJ14"/>
    <mergeCell ref="A15:A16"/>
    <mergeCell ref="AD1:AG1"/>
    <mergeCell ref="AH1:AK1"/>
    <mergeCell ref="AM1:AP1"/>
    <mergeCell ref="A25:A26"/>
    <mergeCell ref="A7:A8"/>
    <mergeCell ref="A9:A10"/>
    <mergeCell ref="A11:A12"/>
    <mergeCell ref="A13:A14"/>
    <mergeCell ref="A17:A18"/>
    <mergeCell ref="AQ18:AS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51:A52"/>
    <mergeCell ref="A53:A54"/>
    <mergeCell ref="A55:A56"/>
    <mergeCell ref="A57:A58"/>
    <mergeCell ref="A59:A60"/>
    <mergeCell ref="AH62:AJ62"/>
    <mergeCell ref="A64:A65"/>
    <mergeCell ref="C75:D75"/>
    <mergeCell ref="E75:F75"/>
    <mergeCell ref="G75:H75"/>
    <mergeCell ref="I75:J75"/>
    <mergeCell ref="A61:A6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T83"/>
  <sheetViews>
    <sheetView zoomScale="70" zoomScaleNormal="70" workbookViewId="0">
      <pane xSplit="3" ySplit="2" topLeftCell="AC42" activePane="bottomRight" state="frozen"/>
      <selection pane="topRight" activeCell="D1" sqref="D1"/>
      <selection pane="bottomLeft" activeCell="A3" sqref="A3"/>
      <selection pane="bottomRight" activeCell="AK45" sqref="AK45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2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9.382812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6" style="423" bestFit="1" customWidth="1"/>
    <col min="17" max="17" width="42.15234375" style="423" bestFit="1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6.15234375" style="423" bestFit="1" customWidth="1"/>
    <col min="28" max="28" width="27" style="423" customWidth="1"/>
    <col min="29" max="33" width="10.69140625" style="423" customWidth="1"/>
    <col min="34" max="34" width="31.3046875" style="423" customWidth="1"/>
    <col min="35" max="35" width="23.304687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53515625" style="423" customWidth="1"/>
    <col min="45" max="45" width="31.152343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7" t="s">
        <v>199</v>
      </c>
      <c r="AR2" s="655" t="s">
        <v>200</v>
      </c>
      <c r="AS2" s="655" t="s">
        <v>201</v>
      </c>
      <c r="AT2" s="655" t="s">
        <v>204</v>
      </c>
    </row>
    <row r="3" spans="1:46" ht="78" customHeight="1" x14ac:dyDescent="0.45">
      <c r="A3" s="1351">
        <v>45658</v>
      </c>
      <c r="B3" s="676">
        <v>1</v>
      </c>
      <c r="C3" s="677"/>
      <c r="D3" s="678"/>
      <c r="E3" s="246">
        <v>25</v>
      </c>
      <c r="F3" s="679"/>
      <c r="G3" s="680"/>
      <c r="H3" s="681"/>
      <c r="I3" s="697" t="s">
        <v>152</v>
      </c>
      <c r="J3" s="683"/>
      <c r="K3" s="287"/>
      <c r="L3" s="684"/>
      <c r="M3" s="685"/>
      <c r="N3" s="685"/>
      <c r="O3" s="686"/>
      <c r="P3" s="687"/>
      <c r="Q3" s="688"/>
      <c r="R3" s="688"/>
      <c r="S3" s="686"/>
      <c r="T3" s="287"/>
      <c r="U3" s="684"/>
      <c r="V3" s="685"/>
      <c r="W3" s="246">
        <v>9</v>
      </c>
      <c r="X3" s="689"/>
      <c r="Y3" s="296"/>
      <c r="Z3" s="687"/>
      <c r="AA3" s="682" t="s">
        <v>388</v>
      </c>
      <c r="AB3" s="690"/>
      <c r="AC3" s="287"/>
      <c r="AD3" s="684"/>
      <c r="AE3" s="685"/>
      <c r="AF3" s="246"/>
      <c r="AG3" s="686"/>
      <c r="AH3" s="687"/>
      <c r="AI3" s="687"/>
      <c r="AJ3" s="245"/>
      <c r="AK3" s="686"/>
      <c r="AL3" s="255"/>
      <c r="AM3" s="684"/>
      <c r="AN3" s="685"/>
      <c r="AO3" s="246"/>
      <c r="AP3" s="686"/>
      <c r="AQ3" s="687"/>
      <c r="AR3" s="691"/>
      <c r="AS3" s="245"/>
      <c r="AT3" s="686"/>
    </row>
    <row r="4" spans="1:46" ht="69.75" customHeight="1" x14ac:dyDescent="0.45">
      <c r="A4" s="1352"/>
      <c r="B4" s="692">
        <v>2</v>
      </c>
      <c r="C4" s="693"/>
      <c r="D4" s="694">
        <v>307</v>
      </c>
      <c r="E4" s="694">
        <v>39</v>
      </c>
      <c r="F4" s="695"/>
      <c r="G4" s="696"/>
      <c r="H4" s="681" t="s">
        <v>1011</v>
      </c>
      <c r="I4" s="697" t="s">
        <v>152</v>
      </c>
      <c r="J4" s="698"/>
      <c r="K4" s="287"/>
      <c r="L4" s="699"/>
      <c r="M4" s="246"/>
      <c r="N4" s="246"/>
      <c r="O4" s="689"/>
      <c r="P4" s="251"/>
      <c r="Q4" s="681"/>
      <c r="R4" s="226"/>
      <c r="S4" s="689"/>
      <c r="T4" s="287"/>
      <c r="U4" s="699"/>
      <c r="V4" s="245"/>
      <c r="W4" s="246"/>
      <c r="X4" s="689"/>
      <c r="Y4" s="696"/>
      <c r="Z4" s="682"/>
      <c r="AA4" s="682"/>
      <c r="AB4" s="700"/>
      <c r="AC4" s="287"/>
      <c r="AD4" s="699"/>
      <c r="AE4" s="246"/>
      <c r="AF4" s="246"/>
      <c r="AG4" s="689"/>
      <c r="AH4" s="251"/>
      <c r="AI4" s="682"/>
      <c r="AJ4" s="246"/>
      <c r="AK4" s="689"/>
      <c r="AL4" s="255"/>
      <c r="AM4" s="699"/>
      <c r="AN4" s="246"/>
      <c r="AO4" s="246">
        <v>40</v>
      </c>
      <c r="AP4" s="689"/>
      <c r="AQ4" s="251"/>
      <c r="AR4" s="682"/>
      <c r="AS4" s="246" t="s">
        <v>1012</v>
      </c>
      <c r="AT4" s="689"/>
    </row>
    <row r="5" spans="1:46" ht="60" customHeight="1" x14ac:dyDescent="0.45">
      <c r="A5" s="1351">
        <v>45659</v>
      </c>
      <c r="B5" s="692">
        <v>1</v>
      </c>
      <c r="C5" s="693"/>
      <c r="D5" s="694"/>
      <c r="E5" s="694">
        <v>46</v>
      </c>
      <c r="F5" s="695"/>
      <c r="G5" s="791"/>
      <c r="H5" s="711"/>
      <c r="I5" s="697" t="s">
        <v>152</v>
      </c>
      <c r="J5" s="698"/>
      <c r="K5" s="287"/>
      <c r="L5" s="699"/>
      <c r="M5" s="246"/>
      <c r="N5" s="246"/>
      <c r="O5" s="689"/>
      <c r="P5" s="251"/>
      <c r="Q5" s="246"/>
      <c r="R5" s="246"/>
      <c r="S5" s="689"/>
      <c r="T5" s="287"/>
      <c r="U5" s="699"/>
      <c r="V5" s="246"/>
      <c r="W5" s="246"/>
      <c r="X5" s="689"/>
      <c r="Y5" s="296"/>
      <c r="Z5" s="681"/>
      <c r="AA5" s="701"/>
      <c r="AB5" s="702"/>
      <c r="AC5" s="287"/>
      <c r="AD5" s="699"/>
      <c r="AE5" s="246"/>
      <c r="AF5" s="246"/>
      <c r="AG5" s="689"/>
      <c r="AH5" s="251"/>
      <c r="AI5" s="246"/>
      <c r="AJ5" s="703"/>
      <c r="AK5" s="689"/>
      <c r="AL5" s="255"/>
      <c r="AM5" s="699"/>
      <c r="AN5" s="246"/>
      <c r="AO5" s="246">
        <v>28</v>
      </c>
      <c r="AP5" s="689"/>
      <c r="AQ5" s="251"/>
      <c r="AR5" s="306"/>
      <c r="AS5" s="245" t="s">
        <v>388</v>
      </c>
      <c r="AT5" s="704"/>
    </row>
    <row r="6" spans="1:46" ht="80.5" customHeight="1" x14ac:dyDescent="0.45">
      <c r="A6" s="1352"/>
      <c r="B6" s="692">
        <v>2</v>
      </c>
      <c r="C6" s="693"/>
      <c r="D6" s="694"/>
      <c r="E6" s="694">
        <v>132</v>
      </c>
      <c r="F6" s="695"/>
      <c r="G6" s="680"/>
      <c r="H6" s="682"/>
      <c r="I6" s="697" t="s">
        <v>152</v>
      </c>
      <c r="J6" s="705"/>
      <c r="K6" s="287"/>
      <c r="L6" s="699"/>
      <c r="M6" s="246"/>
      <c r="N6" s="246"/>
      <c r="O6" s="689"/>
      <c r="P6" s="251"/>
      <c r="Q6" s="681"/>
      <c r="R6" s="246"/>
      <c r="S6" s="705"/>
      <c r="T6" s="287"/>
      <c r="U6" s="699"/>
      <c r="V6" s="246">
        <v>65</v>
      </c>
      <c r="W6" s="246"/>
      <c r="X6" s="689"/>
      <c r="Y6" s="296"/>
      <c r="Z6" s="681" t="s">
        <v>1013</v>
      </c>
      <c r="AA6" s="682"/>
      <c r="AB6" s="705"/>
      <c r="AC6" s="287"/>
      <c r="AD6" s="699"/>
      <c r="AE6" s="246"/>
      <c r="AF6" s="246"/>
      <c r="AG6" s="689"/>
      <c r="AH6" s="251"/>
      <c r="AI6" s="246"/>
      <c r="AJ6" s="246"/>
      <c r="AK6" s="705"/>
      <c r="AL6" s="255"/>
      <c r="AM6" s="699"/>
      <c r="AN6" s="246"/>
      <c r="AO6" s="246"/>
      <c r="AP6" s="689"/>
      <c r="AQ6" s="301"/>
      <c r="AR6" s="810"/>
      <c r="AS6" s="296"/>
      <c r="AT6" s="705"/>
    </row>
    <row r="7" spans="1:46" ht="71.5" customHeight="1" x14ac:dyDescent="0.45">
      <c r="A7" s="1351">
        <v>45660</v>
      </c>
      <c r="B7" s="692">
        <v>1</v>
      </c>
      <c r="C7" s="693"/>
      <c r="D7" s="694">
        <v>57</v>
      </c>
      <c r="E7" s="694">
        <v>13</v>
      </c>
      <c r="F7" s="695"/>
      <c r="G7" s="680"/>
      <c r="H7" s="682" t="s">
        <v>1010</v>
      </c>
      <c r="I7" s="697" t="s">
        <v>152</v>
      </c>
      <c r="J7" s="705"/>
      <c r="K7" s="287"/>
      <c r="L7" s="699"/>
      <c r="M7" s="251">
        <v>62</v>
      </c>
      <c r="N7" s="246"/>
      <c r="O7" s="689"/>
      <c r="P7" s="251"/>
      <c r="Q7" s="706" t="s">
        <v>1010</v>
      </c>
      <c r="R7" s="246"/>
      <c r="S7" s="704"/>
      <c r="T7" s="287"/>
      <c r="U7" s="699"/>
      <c r="V7" s="246">
        <v>81</v>
      </c>
      <c r="W7" s="246">
        <v>50</v>
      </c>
      <c r="X7" s="689"/>
      <c r="Y7" s="296"/>
      <c r="Z7" s="681" t="s">
        <v>1014</v>
      </c>
      <c r="AA7" s="701" t="s">
        <v>388</v>
      </c>
      <c r="AB7" s="704"/>
      <c r="AC7" s="287"/>
      <c r="AD7" s="699"/>
      <c r="AE7" s="246">
        <v>67</v>
      </c>
      <c r="AF7" s="246"/>
      <c r="AG7" s="689"/>
      <c r="AH7" s="251"/>
      <c r="AI7" s="706" t="s">
        <v>1014</v>
      </c>
      <c r="AJ7" s="794"/>
      <c r="AK7" s="808"/>
      <c r="AL7" s="255"/>
      <c r="AM7" s="699"/>
      <c r="AN7" s="246">
        <v>175</v>
      </c>
      <c r="AO7" s="246"/>
      <c r="AP7" s="689"/>
      <c r="AQ7" s="284"/>
      <c r="AR7" s="796" t="s">
        <v>1014</v>
      </c>
      <c r="AS7" s="809"/>
      <c r="AT7" s="707"/>
    </row>
    <row r="8" spans="1:46" ht="69.650000000000006" customHeight="1" x14ac:dyDescent="0.45">
      <c r="A8" s="1352"/>
      <c r="B8" s="692">
        <v>2</v>
      </c>
      <c r="C8" s="693"/>
      <c r="D8" s="727"/>
      <c r="E8" s="694">
        <v>17</v>
      </c>
      <c r="F8" s="695"/>
      <c r="G8" s="696"/>
      <c r="H8" s="682" t="s">
        <v>27</v>
      </c>
      <c r="I8" s="697"/>
      <c r="J8" s="705"/>
      <c r="K8" s="287"/>
      <c r="L8" s="699"/>
      <c r="M8" s="246"/>
      <c r="N8" s="246"/>
      <c r="O8" s="689"/>
      <c r="P8" s="251"/>
      <c r="Q8" s="246"/>
      <c r="R8" s="245"/>
      <c r="S8" s="704"/>
      <c r="T8" s="287"/>
      <c r="U8" s="795"/>
      <c r="V8" s="796"/>
      <c r="W8" s="251">
        <v>10</v>
      </c>
      <c r="X8" s="689"/>
      <c r="Y8" s="296"/>
      <c r="Z8" s="301" t="s">
        <v>27</v>
      </c>
      <c r="AA8" s="296"/>
      <c r="AB8" s="705"/>
      <c r="AC8" s="287"/>
      <c r="AD8" s="699"/>
      <c r="AE8" s="246"/>
      <c r="AF8" s="246"/>
      <c r="AG8" s="689"/>
      <c r="AH8" s="251"/>
      <c r="AI8" s="245"/>
      <c r="AJ8" s="794"/>
      <c r="AK8" s="797"/>
      <c r="AL8" s="255"/>
      <c r="AM8" s="699"/>
      <c r="AN8" s="246"/>
      <c r="AO8" s="246"/>
      <c r="AP8" s="689"/>
      <c r="AQ8" s="284"/>
      <c r="AR8" s="811"/>
      <c r="AS8" s="251"/>
      <c r="AT8" s="705"/>
    </row>
    <row r="9" spans="1:46" ht="76.95" customHeight="1" x14ac:dyDescent="0.45">
      <c r="A9" s="1351">
        <v>45661</v>
      </c>
      <c r="B9" s="692">
        <v>1</v>
      </c>
      <c r="C9" s="763"/>
      <c r="D9" s="790"/>
      <c r="E9" s="787">
        <v>55</v>
      </c>
      <c r="F9" s="695"/>
      <c r="G9" s="696"/>
      <c r="H9" s="681" t="s">
        <v>27</v>
      </c>
      <c r="I9" s="697"/>
      <c r="J9" s="705"/>
      <c r="K9" s="287"/>
      <c r="L9" s="699"/>
      <c r="M9" s="246"/>
      <c r="N9" s="246"/>
      <c r="O9" s="689"/>
      <c r="P9" s="251"/>
      <c r="Q9" s="246"/>
      <c r="R9" s="245"/>
      <c r="S9" s="705"/>
      <c r="T9" s="287"/>
      <c r="U9" s="795"/>
      <c r="V9" s="251"/>
      <c r="W9" s="246">
        <v>4</v>
      </c>
      <c r="X9" s="689"/>
      <c r="Y9" s="296"/>
      <c r="Z9" s="246" t="s">
        <v>27</v>
      </c>
      <c r="AA9" s="701"/>
      <c r="AB9" s="705"/>
      <c r="AC9" s="287"/>
      <c r="AD9" s="699"/>
      <c r="AE9" s="246"/>
      <c r="AF9" s="246"/>
      <c r="AG9" s="689"/>
      <c r="AH9" s="251"/>
      <c r="AI9" s="246"/>
      <c r="AJ9" s="246"/>
      <c r="AK9" s="705"/>
      <c r="AL9" s="255"/>
      <c r="AM9" s="699"/>
      <c r="AN9" s="246"/>
      <c r="AO9" s="246"/>
      <c r="AP9" s="689"/>
      <c r="AQ9" s="284"/>
      <c r="AR9" s="796"/>
      <c r="AS9" s="251"/>
      <c r="AT9" s="708"/>
    </row>
    <row r="10" spans="1:46" ht="67.2" customHeight="1" x14ac:dyDescent="0.45">
      <c r="A10" s="1352"/>
      <c r="B10" s="692">
        <v>2</v>
      </c>
      <c r="C10" s="763"/>
      <c r="D10" s="788"/>
      <c r="E10" s="787"/>
      <c r="F10" s="695"/>
      <c r="G10" s="709"/>
      <c r="H10" s="710"/>
      <c r="I10" s="711"/>
      <c r="J10" s="705"/>
      <c r="K10" s="287"/>
      <c r="L10" s="699">
        <v>52.5</v>
      </c>
      <c r="M10" s="246">
        <v>52.5</v>
      </c>
      <c r="N10" s="246"/>
      <c r="O10" s="689"/>
      <c r="P10" s="251" t="s">
        <v>1015</v>
      </c>
      <c r="Q10" s="246" t="s">
        <v>1016</v>
      </c>
      <c r="R10" s="245"/>
      <c r="S10" s="705"/>
      <c r="T10" s="287"/>
      <c r="U10" s="699"/>
      <c r="V10" s="246"/>
      <c r="W10" s="246"/>
      <c r="X10" s="689"/>
      <c r="Y10" s="296"/>
      <c r="Z10" s="296"/>
      <c r="AA10" s="287"/>
      <c r="AB10" s="705"/>
      <c r="AC10" s="287"/>
      <c r="AD10" s="699"/>
      <c r="AE10" s="246"/>
      <c r="AF10" s="246"/>
      <c r="AG10" s="689"/>
      <c r="AH10" s="296"/>
      <c r="AI10" s="245"/>
      <c r="AJ10" s="682"/>
      <c r="AK10" s="705"/>
      <c r="AL10" s="255"/>
      <c r="AM10" s="699"/>
      <c r="AN10" s="246"/>
      <c r="AO10" s="246"/>
      <c r="AP10" s="689"/>
      <c r="AQ10" s="284"/>
      <c r="AR10" s="812"/>
      <c r="AS10" s="251"/>
      <c r="AT10" s="705"/>
    </row>
    <row r="11" spans="1:46" ht="60" customHeight="1" x14ac:dyDescent="0.45">
      <c r="A11" s="1351">
        <v>45662</v>
      </c>
      <c r="B11" s="692">
        <v>1</v>
      </c>
      <c r="C11" s="763"/>
      <c r="D11" s="789"/>
      <c r="E11" s="787"/>
      <c r="F11" s="695"/>
      <c r="G11" s="712"/>
      <c r="H11" s="710"/>
      <c r="I11" s="711"/>
      <c r="J11" s="698"/>
      <c r="K11" s="287"/>
      <c r="L11" s="699"/>
      <c r="M11" s="246"/>
      <c r="N11" s="246"/>
      <c r="O11" s="689"/>
      <c r="P11" s="251"/>
      <c r="Q11" s="246"/>
      <c r="R11" s="245"/>
      <c r="S11" s="689"/>
      <c r="T11" s="287"/>
      <c r="U11" s="699">
        <v>90</v>
      </c>
      <c r="V11" s="246"/>
      <c r="W11" s="246">
        <v>55</v>
      </c>
      <c r="X11" s="689"/>
      <c r="Y11" s="296" t="s">
        <v>45</v>
      </c>
      <c r="Z11" s="246"/>
      <c r="AA11" s="701" t="s">
        <v>152</v>
      </c>
      <c r="AB11" s="689"/>
      <c r="AC11" s="287"/>
      <c r="AD11" s="699"/>
      <c r="AE11" s="246"/>
      <c r="AF11" s="246"/>
      <c r="AG11" s="689"/>
      <c r="AH11" s="251"/>
      <c r="AI11" s="246"/>
      <c r="AJ11" s="701"/>
      <c r="AK11" s="689"/>
      <c r="AL11" s="255"/>
      <c r="AM11" s="699"/>
      <c r="AN11" s="246"/>
      <c r="AO11" s="246"/>
      <c r="AP11" s="689"/>
      <c r="AQ11" s="251"/>
      <c r="AR11" s="226"/>
      <c r="AS11" s="246"/>
      <c r="AT11" s="704"/>
    </row>
    <row r="12" spans="1:46" ht="55.2" customHeight="1" x14ac:dyDescent="0.45">
      <c r="A12" s="1352"/>
      <c r="B12" s="692">
        <v>2</v>
      </c>
      <c r="C12" s="693"/>
      <c r="D12" s="767"/>
      <c r="E12" s="694"/>
      <c r="F12" s="695"/>
      <c r="G12" s="696"/>
      <c r="H12" s="681"/>
      <c r="I12" s="711"/>
      <c r="J12" s="705"/>
      <c r="K12" s="287"/>
      <c r="L12" s="699"/>
      <c r="M12" s="246">
        <v>114</v>
      </c>
      <c r="N12" s="246"/>
      <c r="O12" s="689"/>
      <c r="P12" s="251"/>
      <c r="Q12" s="246" t="s">
        <v>1017</v>
      </c>
      <c r="R12" s="245"/>
      <c r="S12" s="705"/>
      <c r="T12" s="287"/>
      <c r="U12" s="699">
        <v>720</v>
      </c>
      <c r="V12" s="246"/>
      <c r="W12" s="246"/>
      <c r="X12" s="689"/>
      <c r="Y12" s="296" t="s">
        <v>45</v>
      </c>
      <c r="Z12" s="682"/>
      <c r="AA12" s="701"/>
      <c r="AB12" s="705"/>
      <c r="AC12" s="287"/>
      <c r="AD12" s="699"/>
      <c r="AE12" s="246"/>
      <c r="AF12" s="246"/>
      <c r="AG12" s="689"/>
      <c r="AH12" s="251"/>
      <c r="AI12" s="245"/>
      <c r="AJ12" s="245"/>
      <c r="AK12" s="705"/>
      <c r="AL12" s="255"/>
      <c r="AM12" s="699"/>
      <c r="AN12" s="246"/>
      <c r="AO12" s="246"/>
      <c r="AP12" s="689"/>
      <c r="AQ12" s="251"/>
      <c r="AR12" s="246"/>
      <c r="AS12" s="245"/>
      <c r="AT12" s="705"/>
    </row>
    <row r="13" spans="1:46" ht="34.950000000000003" customHeight="1" x14ac:dyDescent="0.45">
      <c r="A13" s="1351">
        <v>45663</v>
      </c>
      <c r="B13" s="692">
        <v>1</v>
      </c>
      <c r="C13" s="693"/>
      <c r="D13" s="694"/>
      <c r="E13" s="694"/>
      <c r="F13" s="695"/>
      <c r="G13" s="696"/>
      <c r="H13" s="681"/>
      <c r="I13" s="697"/>
      <c r="J13" s="705"/>
      <c r="K13" s="287"/>
      <c r="L13" s="699"/>
      <c r="M13" s="246"/>
      <c r="N13" s="246"/>
      <c r="O13" s="695"/>
      <c r="P13" s="251"/>
      <c r="Q13" s="246"/>
      <c r="R13" s="246"/>
      <c r="S13" s="705"/>
      <c r="T13" s="287"/>
      <c r="U13" s="699">
        <v>720</v>
      </c>
      <c r="V13" s="246"/>
      <c r="W13" s="246"/>
      <c r="X13" s="695"/>
      <c r="Y13" s="296" t="s">
        <v>45</v>
      </c>
      <c r="Z13" s="245"/>
      <c r="AA13" s="701"/>
      <c r="AB13" s="705"/>
      <c r="AC13" s="287"/>
      <c r="AD13" s="699"/>
      <c r="AE13" s="246"/>
      <c r="AF13" s="246"/>
      <c r="AG13" s="695"/>
      <c r="AH13" s="251"/>
      <c r="AI13" s="246"/>
      <c r="AJ13" s="701"/>
      <c r="AK13" s="705"/>
      <c r="AL13" s="255"/>
      <c r="AM13" s="699"/>
      <c r="AN13" s="246"/>
      <c r="AO13" s="246"/>
      <c r="AP13" s="695"/>
      <c r="AQ13" s="251"/>
      <c r="AR13" s="246"/>
      <c r="AS13" s="682"/>
      <c r="AT13" s="705"/>
    </row>
    <row r="14" spans="1:46" ht="49.2" customHeight="1" x14ac:dyDescent="0.45">
      <c r="A14" s="1352"/>
      <c r="B14" s="692">
        <v>2</v>
      </c>
      <c r="C14" s="693"/>
      <c r="D14" s="694"/>
      <c r="E14" s="694"/>
      <c r="F14" s="695"/>
      <c r="G14" s="696"/>
      <c r="H14" s="682"/>
      <c r="I14" s="697"/>
      <c r="J14" s="705"/>
      <c r="K14" s="287"/>
      <c r="L14" s="699"/>
      <c r="M14" s="246"/>
      <c r="N14" s="246"/>
      <c r="O14" s="695"/>
      <c r="P14" s="296"/>
      <c r="Q14" s="246"/>
      <c r="R14" s="246"/>
      <c r="S14" s="705"/>
      <c r="T14" s="287"/>
      <c r="U14" s="699">
        <v>720</v>
      </c>
      <c r="V14" s="246"/>
      <c r="W14" s="246"/>
      <c r="X14" s="695"/>
      <c r="Y14" s="296" t="s">
        <v>45</v>
      </c>
      <c r="Z14" s="245"/>
      <c r="AA14" s="701"/>
      <c r="AB14" s="705"/>
      <c r="AC14" s="287"/>
      <c r="AD14" s="699"/>
      <c r="AE14" s="246"/>
      <c r="AF14" s="246"/>
      <c r="AG14" s="695"/>
      <c r="AH14" s="1514"/>
      <c r="AI14" s="1462"/>
      <c r="AJ14" s="1515"/>
      <c r="AK14" s="705"/>
      <c r="AL14" s="255"/>
      <c r="AM14" s="699"/>
      <c r="AN14" s="246"/>
      <c r="AO14" s="806"/>
      <c r="AP14" s="813"/>
      <c r="AQ14" s="296"/>
      <c r="AR14" s="246"/>
      <c r="AS14" s="701"/>
      <c r="AT14" s="705"/>
    </row>
    <row r="15" spans="1:46" ht="48" customHeight="1" x14ac:dyDescent="0.45">
      <c r="A15" s="1351">
        <v>45664</v>
      </c>
      <c r="B15" s="692">
        <v>1</v>
      </c>
      <c r="C15" s="693"/>
      <c r="D15" s="727"/>
      <c r="E15" s="306"/>
      <c r="F15" s="739"/>
      <c r="G15" s="731"/>
      <c r="H15" s="723"/>
      <c r="I15" s="764"/>
      <c r="J15" s="739"/>
      <c r="K15" s="287"/>
      <c r="L15" s="765"/>
      <c r="M15" s="306"/>
      <c r="N15" s="306"/>
      <c r="O15" s="728"/>
      <c r="P15" s="766"/>
      <c r="Q15" s="723"/>
      <c r="R15" s="682"/>
      <c r="S15" s="705"/>
      <c r="T15" s="287"/>
      <c r="U15" s="699"/>
      <c r="V15" s="246"/>
      <c r="W15" s="246">
        <v>720</v>
      </c>
      <c r="X15" s="695"/>
      <c r="Y15" s="696"/>
      <c r="Z15" s="682"/>
      <c r="AA15" s="701" t="s">
        <v>1018</v>
      </c>
      <c r="AB15" s="705"/>
      <c r="AC15" s="287"/>
      <c r="AD15" s="699"/>
      <c r="AE15" s="246"/>
      <c r="AF15" s="287"/>
      <c r="AG15" s="695"/>
      <c r="AH15" s="680"/>
      <c r="AI15" s="682"/>
      <c r="AJ15" s="245"/>
      <c r="AK15" s="705"/>
      <c r="AL15" s="255"/>
      <c r="AM15" s="699"/>
      <c r="AN15" s="246"/>
      <c r="AO15" s="814"/>
      <c r="AP15" s="820"/>
      <c r="AQ15" s="711"/>
      <c r="AR15" s="682"/>
      <c r="AS15" s="682"/>
      <c r="AT15" s="705"/>
    </row>
    <row r="16" spans="1:46" ht="63" customHeight="1" x14ac:dyDescent="0.45">
      <c r="A16" s="1352"/>
      <c r="B16" s="692">
        <v>2</v>
      </c>
      <c r="C16" s="763">
        <v>360</v>
      </c>
      <c r="D16" s="785"/>
      <c r="E16" s="783"/>
      <c r="F16" s="774"/>
      <c r="G16" s="829" t="s">
        <v>45</v>
      </c>
      <c r="H16" s="776"/>
      <c r="I16" s="777"/>
      <c r="J16" s="778"/>
      <c r="K16" s="779"/>
      <c r="L16" s="780"/>
      <c r="M16" s="781"/>
      <c r="N16" s="781"/>
      <c r="O16" s="774"/>
      <c r="P16" s="775"/>
      <c r="Q16" s="782"/>
      <c r="R16" s="714"/>
      <c r="S16" s="705"/>
      <c r="T16" s="287"/>
      <c r="U16" s="699">
        <v>71</v>
      </c>
      <c r="V16" s="246"/>
      <c r="W16" s="246">
        <v>57</v>
      </c>
      <c r="X16" s="695"/>
      <c r="Y16" s="760" t="s">
        <v>1019</v>
      </c>
      <c r="Z16" s="710"/>
      <c r="AA16" s="715" t="s">
        <v>521</v>
      </c>
      <c r="AB16" s="705"/>
      <c r="AC16" s="287"/>
      <c r="AD16" s="699"/>
      <c r="AE16" s="246"/>
      <c r="AF16" s="246"/>
      <c r="AG16" s="695"/>
      <c r="AH16" s="716"/>
      <c r="AI16" s="710"/>
      <c r="AJ16" s="714"/>
      <c r="AK16" s="705"/>
      <c r="AL16" s="255"/>
      <c r="AM16" s="699"/>
      <c r="AN16" s="246"/>
      <c r="AO16" s="246"/>
      <c r="AP16" s="695"/>
      <c r="AQ16" s="819"/>
      <c r="AR16" s="710"/>
      <c r="AS16" s="714"/>
      <c r="AT16" s="705"/>
    </row>
    <row r="17" spans="1:46" ht="66" customHeight="1" x14ac:dyDescent="0.45">
      <c r="A17" s="1351">
        <v>45665</v>
      </c>
      <c r="B17" s="717">
        <v>1</v>
      </c>
      <c r="C17" s="693"/>
      <c r="D17" s="786"/>
      <c r="E17" s="784">
        <v>22</v>
      </c>
      <c r="F17" s="768"/>
      <c r="G17" s="769"/>
      <c r="H17" s="770"/>
      <c r="I17" s="771" t="s">
        <v>328</v>
      </c>
      <c r="J17" s="772"/>
      <c r="K17" s="287"/>
      <c r="L17" s="773"/>
      <c r="M17" s="226"/>
      <c r="N17" s="226"/>
      <c r="O17" s="768"/>
      <c r="P17" s="769"/>
      <c r="Q17" s="770"/>
      <c r="R17" s="682"/>
      <c r="S17" s="705"/>
      <c r="T17" s="287"/>
      <c r="U17" s="699"/>
      <c r="V17" s="246"/>
      <c r="W17" s="246">
        <v>67</v>
      </c>
      <c r="X17" s="695"/>
      <c r="Y17" s="696"/>
      <c r="Z17" s="681"/>
      <c r="AA17" s="715" t="s">
        <v>328</v>
      </c>
      <c r="AB17" s="705"/>
      <c r="AC17" s="287"/>
      <c r="AD17" s="699"/>
      <c r="AE17" s="246"/>
      <c r="AF17" s="246"/>
      <c r="AG17" s="695"/>
      <c r="AH17" s="680"/>
      <c r="AI17" s="681"/>
      <c r="AJ17" s="682"/>
      <c r="AK17" s="705"/>
      <c r="AL17" s="255"/>
      <c r="AM17" s="699"/>
      <c r="AN17" s="246"/>
      <c r="AO17" s="806"/>
      <c r="AP17" s="820"/>
      <c r="AQ17" s="715"/>
      <c r="AR17" s="682"/>
      <c r="AS17" s="701"/>
      <c r="AT17" s="705"/>
    </row>
    <row r="18" spans="1:46" ht="49.5" customHeight="1" x14ac:dyDescent="0.45">
      <c r="A18" s="1352"/>
      <c r="B18" s="692">
        <v>2</v>
      </c>
      <c r="C18" s="693"/>
      <c r="D18" s="694"/>
      <c r="E18" s="694"/>
      <c r="F18" s="695"/>
      <c r="G18" s="696"/>
      <c r="H18" s="718"/>
      <c r="I18" s="697"/>
      <c r="J18" s="705"/>
      <c r="K18" s="287"/>
      <c r="L18" s="699"/>
      <c r="M18" s="246">
        <v>23</v>
      </c>
      <c r="N18" s="246"/>
      <c r="O18" s="695"/>
      <c r="P18" s="696"/>
      <c r="Q18" s="682" t="s">
        <v>317</v>
      </c>
      <c r="R18" s="697"/>
      <c r="S18" s="705"/>
      <c r="T18" s="287"/>
      <c r="U18" s="699"/>
      <c r="V18" s="246"/>
      <c r="W18" s="694"/>
      <c r="X18" s="695"/>
      <c r="Y18" s="696"/>
      <c r="Z18" s="682"/>
      <c r="AA18" s="701"/>
      <c r="AB18" s="705"/>
      <c r="AC18" s="287"/>
      <c r="AD18" s="699"/>
      <c r="AE18" s="246"/>
      <c r="AF18" s="246"/>
      <c r="AG18" s="695"/>
      <c r="AH18" s="696"/>
      <c r="AI18" s="682"/>
      <c r="AJ18" s="681"/>
      <c r="AK18" s="705"/>
      <c r="AL18" s="255"/>
      <c r="AM18" s="699">
        <v>480</v>
      </c>
      <c r="AN18" s="246"/>
      <c r="AO18" s="806"/>
      <c r="AP18" s="813"/>
      <c r="AQ18" s="828" t="s">
        <v>45</v>
      </c>
      <c r="AR18" s="710"/>
      <c r="AS18" s="830"/>
      <c r="AT18" s="705"/>
    </row>
    <row r="19" spans="1:46" ht="33.65" customHeight="1" x14ac:dyDescent="0.45">
      <c r="A19" s="1351">
        <v>45666</v>
      </c>
      <c r="B19" s="692">
        <v>1</v>
      </c>
      <c r="C19" s="287"/>
      <c r="D19" s="694"/>
      <c r="E19" s="694">
        <v>14</v>
      </c>
      <c r="F19" s="695"/>
      <c r="G19" s="719"/>
      <c r="H19" s="246"/>
      <c r="I19" s="711" t="s">
        <v>152</v>
      </c>
      <c r="J19" s="705"/>
      <c r="K19" s="287"/>
      <c r="L19" s="699"/>
      <c r="M19" s="246"/>
      <c r="N19" s="246"/>
      <c r="O19" s="695"/>
      <c r="P19" s="699"/>
      <c r="Q19" s="246"/>
      <c r="R19" s="246"/>
      <c r="S19" s="705"/>
      <c r="T19" s="287"/>
      <c r="U19" s="699"/>
      <c r="V19" s="246"/>
      <c r="W19" s="246">
        <v>17</v>
      </c>
      <c r="X19" s="695"/>
      <c r="Y19" s="699"/>
      <c r="Z19" s="245"/>
      <c r="AA19" s="715" t="s">
        <v>152</v>
      </c>
      <c r="AB19" s="705"/>
      <c r="AC19" s="287"/>
      <c r="AD19" s="699"/>
      <c r="AE19" s="246"/>
      <c r="AF19" s="246"/>
      <c r="AG19" s="695"/>
      <c r="AH19" s="699"/>
      <c r="AI19" s="246"/>
      <c r="AJ19" s="701"/>
      <c r="AK19" s="705"/>
      <c r="AL19" s="255"/>
      <c r="AM19" s="699"/>
      <c r="AN19" s="246"/>
      <c r="AO19" s="246"/>
      <c r="AP19" s="695"/>
      <c r="AQ19" s="699"/>
      <c r="AR19" s="246"/>
      <c r="AS19" s="682"/>
      <c r="AT19" s="705"/>
    </row>
    <row r="20" spans="1:46" ht="44.5" customHeight="1" x14ac:dyDescent="0.45">
      <c r="A20" s="1352"/>
      <c r="B20" s="692">
        <v>2</v>
      </c>
      <c r="C20" s="693"/>
      <c r="D20" s="694"/>
      <c r="E20" s="694"/>
      <c r="F20" s="695"/>
      <c r="G20" s="719"/>
      <c r="H20" s="245"/>
      <c r="I20" s="711"/>
      <c r="J20" s="705"/>
      <c r="K20" s="287"/>
      <c r="L20" s="699"/>
      <c r="M20" s="246"/>
      <c r="N20" s="246"/>
      <c r="O20" s="695"/>
      <c r="P20" s="719"/>
      <c r="Q20" s="245"/>
      <c r="R20" s="697"/>
      <c r="S20" s="705"/>
      <c r="T20" s="287"/>
      <c r="U20" s="699">
        <v>45</v>
      </c>
      <c r="V20" s="246"/>
      <c r="W20" s="246"/>
      <c r="X20" s="695"/>
      <c r="Y20" s="719" t="s">
        <v>1020</v>
      </c>
      <c r="Z20" s="245"/>
      <c r="AA20" s="682"/>
      <c r="AB20" s="705"/>
      <c r="AC20" s="287"/>
      <c r="AD20" s="699">
        <v>239</v>
      </c>
      <c r="AE20" s="246"/>
      <c r="AF20" s="246"/>
      <c r="AG20" s="695"/>
      <c r="AH20" s="719" t="s">
        <v>45</v>
      </c>
      <c r="AI20" s="245"/>
      <c r="AJ20" s="697"/>
      <c r="AK20" s="705"/>
      <c r="AL20" s="255"/>
      <c r="AM20" s="699"/>
      <c r="AN20" s="246"/>
      <c r="AO20" s="246"/>
      <c r="AP20" s="695"/>
      <c r="AQ20" s="719"/>
      <c r="AR20" s="245"/>
      <c r="AS20" s="697"/>
      <c r="AT20" s="705"/>
    </row>
    <row r="21" spans="1:46" ht="39" customHeight="1" x14ac:dyDescent="0.45">
      <c r="A21" s="1351">
        <v>45667</v>
      </c>
      <c r="B21" s="692">
        <v>1</v>
      </c>
      <c r="C21" s="693"/>
      <c r="D21" s="694"/>
      <c r="E21" s="694"/>
      <c r="F21" s="695"/>
      <c r="G21" s="720"/>
      <c r="H21" s="681"/>
      <c r="I21" s="711"/>
      <c r="J21" s="721"/>
      <c r="K21" s="287"/>
      <c r="L21" s="699"/>
      <c r="M21" s="246">
        <v>17</v>
      </c>
      <c r="N21" s="246"/>
      <c r="O21" s="695"/>
      <c r="P21" s="699"/>
      <c r="Q21" s="245" t="s">
        <v>1021</v>
      </c>
      <c r="R21" s="246"/>
      <c r="S21" s="721"/>
      <c r="T21" s="287"/>
      <c r="U21" s="699"/>
      <c r="V21" s="246"/>
      <c r="W21" s="246">
        <v>16</v>
      </c>
      <c r="X21" s="695"/>
      <c r="Y21" s="719"/>
      <c r="Z21" s="246"/>
      <c r="AA21" s="715" t="s">
        <v>152</v>
      </c>
      <c r="AB21" s="721"/>
      <c r="AC21" s="287"/>
      <c r="AD21" s="699"/>
      <c r="AE21" s="246"/>
      <c r="AF21" s="246"/>
      <c r="AG21" s="695"/>
      <c r="AH21" s="699"/>
      <c r="AI21" s="246"/>
      <c r="AJ21" s="701"/>
      <c r="AK21" s="721"/>
      <c r="AL21" s="255"/>
      <c r="AM21" s="699"/>
      <c r="AN21" s="246"/>
      <c r="AO21" s="246"/>
      <c r="AP21" s="695"/>
      <c r="AQ21" s="699"/>
      <c r="AR21" s="245"/>
      <c r="AS21" s="701"/>
      <c r="AT21" s="721"/>
    </row>
    <row r="22" spans="1:46" ht="49.95" customHeight="1" x14ac:dyDescent="0.45">
      <c r="A22" s="1352"/>
      <c r="B22" s="692">
        <v>2</v>
      </c>
      <c r="C22" s="693">
        <v>116</v>
      </c>
      <c r="D22" s="694"/>
      <c r="E22" s="694"/>
      <c r="F22" s="695"/>
      <c r="G22" s="722" t="s">
        <v>1022</v>
      </c>
      <c r="H22" s="682"/>
      <c r="I22" s="697"/>
      <c r="J22" s="705"/>
      <c r="K22" s="287"/>
      <c r="L22" s="699"/>
      <c r="M22" s="246"/>
      <c r="N22" s="246"/>
      <c r="O22" s="695"/>
      <c r="P22" s="296"/>
      <c r="Q22" s="682"/>
      <c r="R22" s="246"/>
      <c r="S22" s="705"/>
      <c r="T22" s="287"/>
      <c r="U22" s="699"/>
      <c r="V22" s="246"/>
      <c r="W22" s="246"/>
      <c r="X22" s="695"/>
      <c r="Y22" s="719"/>
      <c r="Z22" s="682"/>
      <c r="AA22" s="701"/>
      <c r="AB22" s="705"/>
      <c r="AC22" s="287"/>
      <c r="AD22" s="699"/>
      <c r="AE22" s="246"/>
      <c r="AF22" s="246"/>
      <c r="AG22" s="695"/>
      <c r="AH22" s="699"/>
      <c r="AI22" s="246"/>
      <c r="AJ22" s="794"/>
      <c r="AK22" s="797"/>
      <c r="AL22" s="255"/>
      <c r="AM22" s="699"/>
      <c r="AN22" s="246"/>
      <c r="AO22" s="246"/>
      <c r="AP22" s="695"/>
      <c r="AQ22" s="699"/>
      <c r="AR22" s="682"/>
      <c r="AS22" s="302"/>
      <c r="AT22" s="705"/>
    </row>
    <row r="23" spans="1:46" ht="47.5" customHeight="1" x14ac:dyDescent="0.45">
      <c r="A23" s="1351">
        <v>45668</v>
      </c>
      <c r="B23" s="717">
        <v>1</v>
      </c>
      <c r="C23" s="693"/>
      <c r="D23" s="694"/>
      <c r="E23" s="694"/>
      <c r="F23" s="695"/>
      <c r="G23" s="680"/>
      <c r="H23" s="681"/>
      <c r="I23" s="711"/>
      <c r="J23" s="705"/>
      <c r="K23" s="287"/>
      <c r="L23" s="699"/>
      <c r="M23" s="246"/>
      <c r="N23" s="246"/>
      <c r="O23" s="695"/>
      <c r="P23" s="680"/>
      <c r="Q23" s="681"/>
      <c r="R23" s="682"/>
      <c r="S23" s="705"/>
      <c r="T23" s="287"/>
      <c r="U23" s="699"/>
      <c r="V23" s="246"/>
      <c r="W23" s="246"/>
      <c r="X23" s="695"/>
      <c r="Y23" s="719"/>
      <c r="Z23" s="697"/>
      <c r="AA23" s="715"/>
      <c r="AB23" s="705"/>
      <c r="AC23" s="287"/>
      <c r="AD23" s="699"/>
      <c r="AE23" s="246"/>
      <c r="AF23" s="251"/>
      <c r="AG23" s="695"/>
      <c r="AH23" s="699"/>
      <c r="AI23" s="681"/>
      <c r="AJ23" s="807"/>
      <c r="AK23" s="797"/>
      <c r="AL23" s="255"/>
      <c r="AM23" s="699"/>
      <c r="AN23" s="246"/>
      <c r="AO23" s="246"/>
      <c r="AP23" s="695"/>
      <c r="AQ23" s="246"/>
      <c r="AR23" s="681"/>
      <c r="AS23" s="707"/>
      <c r="AT23" s="705"/>
    </row>
    <row r="24" spans="1:46" ht="49.95" customHeight="1" x14ac:dyDescent="0.45">
      <c r="A24" s="1352"/>
      <c r="B24" s="692">
        <v>2</v>
      </c>
      <c r="C24" s="693"/>
      <c r="D24" s="694"/>
      <c r="E24" s="694"/>
      <c r="F24" s="695"/>
      <c r="G24" s="680"/>
      <c r="H24" s="682"/>
      <c r="I24" s="711"/>
      <c r="J24" s="705"/>
      <c r="K24" s="287"/>
      <c r="L24" s="699"/>
      <c r="M24" s="246"/>
      <c r="N24" s="246"/>
      <c r="O24" s="695"/>
      <c r="P24" s="680"/>
      <c r="Q24" s="681"/>
      <c r="R24" s="682"/>
      <c r="S24" s="705"/>
      <c r="T24" s="762"/>
      <c r="U24" s="251"/>
      <c r="V24" s="761"/>
      <c r="W24" s="715" t="s">
        <v>1023</v>
      </c>
      <c r="X24" s="695"/>
      <c r="Y24" s="697"/>
      <c r="Z24" s="681"/>
      <c r="AA24" s="701" t="s">
        <v>328</v>
      </c>
      <c r="AB24" s="705"/>
      <c r="AC24" s="287"/>
      <c r="AD24" s="699"/>
      <c r="AE24" s="246"/>
      <c r="AF24" s="251"/>
      <c r="AG24" s="695"/>
      <c r="AH24" s="697"/>
      <c r="AI24" s="681"/>
      <c r="AJ24" s="682"/>
      <c r="AK24" s="705"/>
      <c r="AL24" s="255"/>
      <c r="AM24" s="699"/>
      <c r="AN24" s="246"/>
      <c r="AO24" s="246"/>
      <c r="AP24" s="695"/>
      <c r="AQ24" s="681"/>
      <c r="AR24" s="681"/>
      <c r="AS24" s="705"/>
      <c r="AT24" s="705"/>
    </row>
    <row r="25" spans="1:46" ht="53.5" customHeight="1" x14ac:dyDescent="0.45">
      <c r="A25" s="1351">
        <v>45669</v>
      </c>
      <c r="B25" s="692">
        <v>1</v>
      </c>
      <c r="C25" s="693"/>
      <c r="D25" s="694"/>
      <c r="E25" s="694"/>
      <c r="F25" s="695"/>
      <c r="G25" s="680"/>
      <c r="H25" s="681"/>
      <c r="I25" s="697"/>
      <c r="J25" s="705"/>
      <c r="K25" s="287"/>
      <c r="L25" s="699"/>
      <c r="M25" s="246"/>
      <c r="N25" s="246"/>
      <c r="O25" s="695"/>
      <c r="P25" s="699"/>
      <c r="Q25" s="681"/>
      <c r="R25" s="246"/>
      <c r="S25" s="705"/>
      <c r="T25" s="287"/>
      <c r="U25" s="699"/>
      <c r="V25" s="246"/>
      <c r="W25" s="246"/>
      <c r="X25" s="695"/>
      <c r="Y25" s="719"/>
      <c r="Z25" s="245"/>
      <c r="AA25" s="682"/>
      <c r="AB25" s="705"/>
      <c r="AC25" s="287"/>
      <c r="AD25" s="699"/>
      <c r="AE25" s="246"/>
      <c r="AF25" s="246"/>
      <c r="AG25" s="695"/>
      <c r="AH25" s="246"/>
      <c r="AI25" s="245"/>
      <c r="AJ25" s="682"/>
      <c r="AK25" s="705"/>
      <c r="AL25" s="255"/>
      <c r="AM25" s="699"/>
      <c r="AN25" s="246"/>
      <c r="AO25" s="246"/>
      <c r="AP25" s="695"/>
      <c r="AQ25" s="246"/>
      <c r="AR25" s="246"/>
      <c r="AS25" s="682"/>
      <c r="AT25" s="705"/>
    </row>
    <row r="26" spans="1:46" ht="42" customHeight="1" x14ac:dyDescent="0.45">
      <c r="A26" s="1352"/>
      <c r="B26" s="692">
        <v>2</v>
      </c>
      <c r="C26" s="693"/>
      <c r="D26" s="694"/>
      <c r="E26" s="694"/>
      <c r="F26" s="695"/>
      <c r="G26" s="680"/>
      <c r="H26" s="682"/>
      <c r="I26" s="697"/>
      <c r="J26" s="705"/>
      <c r="K26" s="287"/>
      <c r="L26" s="699"/>
      <c r="M26" s="246"/>
      <c r="N26" s="246"/>
      <c r="O26" s="695"/>
      <c r="P26" s="680"/>
      <c r="Q26" s="682"/>
      <c r="R26" s="707"/>
      <c r="S26" s="705"/>
      <c r="T26" s="287"/>
      <c r="U26" s="699"/>
      <c r="V26" s="694"/>
      <c r="W26" s="246">
        <v>70</v>
      </c>
      <c r="X26" s="695"/>
      <c r="Y26" s="697"/>
      <c r="Z26" s="682"/>
      <c r="AA26" s="701" t="s">
        <v>328</v>
      </c>
      <c r="AB26" s="705"/>
      <c r="AC26" s="287"/>
      <c r="AD26" s="699"/>
      <c r="AE26" s="694"/>
      <c r="AF26" s="246"/>
      <c r="AG26" s="695"/>
      <c r="AH26" s="697"/>
      <c r="AI26" s="682"/>
      <c r="AJ26" s="682"/>
      <c r="AK26" s="705"/>
      <c r="AL26" s="255"/>
      <c r="AM26" s="699"/>
      <c r="AN26" s="694"/>
      <c r="AO26" s="246"/>
      <c r="AP26" s="695"/>
      <c r="AQ26" s="680"/>
      <c r="AR26" s="682"/>
      <c r="AS26" s="682"/>
      <c r="AT26" s="705"/>
    </row>
    <row r="27" spans="1:46" ht="49.95" customHeight="1" x14ac:dyDescent="0.45">
      <c r="A27" s="1351">
        <v>45670</v>
      </c>
      <c r="B27" s="717">
        <v>1</v>
      </c>
      <c r="C27" s="693"/>
      <c r="D27" s="694"/>
      <c r="E27" s="694">
        <v>9</v>
      </c>
      <c r="F27" s="695"/>
      <c r="G27" s="680"/>
      <c r="H27" s="681"/>
      <c r="I27" s="711" t="s">
        <v>152</v>
      </c>
      <c r="J27" s="705"/>
      <c r="K27" s="287"/>
      <c r="L27" s="699"/>
      <c r="M27" s="246"/>
      <c r="N27" s="246"/>
      <c r="O27" s="695"/>
      <c r="P27" s="680"/>
      <c r="Q27" s="681"/>
      <c r="R27" s="682"/>
      <c r="S27" s="705"/>
      <c r="T27" s="287"/>
      <c r="U27" s="699"/>
      <c r="V27" s="246"/>
      <c r="W27" s="246">
        <v>13</v>
      </c>
      <c r="X27" s="695"/>
      <c r="Y27" s="680"/>
      <c r="Z27" s="682"/>
      <c r="AA27" s="715" t="s">
        <v>152</v>
      </c>
      <c r="AB27" s="705"/>
      <c r="AC27" s="287"/>
      <c r="AD27" s="699"/>
      <c r="AE27" s="246"/>
      <c r="AF27" s="246"/>
      <c r="AG27" s="695"/>
      <c r="AH27" s="680"/>
      <c r="AI27" s="245"/>
      <c r="AJ27" s="682"/>
      <c r="AK27" s="705"/>
      <c r="AL27" s="255"/>
      <c r="AM27" s="699"/>
      <c r="AN27" s="246"/>
      <c r="AO27" s="246"/>
      <c r="AP27" s="695"/>
      <c r="AQ27" s="245"/>
      <c r="AR27" s="246"/>
      <c r="AS27" s="682"/>
      <c r="AT27" s="705"/>
    </row>
    <row r="28" spans="1:46" ht="72" customHeight="1" x14ac:dyDescent="0.45">
      <c r="A28" s="1352"/>
      <c r="B28" s="692">
        <v>2</v>
      </c>
      <c r="C28" s="693">
        <v>625</v>
      </c>
      <c r="D28" s="694"/>
      <c r="E28" s="694"/>
      <c r="F28" s="695"/>
      <c r="G28" s="682" t="s">
        <v>1024</v>
      </c>
      <c r="H28" s="682"/>
      <c r="I28" s="707"/>
      <c r="J28" s="705"/>
      <c r="K28" s="287"/>
      <c r="L28" s="699"/>
      <c r="M28" s="246"/>
      <c r="N28" s="246"/>
      <c r="O28" s="695"/>
      <c r="P28" s="682"/>
      <c r="Q28" s="682"/>
      <c r="R28" s="682"/>
      <c r="S28" s="705"/>
      <c r="T28" s="287"/>
      <c r="U28" s="699"/>
      <c r="V28" s="246"/>
      <c r="W28" s="287"/>
      <c r="X28" s="695"/>
      <c r="Y28" s="682"/>
      <c r="Z28" s="246"/>
      <c r="AA28" s="701"/>
      <c r="AB28" s="705"/>
      <c r="AC28" s="287"/>
      <c r="AD28" s="699"/>
      <c r="AE28" s="246"/>
      <c r="AF28" s="246"/>
      <c r="AG28" s="695"/>
      <c r="AH28" s="680"/>
      <c r="AI28" s="245"/>
      <c r="AJ28" s="701"/>
      <c r="AK28" s="705"/>
      <c r="AL28" s="255"/>
      <c r="AM28" s="699"/>
      <c r="AN28" s="246"/>
      <c r="AO28" s="246">
        <v>64</v>
      </c>
      <c r="AP28" s="695"/>
      <c r="AQ28" s="245"/>
      <c r="AR28" s="246"/>
      <c r="AS28" s="682" t="s">
        <v>152</v>
      </c>
      <c r="AT28" s="705"/>
    </row>
    <row r="29" spans="1:46" ht="66" customHeight="1" x14ac:dyDescent="0.45">
      <c r="A29" s="1351">
        <v>45671</v>
      </c>
      <c r="B29" s="692">
        <v>1</v>
      </c>
      <c r="C29" s="693">
        <v>321</v>
      </c>
      <c r="D29" s="694"/>
      <c r="E29" s="694"/>
      <c r="F29" s="695"/>
      <c r="G29" s="682" t="s">
        <v>1024</v>
      </c>
      <c r="H29" s="681"/>
      <c r="I29" s="707"/>
      <c r="J29" s="705"/>
      <c r="K29" s="287"/>
      <c r="L29" s="699"/>
      <c r="M29" s="246"/>
      <c r="N29" s="246"/>
      <c r="O29" s="695"/>
      <c r="P29" s="680"/>
      <c r="Q29" s="682"/>
      <c r="R29" s="682"/>
      <c r="S29" s="705"/>
      <c r="T29" s="287"/>
      <c r="U29" s="699"/>
      <c r="V29" s="246"/>
      <c r="W29" s="246">
        <v>28</v>
      </c>
      <c r="X29" s="695"/>
      <c r="Y29" s="682"/>
      <c r="Z29" s="681"/>
      <c r="AA29" s="701" t="s">
        <v>152</v>
      </c>
      <c r="AB29" s="705"/>
      <c r="AC29" s="287"/>
      <c r="AD29" s="699"/>
      <c r="AE29" s="246"/>
      <c r="AF29" s="246"/>
      <c r="AG29" s="695"/>
      <c r="AH29" s="680"/>
      <c r="AI29" s="681"/>
      <c r="AJ29" s="246"/>
      <c r="AK29" s="705"/>
      <c r="AL29" s="255"/>
      <c r="AM29" s="699"/>
      <c r="AN29" s="246"/>
      <c r="AO29" s="246"/>
      <c r="AP29" s="246">
        <v>415</v>
      </c>
      <c r="AQ29" s="245"/>
      <c r="AR29" s="681"/>
      <c r="AS29" s="302"/>
      <c r="AT29" s="705" t="s">
        <v>1008</v>
      </c>
    </row>
    <row r="30" spans="1:46" ht="39.65" customHeight="1" x14ac:dyDescent="0.45">
      <c r="A30" s="1352"/>
      <c r="B30" s="717">
        <v>2</v>
      </c>
      <c r="C30" s="693"/>
      <c r="D30" s="694"/>
      <c r="E30" s="694"/>
      <c r="F30" s="695"/>
      <c r="G30" s="682"/>
      <c r="H30" s="681"/>
      <c r="I30" s="701"/>
      <c r="J30" s="705"/>
      <c r="K30" s="287"/>
      <c r="L30" s="699"/>
      <c r="M30" s="246"/>
      <c r="N30" s="246"/>
      <c r="O30" s="695"/>
      <c r="P30" s="680"/>
      <c r="Q30" s="682"/>
      <c r="R30" s="682"/>
      <c r="S30" s="705"/>
      <c r="T30" s="287"/>
      <c r="U30" s="699"/>
      <c r="V30" s="246"/>
      <c r="W30" s="246">
        <v>29</v>
      </c>
      <c r="X30" s="695"/>
      <c r="Y30" s="682"/>
      <c r="Z30" s="798"/>
      <c r="AA30" s="799" t="s">
        <v>328</v>
      </c>
      <c r="AB30" s="705"/>
      <c r="AC30" s="287"/>
      <c r="AD30" s="699"/>
      <c r="AE30" s="246"/>
      <c r="AF30" s="246"/>
      <c r="AG30" s="695"/>
      <c r="AH30" s="680"/>
      <c r="AI30" s="682"/>
      <c r="AJ30" s="246"/>
      <c r="AK30" s="705"/>
      <c r="AL30" s="255"/>
      <c r="AM30" s="699"/>
      <c r="AN30" s="246"/>
      <c r="AO30" s="246"/>
      <c r="AP30" s="246">
        <v>720</v>
      </c>
      <c r="AQ30" s="296"/>
      <c r="AR30" s="681"/>
      <c r="AS30" s="302"/>
      <c r="AT30" s="704" t="s">
        <v>1008</v>
      </c>
    </row>
    <row r="31" spans="1:46" ht="39.65" customHeight="1" x14ac:dyDescent="0.45">
      <c r="A31" s="1351">
        <v>45672</v>
      </c>
      <c r="B31" s="692">
        <v>1</v>
      </c>
      <c r="C31" s="693"/>
      <c r="D31" s="694"/>
      <c r="E31" s="694"/>
      <c r="F31" s="695"/>
      <c r="G31" s="680"/>
      <c r="H31" s="794"/>
      <c r="I31" s="793"/>
      <c r="J31" s="705"/>
      <c r="K31" s="287"/>
      <c r="L31" s="699"/>
      <c r="M31" s="246"/>
      <c r="N31" s="246"/>
      <c r="O31" s="695"/>
      <c r="P31" s="251"/>
      <c r="Q31" s="246"/>
      <c r="R31" s="246"/>
      <c r="S31" s="705"/>
      <c r="T31" s="287"/>
      <c r="U31" s="699"/>
      <c r="V31" s="246"/>
      <c r="W31" s="246">
        <v>10</v>
      </c>
      <c r="X31" s="695"/>
      <c r="Y31" s="301"/>
      <c r="Z31" s="800"/>
      <c r="AA31" s="801" t="s">
        <v>152</v>
      </c>
      <c r="AB31" s="797"/>
      <c r="AC31" s="287"/>
      <c r="AD31" s="699"/>
      <c r="AE31" s="246"/>
      <c r="AF31" s="246"/>
      <c r="AG31" s="695"/>
      <c r="AH31" s="680"/>
      <c r="AI31" s="246"/>
      <c r="AJ31" s="246"/>
      <c r="AK31" s="705"/>
      <c r="AL31" s="255"/>
      <c r="AM31" s="699"/>
      <c r="AN31" s="246"/>
      <c r="AO31" s="246"/>
      <c r="AP31" s="246">
        <v>720</v>
      </c>
      <c r="AQ31" s="251"/>
      <c r="AR31" s="681"/>
      <c r="AS31" s="246"/>
      <c r="AT31" s="704" t="s">
        <v>1008</v>
      </c>
    </row>
    <row r="32" spans="1:46" ht="63" customHeight="1" x14ac:dyDescent="0.45">
      <c r="A32" s="1352"/>
      <c r="B32" s="692">
        <v>2</v>
      </c>
      <c r="C32" s="792"/>
      <c r="D32" s="787"/>
      <c r="E32" s="761">
        <v>35</v>
      </c>
      <c r="F32" s="787"/>
      <c r="G32" s="680"/>
      <c r="H32" s="794"/>
      <c r="I32" s="793" t="s">
        <v>152</v>
      </c>
      <c r="J32" s="705"/>
      <c r="K32" s="287"/>
      <c r="L32" s="699"/>
      <c r="M32" s="246"/>
      <c r="N32" s="246"/>
      <c r="O32" s="246"/>
      <c r="P32" s="251"/>
      <c r="Q32" s="794"/>
      <c r="R32" s="251"/>
      <c r="S32" s="705"/>
      <c r="T32" s="287"/>
      <c r="U32" s="699"/>
      <c r="V32" s="246"/>
      <c r="W32" s="694">
        <v>100</v>
      </c>
      <c r="X32" s="246"/>
      <c r="Y32" s="716"/>
      <c r="Z32" s="804"/>
      <c r="AA32" s="803" t="s">
        <v>328</v>
      </c>
      <c r="AB32" s="797"/>
      <c r="AC32" s="287"/>
      <c r="AD32" s="699"/>
      <c r="AE32" s="246"/>
      <c r="AF32" s="694"/>
      <c r="AG32" s="246"/>
      <c r="AH32" s="680"/>
      <c r="AI32" s="794"/>
      <c r="AJ32" s="793"/>
      <c r="AK32" s="705"/>
      <c r="AL32" s="255"/>
      <c r="AM32" s="699"/>
      <c r="AN32" s="246"/>
      <c r="AO32" s="246">
        <v>83</v>
      </c>
      <c r="AP32" s="246">
        <v>118</v>
      </c>
      <c r="AQ32" s="251"/>
      <c r="AR32" s="681"/>
      <c r="AS32" s="711" t="s">
        <v>328</v>
      </c>
      <c r="AT32" s="704" t="s">
        <v>1008</v>
      </c>
    </row>
    <row r="33" spans="1:46" ht="43.2" customHeight="1" x14ac:dyDescent="0.45">
      <c r="A33" s="1351">
        <v>45673</v>
      </c>
      <c r="B33" s="692">
        <v>1</v>
      </c>
      <c r="C33" s="693"/>
      <c r="D33" s="694"/>
      <c r="E33" s="694">
        <v>33</v>
      </c>
      <c r="F33" s="695"/>
      <c r="G33" s="680"/>
      <c r="H33" s="794"/>
      <c r="I33" s="793" t="s">
        <v>152</v>
      </c>
      <c r="J33" s="705"/>
      <c r="K33" s="287"/>
      <c r="L33" s="699"/>
      <c r="M33" s="246"/>
      <c r="N33" s="246"/>
      <c r="O33" s="695"/>
      <c r="P33" s="251"/>
      <c r="Q33" s="246"/>
      <c r="R33" s="246"/>
      <c r="S33" s="705"/>
      <c r="T33" s="287"/>
      <c r="U33" s="699"/>
      <c r="V33" s="246"/>
      <c r="W33" s="246">
        <v>20</v>
      </c>
      <c r="X33" s="695"/>
      <c r="Y33" s="251"/>
      <c r="Z33" s="226"/>
      <c r="AA33" s="803" t="s">
        <v>328</v>
      </c>
      <c r="AB33" s="705"/>
      <c r="AC33" s="287"/>
      <c r="AD33" s="699"/>
      <c r="AE33" s="246"/>
      <c r="AF33" s="246"/>
      <c r="AG33" s="695"/>
      <c r="AH33" s="251"/>
      <c r="AI33" s="805"/>
      <c r="AJ33" s="793"/>
      <c r="AK33" s="705"/>
      <c r="AL33" s="255"/>
      <c r="AM33" s="699"/>
      <c r="AN33" s="246"/>
      <c r="AO33" s="246"/>
      <c r="AP33" s="246">
        <v>720</v>
      </c>
      <c r="AQ33" s="251"/>
      <c r="AR33" s="805"/>
      <c r="AS33" s="251"/>
      <c r="AT33" s="705" t="s">
        <v>1008</v>
      </c>
    </row>
    <row r="34" spans="1:46" ht="67.95" customHeight="1" x14ac:dyDescent="0.45">
      <c r="A34" s="1352"/>
      <c r="B34" s="717">
        <v>2</v>
      </c>
      <c r="C34" s="694"/>
      <c r="D34" s="694"/>
      <c r="E34" s="694"/>
      <c r="F34" s="695"/>
      <c r="G34" s="696"/>
      <c r="H34" s="682"/>
      <c r="I34" s="701"/>
      <c r="J34" s="705"/>
      <c r="K34" s="287"/>
      <c r="L34" s="699"/>
      <c r="M34" s="246">
        <v>31</v>
      </c>
      <c r="N34" s="246"/>
      <c r="O34" s="695"/>
      <c r="P34" s="251"/>
      <c r="Q34" s="682" t="s">
        <v>1021</v>
      </c>
      <c r="R34" s="246"/>
      <c r="S34" s="705"/>
      <c r="T34" s="287"/>
      <c r="U34" s="699"/>
      <c r="V34" s="246"/>
      <c r="W34" s="246">
        <v>30</v>
      </c>
      <c r="X34" s="695"/>
      <c r="Y34" s="245"/>
      <c r="Z34" s="245"/>
      <c r="AA34" s="803" t="s">
        <v>328</v>
      </c>
      <c r="AB34" s="705"/>
      <c r="AC34" s="287"/>
      <c r="AD34" s="699">
        <v>136</v>
      </c>
      <c r="AE34" s="246"/>
      <c r="AF34" s="246"/>
      <c r="AG34" s="695"/>
      <c r="AH34" s="251"/>
      <c r="AI34" s="246"/>
      <c r="AJ34" s="245" t="s">
        <v>1025</v>
      </c>
      <c r="AK34" s="705"/>
      <c r="AL34" s="255"/>
      <c r="AM34" s="699"/>
      <c r="AN34" s="246"/>
      <c r="AO34" s="246"/>
      <c r="AP34" s="246">
        <v>720</v>
      </c>
      <c r="AQ34" s="251"/>
      <c r="AR34" s="805"/>
      <c r="AS34" s="682"/>
      <c r="AT34" s="705" t="s">
        <v>1008</v>
      </c>
    </row>
    <row r="35" spans="1:46" ht="51" customHeight="1" x14ac:dyDescent="0.45">
      <c r="A35" s="1351">
        <v>45674</v>
      </c>
      <c r="B35" s="692">
        <v>1</v>
      </c>
      <c r="C35" s="694"/>
      <c r="D35" s="694"/>
      <c r="E35" s="302"/>
      <c r="F35" s="695"/>
      <c r="G35" s="719"/>
      <c r="H35" s="251"/>
      <c r="I35" s="701"/>
      <c r="J35" s="705"/>
      <c r="K35" s="287"/>
      <c r="L35" s="699"/>
      <c r="M35" s="246">
        <v>43</v>
      </c>
      <c r="N35" s="246"/>
      <c r="O35" s="695"/>
      <c r="P35" s="719"/>
      <c r="Q35" s="682" t="s">
        <v>1021</v>
      </c>
      <c r="R35" s="682"/>
      <c r="S35" s="705"/>
      <c r="T35" s="287"/>
      <c r="U35" s="699"/>
      <c r="V35" s="246"/>
      <c r="W35" s="302"/>
      <c r="X35" s="695"/>
      <c r="Y35" s="719"/>
      <c r="Z35" s="245"/>
      <c r="AA35" s="701"/>
      <c r="AB35" s="705"/>
      <c r="AC35" s="287"/>
      <c r="AD35" s="699"/>
      <c r="AE35" s="246"/>
      <c r="AF35" s="246"/>
      <c r="AG35" s="695"/>
      <c r="AH35" s="719"/>
      <c r="AI35" s="806"/>
      <c r="AJ35" s="711"/>
      <c r="AK35" s="705"/>
      <c r="AL35" s="255"/>
      <c r="AM35" s="699"/>
      <c r="AN35" s="246"/>
      <c r="AO35" s="246"/>
      <c r="AP35" s="246">
        <v>720</v>
      </c>
      <c r="AQ35" s="251"/>
      <c r="AR35" s="805"/>
      <c r="AS35" s="301"/>
      <c r="AT35" s="705" t="s">
        <v>1008</v>
      </c>
    </row>
    <row r="36" spans="1:46" ht="46.95" customHeight="1" x14ac:dyDescent="0.45">
      <c r="A36" s="1352"/>
      <c r="B36" s="692">
        <v>2</v>
      </c>
      <c r="C36" s="302"/>
      <c r="D36" s="246"/>
      <c r="E36" s="302"/>
      <c r="F36" s="695"/>
      <c r="G36" s="707"/>
      <c r="H36" s="682"/>
      <c r="I36" s="707"/>
      <c r="J36" s="705"/>
      <c r="K36" s="287"/>
      <c r="L36" s="719"/>
      <c r="M36" s="246">
        <v>10</v>
      </c>
      <c r="N36" s="246"/>
      <c r="O36" s="695"/>
      <c r="P36" s="719"/>
      <c r="Q36" s="682" t="s">
        <v>1021</v>
      </c>
      <c r="R36" s="245"/>
      <c r="S36" s="705"/>
      <c r="T36" s="287"/>
      <c r="U36" s="699"/>
      <c r="V36" s="246"/>
      <c r="W36" s="246">
        <v>25</v>
      </c>
      <c r="X36" s="695"/>
      <c r="Y36" s="719"/>
      <c r="Z36" s="682"/>
      <c r="AA36" s="701" t="s">
        <v>152</v>
      </c>
      <c r="AB36" s="705"/>
      <c r="AC36" s="287"/>
      <c r="AD36" s="699"/>
      <c r="AE36" s="246"/>
      <c r="AF36" s="302"/>
      <c r="AG36" s="695"/>
      <c r="AH36" s="719"/>
      <c r="AI36" s="805"/>
      <c r="AJ36" s="793"/>
      <c r="AK36" s="705"/>
      <c r="AL36" s="255"/>
      <c r="AM36" s="699"/>
      <c r="AN36" s="246"/>
      <c r="AO36" s="246"/>
      <c r="AP36" s="246">
        <v>720</v>
      </c>
      <c r="AQ36" s="251"/>
      <c r="AR36" s="805"/>
      <c r="AS36" s="296"/>
      <c r="AT36" s="705" t="s">
        <v>1008</v>
      </c>
    </row>
    <row r="37" spans="1:46" ht="59.5" customHeight="1" x14ac:dyDescent="0.45">
      <c r="A37" s="1351">
        <v>45675</v>
      </c>
      <c r="B37" s="717">
        <v>1</v>
      </c>
      <c r="C37" s="302"/>
      <c r="D37" s="694"/>
      <c r="E37" s="302"/>
      <c r="F37" s="695"/>
      <c r="G37" s="707"/>
      <c r="H37" s="296"/>
      <c r="I37" s="697"/>
      <c r="J37" s="705"/>
      <c r="K37" s="287"/>
      <c r="L37" s="699"/>
      <c r="M37" s="246">
        <v>18</v>
      </c>
      <c r="N37" s="246"/>
      <c r="O37" s="695"/>
      <c r="P37" s="251"/>
      <c r="Q37" s="682" t="s">
        <v>1021</v>
      </c>
      <c r="R37" s="246"/>
      <c r="S37" s="705"/>
      <c r="T37" s="287"/>
      <c r="U37" s="699"/>
      <c r="V37" s="246"/>
      <c r="W37" s="246">
        <v>15</v>
      </c>
      <c r="X37" s="695"/>
      <c r="Y37" s="251"/>
      <c r="Z37" s="245"/>
      <c r="AA37" s="701" t="s">
        <v>152</v>
      </c>
      <c r="AB37" s="705"/>
      <c r="AC37" s="287"/>
      <c r="AD37" s="699"/>
      <c r="AE37" s="246"/>
      <c r="AF37" s="246"/>
      <c r="AG37" s="695"/>
      <c r="AH37" s="296"/>
      <c r="AI37" s="246"/>
      <c r="AJ37" s="701"/>
      <c r="AK37" s="705"/>
      <c r="AL37" s="255"/>
      <c r="AM37" s="699"/>
      <c r="AN37" s="246"/>
      <c r="AO37" s="246"/>
      <c r="AP37" s="246">
        <v>720</v>
      </c>
      <c r="AQ37" s="251"/>
      <c r="AR37" s="805"/>
      <c r="AS37" s="251"/>
      <c r="AT37" s="705" t="s">
        <v>1008</v>
      </c>
    </row>
    <row r="38" spans="1:46" ht="55.95" customHeight="1" x14ac:dyDescent="0.45">
      <c r="A38" s="1352"/>
      <c r="B38" s="692">
        <v>2</v>
      </c>
      <c r="C38" s="302"/>
      <c r="D38" s="694"/>
      <c r="E38" s="302"/>
      <c r="F38" s="695"/>
      <c r="G38" s="707"/>
      <c r="H38" s="296"/>
      <c r="I38" s="697"/>
      <c r="J38" s="705"/>
      <c r="K38" s="287"/>
      <c r="L38" s="699"/>
      <c r="M38" s="246">
        <v>72</v>
      </c>
      <c r="N38" s="246"/>
      <c r="O38" s="695"/>
      <c r="P38" s="296"/>
      <c r="Q38" s="296" t="s">
        <v>1027</v>
      </c>
      <c r="R38" s="246"/>
      <c r="S38" s="705"/>
      <c r="T38" s="287"/>
      <c r="U38" s="699"/>
      <c r="V38" s="246"/>
      <c r="W38" s="246">
        <v>15</v>
      </c>
      <c r="X38" s="695"/>
      <c r="Y38" s="296"/>
      <c r="Z38" s="245"/>
      <c r="AA38" s="701" t="s">
        <v>152</v>
      </c>
      <c r="AB38" s="705"/>
      <c r="AC38" s="287"/>
      <c r="AD38" s="699"/>
      <c r="AE38" s="246"/>
      <c r="AF38" s="246"/>
      <c r="AG38" s="695"/>
      <c r="AH38" s="296"/>
      <c r="AI38" s="246"/>
      <c r="AJ38" s="701"/>
      <c r="AK38" s="705"/>
      <c r="AL38" s="255"/>
      <c r="AM38" s="699"/>
      <c r="AN38" s="246"/>
      <c r="AO38" s="246"/>
      <c r="AP38" s="246">
        <v>720</v>
      </c>
      <c r="AQ38" s="251"/>
      <c r="AR38" s="805"/>
      <c r="AS38" s="296"/>
      <c r="AT38" s="705" t="s">
        <v>1008</v>
      </c>
    </row>
    <row r="39" spans="1:46" ht="70.95" customHeight="1" x14ac:dyDescent="0.45">
      <c r="A39" s="1351">
        <v>45676</v>
      </c>
      <c r="B39" s="692">
        <v>1</v>
      </c>
      <c r="C39" s="302"/>
      <c r="D39" s="694"/>
      <c r="E39" s="694"/>
      <c r="F39" s="695"/>
      <c r="G39" s="707"/>
      <c r="H39" s="296"/>
      <c r="I39" s="697"/>
      <c r="J39" s="705"/>
      <c r="K39" s="287"/>
      <c r="L39" s="699"/>
      <c r="M39" s="246">
        <v>26</v>
      </c>
      <c r="N39" s="246"/>
      <c r="O39" s="695"/>
      <c r="P39" s="707"/>
      <c r="Q39" s="682" t="s">
        <v>1021</v>
      </c>
      <c r="R39" s="246"/>
      <c r="S39" s="705"/>
      <c r="T39" s="287"/>
      <c r="U39" s="699"/>
      <c r="V39" s="246"/>
      <c r="W39" s="246"/>
      <c r="X39" s="695"/>
      <c r="Y39" s="251"/>
      <c r="Z39" s="682"/>
      <c r="AA39" s="701"/>
      <c r="AB39" s="705"/>
      <c r="AC39" s="287"/>
      <c r="AD39" s="699"/>
      <c r="AE39" s="246"/>
      <c r="AF39" s="246"/>
      <c r="AG39" s="695"/>
      <c r="AH39" s="707"/>
      <c r="AI39" s="681"/>
      <c r="AJ39" s="701"/>
      <c r="AK39" s="705"/>
      <c r="AL39" s="255"/>
      <c r="AM39" s="699"/>
      <c r="AN39" s="246"/>
      <c r="AO39" s="246"/>
      <c r="AP39" s="246">
        <v>720</v>
      </c>
      <c r="AQ39" s="251"/>
      <c r="AR39" s="805"/>
      <c r="AS39" s="793"/>
      <c r="AT39" s="705" t="s">
        <v>1008</v>
      </c>
    </row>
    <row r="40" spans="1:46" ht="72.650000000000006" customHeight="1" x14ac:dyDescent="0.45">
      <c r="A40" s="1352"/>
      <c r="B40" s="692">
        <v>2</v>
      </c>
      <c r="C40" s="694"/>
      <c r="D40" s="694"/>
      <c r="E40" s="694"/>
      <c r="F40" s="695"/>
      <c r="G40" s="707"/>
      <c r="H40" s="296"/>
      <c r="I40" s="697"/>
      <c r="J40" s="705"/>
      <c r="K40" s="287"/>
      <c r="L40" s="699"/>
      <c r="M40" s="246">
        <v>492</v>
      </c>
      <c r="N40" s="246"/>
      <c r="O40" s="695"/>
      <c r="P40" s="680"/>
      <c r="Q40" s="681" t="s">
        <v>1016</v>
      </c>
      <c r="R40" s="707"/>
      <c r="S40" s="705"/>
      <c r="T40" s="287"/>
      <c r="U40" s="699"/>
      <c r="V40" s="246"/>
      <c r="W40" s="246">
        <v>10</v>
      </c>
      <c r="X40" s="695"/>
      <c r="Y40" s="296"/>
      <c r="Z40" s="246"/>
      <c r="AA40" s="701" t="s">
        <v>152</v>
      </c>
      <c r="AB40" s="705"/>
      <c r="AC40" s="287"/>
      <c r="AD40" s="699"/>
      <c r="AE40" s="246"/>
      <c r="AF40" s="246"/>
      <c r="AG40" s="695"/>
      <c r="AH40" s="719"/>
      <c r="AI40" s="682"/>
      <c r="AJ40" s="701"/>
      <c r="AK40" s="705"/>
      <c r="AL40" s="255"/>
      <c r="AM40" s="719"/>
      <c r="AN40" s="246"/>
      <c r="AO40" s="246"/>
      <c r="AP40" s="246">
        <v>720</v>
      </c>
      <c r="AQ40" s="251"/>
      <c r="AR40" s="805"/>
      <c r="AS40" s="707"/>
      <c r="AT40" s="705" t="s">
        <v>1008</v>
      </c>
    </row>
    <row r="41" spans="1:46" ht="39.65" customHeight="1" x14ac:dyDescent="0.45">
      <c r="A41" s="1351">
        <v>45677</v>
      </c>
      <c r="B41" s="692">
        <v>1</v>
      </c>
      <c r="C41" s="693"/>
      <c r="D41" s="694"/>
      <c r="E41" s="694"/>
      <c r="F41" s="695"/>
      <c r="G41" s="680"/>
      <c r="H41" s="682"/>
      <c r="I41" s="697"/>
      <c r="J41" s="705"/>
      <c r="K41" s="287"/>
      <c r="L41" s="699"/>
      <c r="M41" s="246"/>
      <c r="N41" s="246"/>
      <c r="O41" s="695"/>
      <c r="P41" s="251"/>
      <c r="Q41" s="246"/>
      <c r="R41" s="707"/>
      <c r="S41" s="705"/>
      <c r="T41" s="287"/>
      <c r="U41" s="699"/>
      <c r="V41" s="246">
        <v>21</v>
      </c>
      <c r="W41" s="246"/>
      <c r="X41" s="695"/>
      <c r="Y41" s="251"/>
      <c r="Z41" s="245" t="s">
        <v>1026</v>
      </c>
      <c r="AA41" s="701"/>
      <c r="AB41" s="705"/>
      <c r="AC41" s="287"/>
      <c r="AD41" s="699"/>
      <c r="AE41" s="246"/>
      <c r="AF41" s="246"/>
      <c r="AG41" s="695"/>
      <c r="AH41" s="719"/>
      <c r="AI41" s="245"/>
      <c r="AJ41" s="246"/>
      <c r="AK41" s="705"/>
      <c r="AL41" s="255"/>
      <c r="AM41" s="699"/>
      <c r="AN41" s="246"/>
      <c r="AO41" s="246"/>
      <c r="AP41" s="246">
        <v>720</v>
      </c>
      <c r="AQ41" s="251"/>
      <c r="AR41" s="805"/>
      <c r="AS41" s="707"/>
      <c r="AT41" s="705" t="s">
        <v>1008</v>
      </c>
    </row>
    <row r="42" spans="1:46" ht="52.95" customHeight="1" x14ac:dyDescent="0.45">
      <c r="A42" s="1352"/>
      <c r="B42" s="692">
        <v>2</v>
      </c>
      <c r="C42" s="694"/>
      <c r="D42" s="694">
        <v>211</v>
      </c>
      <c r="E42" s="694"/>
      <c r="F42" s="695"/>
      <c r="G42" s="680"/>
      <c r="H42" s="682" t="s">
        <v>1028</v>
      </c>
      <c r="I42" s="707"/>
      <c r="J42" s="705"/>
      <c r="K42" s="287"/>
      <c r="L42" s="699"/>
      <c r="M42" s="246"/>
      <c r="N42" s="246"/>
      <c r="O42" s="695"/>
      <c r="P42" s="251"/>
      <c r="Q42" s="245"/>
      <c r="R42" s="246"/>
      <c r="S42" s="705"/>
      <c r="T42" s="287"/>
      <c r="U42" s="699"/>
      <c r="V42" s="246"/>
      <c r="W42" s="246">
        <v>27</v>
      </c>
      <c r="X42" s="695"/>
      <c r="Y42" s="296"/>
      <c r="Z42" s="246"/>
      <c r="AA42" s="701" t="s">
        <v>152</v>
      </c>
      <c r="AB42" s="705"/>
      <c r="AC42" s="287"/>
      <c r="AD42" s="699"/>
      <c r="AE42" s="246"/>
      <c r="AF42" s="246"/>
      <c r="AG42" s="695"/>
      <c r="AH42" s="251"/>
      <c r="AI42" s="245"/>
      <c r="AJ42" s="246"/>
      <c r="AK42" s="705"/>
      <c r="AL42" s="255"/>
      <c r="AM42" s="699"/>
      <c r="AN42" s="246"/>
      <c r="AO42" s="246"/>
      <c r="AP42" s="246">
        <v>669</v>
      </c>
      <c r="AQ42" s="251"/>
      <c r="AR42" s="805"/>
      <c r="AS42" s="246"/>
      <c r="AT42" s="705" t="s">
        <v>1008</v>
      </c>
    </row>
    <row r="43" spans="1:46" ht="65.5" customHeight="1" x14ac:dyDescent="0.45">
      <c r="A43" s="1351">
        <v>45678</v>
      </c>
      <c r="B43" s="692">
        <v>1</v>
      </c>
      <c r="C43" s="694"/>
      <c r="D43" s="694"/>
      <c r="E43" s="694"/>
      <c r="F43" s="695"/>
      <c r="G43" s="681"/>
      <c r="H43" s="681"/>
      <c r="I43" s="707"/>
      <c r="J43" s="705"/>
      <c r="K43" s="287"/>
      <c r="L43" s="699"/>
      <c r="M43" s="246"/>
      <c r="N43" s="246"/>
      <c r="O43" s="695"/>
      <c r="P43" s="251"/>
      <c r="Q43" s="246"/>
      <c r="R43" s="246"/>
      <c r="S43" s="705"/>
      <c r="T43" s="287"/>
      <c r="U43" s="699"/>
      <c r="V43" s="246"/>
      <c r="W43" s="246">
        <v>10</v>
      </c>
      <c r="X43" s="695"/>
      <c r="Y43" s="251"/>
      <c r="Z43" s="246"/>
      <c r="AA43" s="701" t="s">
        <v>152</v>
      </c>
      <c r="AB43" s="705"/>
      <c r="AC43" s="287"/>
      <c r="AD43" s="699"/>
      <c r="AE43" s="246"/>
      <c r="AF43" s="246"/>
      <c r="AG43" s="695"/>
      <c r="AH43" s="245"/>
      <c r="AI43" s="682"/>
      <c r="AJ43" s="246"/>
      <c r="AK43" s="705"/>
      <c r="AL43" s="255"/>
      <c r="AM43" s="699"/>
      <c r="AN43" s="246"/>
      <c r="AO43" s="246"/>
      <c r="AP43" s="246">
        <v>65</v>
      </c>
      <c r="AQ43" s="245"/>
      <c r="AR43" s="805"/>
      <c r="AS43" s="246"/>
      <c r="AT43" s="705" t="s">
        <v>1008</v>
      </c>
    </row>
    <row r="44" spans="1:46" ht="69" customHeight="1" x14ac:dyDescent="0.45">
      <c r="A44" s="1352"/>
      <c r="B44" s="692">
        <v>2</v>
      </c>
      <c r="C44" s="694"/>
      <c r="D44" s="694"/>
      <c r="E44" s="694"/>
      <c r="F44" s="695"/>
      <c r="G44" s="681"/>
      <c r="H44" s="296"/>
      <c r="I44" s="707"/>
      <c r="J44" s="705"/>
      <c r="K44" s="287"/>
      <c r="L44" s="699">
        <v>139</v>
      </c>
      <c r="M44" s="246"/>
      <c r="N44" s="246"/>
      <c r="O44" s="689"/>
      <c r="P44" s="296" t="s">
        <v>1029</v>
      </c>
      <c r="Q44" s="246"/>
      <c r="R44" s="245"/>
      <c r="S44" s="705"/>
      <c r="T44" s="287"/>
      <c r="U44" s="699"/>
      <c r="V44" s="246"/>
      <c r="W44" s="694">
        <v>23</v>
      </c>
      <c r="X44" s="695"/>
      <c r="Y44" s="681"/>
      <c r="Z44" s="682"/>
      <c r="AA44" s="701" t="s">
        <v>152</v>
      </c>
      <c r="AB44" s="705"/>
      <c r="AC44" s="287"/>
      <c r="AD44" s="699"/>
      <c r="AE44" s="246"/>
      <c r="AF44" s="246"/>
      <c r="AG44" s="689"/>
      <c r="AH44" s="251"/>
      <c r="AI44" s="245"/>
      <c r="AJ44" s="701"/>
      <c r="AK44" s="705"/>
      <c r="AL44" s="255"/>
      <c r="AM44" s="699"/>
      <c r="AN44" s="246"/>
      <c r="AO44" s="246"/>
      <c r="AP44" s="246"/>
      <c r="AQ44" s="251"/>
      <c r="AR44" s="245"/>
      <c r="AS44" s="245"/>
      <c r="AT44" s="705"/>
    </row>
    <row r="45" spans="1:46" ht="69" customHeight="1" x14ac:dyDescent="0.45">
      <c r="A45" s="1351">
        <v>45679</v>
      </c>
      <c r="B45" s="692">
        <v>1</v>
      </c>
      <c r="C45" s="694"/>
      <c r="D45" s="694"/>
      <c r="E45" s="694"/>
      <c r="F45" s="695">
        <v>189</v>
      </c>
      <c r="G45" s="681"/>
      <c r="H45" s="681"/>
      <c r="I45" s="707"/>
      <c r="J45" s="705" t="s">
        <v>975</v>
      </c>
      <c r="K45" s="287"/>
      <c r="L45" s="699"/>
      <c r="M45" s="246"/>
      <c r="N45" s="246"/>
      <c r="O45" s="689">
        <v>189</v>
      </c>
      <c r="P45" s="251"/>
      <c r="Q45" s="245"/>
      <c r="R45" s="246"/>
      <c r="S45" s="705" t="s">
        <v>975</v>
      </c>
      <c r="T45" s="287"/>
      <c r="U45" s="699"/>
      <c r="V45" s="245"/>
      <c r="W45" s="246">
        <v>17</v>
      </c>
      <c r="X45" s="695">
        <v>189</v>
      </c>
      <c r="Y45" s="251"/>
      <c r="Z45" s="245"/>
      <c r="AA45" s="701" t="s">
        <v>328</v>
      </c>
      <c r="AB45" s="705" t="s">
        <v>975</v>
      </c>
      <c r="AC45" s="287"/>
      <c r="AD45" s="699"/>
      <c r="AE45" s="246"/>
      <c r="AF45" s="246"/>
      <c r="AG45" s="689">
        <v>189</v>
      </c>
      <c r="AH45" s="251"/>
      <c r="AI45" s="245"/>
      <c r="AJ45" s="245"/>
      <c r="AK45" s="705" t="s">
        <v>975</v>
      </c>
      <c r="AL45" s="255"/>
      <c r="AM45" s="699"/>
      <c r="AN45" s="246"/>
      <c r="AO45" s="246"/>
      <c r="AP45" s="246"/>
      <c r="AQ45" s="251"/>
      <c r="AR45" s="245"/>
      <c r="AS45" s="246"/>
      <c r="AT45" s="705"/>
    </row>
    <row r="46" spans="1:46" ht="48.65" customHeight="1" x14ac:dyDescent="0.45">
      <c r="A46" s="1352"/>
      <c r="B46" s="692">
        <v>2</v>
      </c>
      <c r="C46" s="694"/>
      <c r="D46" s="694"/>
      <c r="E46" s="694"/>
      <c r="F46" s="695">
        <v>247</v>
      </c>
      <c r="G46" s="681"/>
      <c r="H46" s="681"/>
      <c r="I46" s="707"/>
      <c r="J46" s="705" t="s">
        <v>975</v>
      </c>
      <c r="K46" s="287"/>
      <c r="L46" s="699"/>
      <c r="M46" s="246"/>
      <c r="N46" s="246"/>
      <c r="O46" s="724">
        <v>253</v>
      </c>
      <c r="P46" s="251"/>
      <c r="Q46" s="682"/>
      <c r="R46" s="245"/>
      <c r="S46" s="705" t="s">
        <v>975</v>
      </c>
      <c r="T46" s="287"/>
      <c r="U46" s="699"/>
      <c r="V46" s="246"/>
      <c r="W46" s="246"/>
      <c r="X46" s="689">
        <v>299</v>
      </c>
      <c r="Y46" s="246"/>
      <c r="Z46" s="246"/>
      <c r="AA46" s="245"/>
      <c r="AB46" s="705" t="s">
        <v>975</v>
      </c>
      <c r="AC46" s="287"/>
      <c r="AD46" s="699"/>
      <c r="AE46" s="246"/>
      <c r="AF46" s="246"/>
      <c r="AG46" s="689">
        <v>271</v>
      </c>
      <c r="AH46" s="296"/>
      <c r="AI46" s="245"/>
      <c r="AJ46" s="701"/>
      <c r="AK46" s="705" t="s">
        <v>975</v>
      </c>
      <c r="AL46" s="255"/>
      <c r="AM46" s="699"/>
      <c r="AN46" s="246"/>
      <c r="AO46" s="246">
        <v>15</v>
      </c>
      <c r="AP46" s="246"/>
      <c r="AQ46" s="251"/>
      <c r="AR46" s="682"/>
      <c r="AS46" s="245" t="s">
        <v>152</v>
      </c>
      <c r="AT46" s="705"/>
    </row>
    <row r="47" spans="1:46" ht="58.95" customHeight="1" x14ac:dyDescent="0.45">
      <c r="A47" s="1351">
        <v>45680</v>
      </c>
      <c r="B47" s="692">
        <v>1</v>
      </c>
      <c r="C47" s="694"/>
      <c r="D47" s="694"/>
      <c r="E47" s="694"/>
      <c r="F47" s="695"/>
      <c r="G47" s="681"/>
      <c r="H47" s="682"/>
      <c r="I47" s="707"/>
      <c r="J47" s="698"/>
      <c r="K47" s="287"/>
      <c r="L47" s="699"/>
      <c r="M47" s="246"/>
      <c r="N47" s="246"/>
      <c r="O47" s="689"/>
      <c r="P47" s="251"/>
      <c r="Q47" s="246"/>
      <c r="R47" s="246"/>
      <c r="S47" s="705"/>
      <c r="T47" s="287"/>
      <c r="U47" s="699"/>
      <c r="V47" s="246"/>
      <c r="W47" s="246"/>
      <c r="X47" s="689"/>
      <c r="Y47" s="681"/>
      <c r="Z47" s="245"/>
      <c r="AA47" s="245"/>
      <c r="AB47" s="705"/>
      <c r="AC47" s="287"/>
      <c r="AD47" s="699"/>
      <c r="AE47" s="246"/>
      <c r="AF47" s="246"/>
      <c r="AG47" s="246">
        <v>720</v>
      </c>
      <c r="AH47" s="296"/>
      <c r="AI47" s="682"/>
      <c r="AJ47" s="701"/>
      <c r="AK47" s="730" t="s">
        <v>1008</v>
      </c>
      <c r="AL47" s="255"/>
      <c r="AM47" s="699"/>
      <c r="AN47" s="246"/>
      <c r="AO47" s="246"/>
      <c r="AP47" s="246">
        <v>581</v>
      </c>
      <c r="AQ47" s="251"/>
      <c r="AR47" s="682"/>
      <c r="AS47" s="245" t="s">
        <v>1030</v>
      </c>
      <c r="AT47" s="730" t="s">
        <v>1008</v>
      </c>
    </row>
    <row r="48" spans="1:46" ht="34.950000000000003" customHeight="1" x14ac:dyDescent="0.45">
      <c r="A48" s="1352"/>
      <c r="B48" s="692">
        <v>2</v>
      </c>
      <c r="C48" s="694"/>
      <c r="D48" s="694"/>
      <c r="E48" s="694"/>
      <c r="F48" s="695"/>
      <c r="G48" s="682"/>
      <c r="H48" s="682"/>
      <c r="I48" s="707"/>
      <c r="J48" s="705"/>
      <c r="K48" s="287"/>
      <c r="L48" s="699"/>
      <c r="M48" s="246"/>
      <c r="N48" s="246"/>
      <c r="O48" s="695"/>
      <c r="P48" s="682"/>
      <c r="Q48" s="682"/>
      <c r="R48" s="707"/>
      <c r="S48" s="705"/>
      <c r="T48" s="287"/>
      <c r="U48" s="699"/>
      <c r="V48" s="246"/>
      <c r="W48" s="246"/>
      <c r="X48" s="695"/>
      <c r="Y48" s="682"/>
      <c r="Z48" s="682"/>
      <c r="AA48" s="707"/>
      <c r="AB48" s="705"/>
      <c r="AC48" s="287"/>
      <c r="AD48" s="699"/>
      <c r="AE48" s="246"/>
      <c r="AF48" s="246"/>
      <c r="AG48" s="246">
        <v>720</v>
      </c>
      <c r="AH48" s="296"/>
      <c r="AI48" s="682"/>
      <c r="AJ48" s="701"/>
      <c r="AK48" s="730" t="s">
        <v>1008</v>
      </c>
      <c r="AL48" s="255"/>
      <c r="AM48" s="699"/>
      <c r="AN48" s="806"/>
      <c r="AO48" s="251"/>
      <c r="AP48" s="806">
        <v>720</v>
      </c>
      <c r="AQ48" s="813"/>
      <c r="AR48" s="682"/>
      <c r="AS48" s="245"/>
      <c r="AT48" s="730" t="s">
        <v>1008</v>
      </c>
    </row>
    <row r="49" spans="1:46" ht="43.2" customHeight="1" x14ac:dyDescent="0.45">
      <c r="A49" s="1351">
        <v>45681</v>
      </c>
      <c r="B49" s="692">
        <v>1</v>
      </c>
      <c r="C49" s="694"/>
      <c r="D49" s="694"/>
      <c r="E49" s="694"/>
      <c r="F49" s="695"/>
      <c r="G49" s="682"/>
      <c r="H49" s="681"/>
      <c r="I49" s="707"/>
      <c r="J49" s="705"/>
      <c r="K49" s="287"/>
      <c r="L49" s="699"/>
      <c r="M49" s="246"/>
      <c r="N49" s="246"/>
      <c r="O49" s="695"/>
      <c r="P49" s="682"/>
      <c r="Q49" s="681"/>
      <c r="R49" s="707"/>
      <c r="S49" s="705"/>
      <c r="T49" s="287"/>
      <c r="U49" s="699"/>
      <c r="V49" s="246"/>
      <c r="W49" s="246"/>
      <c r="X49" s="695"/>
      <c r="Y49" s="682"/>
      <c r="Z49" s="245"/>
      <c r="AA49" s="245"/>
      <c r="AB49" s="705"/>
      <c r="AC49" s="287"/>
      <c r="AD49" s="699"/>
      <c r="AE49" s="246"/>
      <c r="AF49" s="246"/>
      <c r="AG49" s="246">
        <v>720</v>
      </c>
      <c r="AH49" s="296"/>
      <c r="AI49" s="681"/>
      <c r="AJ49" s="701"/>
      <c r="AK49" s="730" t="s">
        <v>1008</v>
      </c>
      <c r="AL49" s="255"/>
      <c r="AM49" s="699"/>
      <c r="AN49" s="806"/>
      <c r="AO49" s="251"/>
      <c r="AP49" s="806">
        <v>720</v>
      </c>
      <c r="AQ49" s="715"/>
      <c r="AR49" s="682"/>
      <c r="AS49" s="707"/>
      <c r="AT49" s="815" t="s">
        <v>1008</v>
      </c>
    </row>
    <row r="50" spans="1:46" ht="51.65" customHeight="1" x14ac:dyDescent="0.45">
      <c r="A50" s="1352"/>
      <c r="B50" s="692">
        <v>2</v>
      </c>
      <c r="C50" s="694"/>
      <c r="D50" s="694"/>
      <c r="E50" s="694"/>
      <c r="F50" s="695"/>
      <c r="G50" s="681"/>
      <c r="H50" s="681"/>
      <c r="I50" s="707"/>
      <c r="J50" s="705"/>
      <c r="K50" s="287"/>
      <c r="L50" s="699"/>
      <c r="M50" s="246"/>
      <c r="N50" s="246"/>
      <c r="O50" s="695"/>
      <c r="P50" s="681"/>
      <c r="Q50" s="681"/>
      <c r="R50" s="707"/>
      <c r="S50" s="705"/>
      <c r="T50" s="287"/>
      <c r="U50" s="699"/>
      <c r="V50" s="246"/>
      <c r="W50" s="246"/>
      <c r="X50" s="695"/>
      <c r="Y50" s="681"/>
      <c r="Z50" s="681"/>
      <c r="AA50" s="707"/>
      <c r="AB50" s="705"/>
      <c r="AC50" s="287"/>
      <c r="AD50" s="699"/>
      <c r="AE50" s="246"/>
      <c r="AF50" s="246"/>
      <c r="AG50" s="246">
        <v>581</v>
      </c>
      <c r="AH50" s="296"/>
      <c r="AI50" s="681"/>
      <c r="AJ50" s="701"/>
      <c r="AK50" s="730" t="s">
        <v>1008</v>
      </c>
      <c r="AL50" s="255"/>
      <c r="AM50" s="699"/>
      <c r="AN50" s="806"/>
      <c r="AO50" s="246"/>
      <c r="AP50" s="806">
        <v>720</v>
      </c>
      <c r="AQ50" s="715"/>
      <c r="AR50" s="682"/>
      <c r="AS50" s="707"/>
      <c r="AT50" s="816" t="s">
        <v>1008</v>
      </c>
    </row>
    <row r="51" spans="1:46" ht="34.950000000000003" customHeight="1" x14ac:dyDescent="0.45">
      <c r="A51" s="1351">
        <v>45682</v>
      </c>
      <c r="B51" s="692">
        <v>1</v>
      </c>
      <c r="C51" s="694"/>
      <c r="D51" s="694"/>
      <c r="E51" s="694"/>
      <c r="F51" s="695">
        <v>22</v>
      </c>
      <c r="G51" s="681"/>
      <c r="H51" s="681"/>
      <c r="I51" s="707" t="s">
        <v>152</v>
      </c>
      <c r="J51" s="705"/>
      <c r="K51" s="287"/>
      <c r="L51" s="699"/>
      <c r="M51" s="246"/>
      <c r="N51" s="246"/>
      <c r="O51" s="695"/>
      <c r="P51" s="681"/>
      <c r="Q51" s="681"/>
      <c r="R51" s="707"/>
      <c r="S51" s="705"/>
      <c r="T51" s="287"/>
      <c r="U51" s="699"/>
      <c r="V51" s="246"/>
      <c r="W51" s="246">
        <v>68</v>
      </c>
      <c r="X51" s="695"/>
      <c r="Y51" s="681"/>
      <c r="Z51" s="681"/>
      <c r="AA51" s="707" t="s">
        <v>152</v>
      </c>
      <c r="AB51" s="705"/>
      <c r="AC51" s="287"/>
      <c r="AD51" s="699"/>
      <c r="AE51" s="246"/>
      <c r="AF51" s="246">
        <v>45</v>
      </c>
      <c r="AG51" s="695"/>
      <c r="AH51" s="681"/>
      <c r="AI51" s="681"/>
      <c r="AJ51" s="707" t="s">
        <v>328</v>
      </c>
      <c r="AK51" s="705"/>
      <c r="AL51" s="255"/>
      <c r="AM51" s="699"/>
      <c r="AN51" s="806"/>
      <c r="AO51" s="306"/>
      <c r="AP51" s="806">
        <v>720</v>
      </c>
      <c r="AQ51" s="715"/>
      <c r="AR51" s="682"/>
      <c r="AS51" s="707"/>
      <c r="AT51" s="816" t="s">
        <v>1008</v>
      </c>
    </row>
    <row r="52" spans="1:46" ht="49.2" customHeight="1" x14ac:dyDescent="0.45">
      <c r="A52" s="1352"/>
      <c r="B52" s="692">
        <v>2</v>
      </c>
      <c r="C52" s="694"/>
      <c r="D52" s="694"/>
      <c r="E52" s="694"/>
      <c r="F52" s="695"/>
      <c r="G52" s="682"/>
      <c r="H52" s="682"/>
      <c r="I52" s="707"/>
      <c r="J52" s="705"/>
      <c r="K52" s="287"/>
      <c r="L52" s="699"/>
      <c r="M52" s="246"/>
      <c r="N52" s="246"/>
      <c r="O52" s="695"/>
      <c r="P52" s="682"/>
      <c r="Q52" s="682"/>
      <c r="R52" s="707"/>
      <c r="S52" s="705"/>
      <c r="T52" s="287"/>
      <c r="U52" s="699"/>
      <c r="V52" s="246"/>
      <c r="W52" s="246">
        <v>45</v>
      </c>
      <c r="X52" s="695"/>
      <c r="Y52" s="682"/>
      <c r="Z52" s="682"/>
      <c r="AA52" s="707" t="s">
        <v>328</v>
      </c>
      <c r="AB52" s="705"/>
      <c r="AC52" s="287"/>
      <c r="AD52" s="699"/>
      <c r="AE52" s="246"/>
      <c r="AF52" s="246"/>
      <c r="AG52" s="695"/>
      <c r="AH52" s="682" t="s">
        <v>269</v>
      </c>
      <c r="AI52" s="682"/>
      <c r="AJ52" s="707"/>
      <c r="AK52" s="705"/>
      <c r="AL52" s="255"/>
      <c r="AM52" s="699"/>
      <c r="AN52" s="302"/>
      <c r="AO52" s="810"/>
      <c r="AP52" s="302">
        <v>636</v>
      </c>
      <c r="AQ52" s="251"/>
      <c r="AR52" s="682"/>
      <c r="AS52" s="707"/>
      <c r="AT52" s="802" t="s">
        <v>1008</v>
      </c>
    </row>
    <row r="53" spans="1:46" ht="48" customHeight="1" x14ac:dyDescent="0.45">
      <c r="A53" s="1351">
        <v>45683</v>
      </c>
      <c r="B53" s="692">
        <v>1</v>
      </c>
      <c r="C53" s="694"/>
      <c r="D53" s="694"/>
      <c r="E53" s="694">
        <v>60</v>
      </c>
      <c r="F53" s="695"/>
      <c r="G53" s="681"/>
      <c r="H53" s="681"/>
      <c r="I53" s="697" t="s">
        <v>152</v>
      </c>
      <c r="J53" s="705"/>
      <c r="K53" s="287"/>
      <c r="L53" s="699"/>
      <c r="M53" s="246"/>
      <c r="N53" s="246"/>
      <c r="O53" s="689"/>
      <c r="P53" s="296"/>
      <c r="Q53" s="682"/>
      <c r="R53" s="246"/>
      <c r="S53" s="705"/>
      <c r="T53" s="287"/>
      <c r="U53" s="699"/>
      <c r="V53" s="246"/>
      <c r="W53" s="246">
        <v>28</v>
      </c>
      <c r="X53" s="689"/>
      <c r="Y53" s="296"/>
      <c r="Z53" s="246"/>
      <c r="AA53" s="701" t="s">
        <v>152</v>
      </c>
      <c r="AB53" s="689"/>
      <c r="AC53" s="287"/>
      <c r="AD53" s="699"/>
      <c r="AE53" s="245"/>
      <c r="AF53" s="246"/>
      <c r="AG53" s="689"/>
      <c r="AH53" s="251"/>
      <c r="AI53" s="246"/>
      <c r="AJ53" s="245"/>
      <c r="AK53" s="689"/>
      <c r="AL53" s="255"/>
      <c r="AM53" s="699"/>
      <c r="AN53" s="708"/>
      <c r="AO53" s="812"/>
      <c r="AP53" s="708">
        <v>720</v>
      </c>
      <c r="AQ53" s="296"/>
      <c r="AR53" s="682"/>
      <c r="AS53" s="302"/>
      <c r="AT53" s="817" t="s">
        <v>1008</v>
      </c>
    </row>
    <row r="54" spans="1:46" ht="45.65" customHeight="1" x14ac:dyDescent="0.45">
      <c r="A54" s="1352"/>
      <c r="B54" s="725">
        <v>2</v>
      </c>
      <c r="C54" s="694">
        <v>20</v>
      </c>
      <c r="D54" s="694"/>
      <c r="E54" s="694">
        <v>70</v>
      </c>
      <c r="F54" s="695"/>
      <c r="G54" s="681" t="s">
        <v>1031</v>
      </c>
      <c r="H54" s="682"/>
      <c r="I54" s="697" t="s">
        <v>152</v>
      </c>
      <c r="J54" s="705"/>
      <c r="K54" s="287"/>
      <c r="L54" s="699"/>
      <c r="M54" s="246"/>
      <c r="N54" s="246"/>
      <c r="O54" s="695"/>
      <c r="P54" s="681"/>
      <c r="Q54" s="682"/>
      <c r="R54" s="681"/>
      <c r="S54" s="705"/>
      <c r="T54" s="287"/>
      <c r="U54" s="699"/>
      <c r="V54" s="246"/>
      <c r="W54" s="246">
        <v>30</v>
      </c>
      <c r="X54" s="695"/>
      <c r="Y54" s="682"/>
      <c r="Z54" s="682"/>
      <c r="AA54" s="701" t="s">
        <v>152</v>
      </c>
      <c r="AB54" s="705"/>
      <c r="AC54" s="287"/>
      <c r="AD54" s="699"/>
      <c r="AE54" s="246"/>
      <c r="AF54" s="246"/>
      <c r="AG54" s="689"/>
      <c r="AH54" s="251"/>
      <c r="AI54" s="682"/>
      <c r="AJ54" s="246"/>
      <c r="AK54" s="705"/>
      <c r="AL54" s="255"/>
      <c r="AM54" s="699"/>
      <c r="AN54" s="708"/>
      <c r="AO54" s="226"/>
      <c r="AP54" s="708">
        <v>720</v>
      </c>
      <c r="AQ54" s="296"/>
      <c r="AR54" s="682"/>
      <c r="AS54" s="707"/>
      <c r="AT54" s="816" t="s">
        <v>1008</v>
      </c>
    </row>
    <row r="55" spans="1:46" ht="39.65" customHeight="1" x14ac:dyDescent="0.45">
      <c r="A55" s="1351">
        <v>45684</v>
      </c>
      <c r="B55" s="692">
        <v>1</v>
      </c>
      <c r="C55" s="693"/>
      <c r="D55" s="694"/>
      <c r="E55" s="694">
        <v>45</v>
      </c>
      <c r="F55" s="695"/>
      <c r="G55" s="681"/>
      <c r="H55" s="681"/>
      <c r="I55" s="697" t="s">
        <v>152</v>
      </c>
      <c r="J55" s="689"/>
      <c r="K55" s="287"/>
      <c r="L55" s="699"/>
      <c r="M55" s="246"/>
      <c r="N55" s="246"/>
      <c r="O55" s="689"/>
      <c r="P55" s="251"/>
      <c r="Q55" s="682"/>
      <c r="R55" s="246"/>
      <c r="S55" s="689"/>
      <c r="T55" s="287"/>
      <c r="U55" s="699"/>
      <c r="V55" s="246"/>
      <c r="W55" s="246">
        <v>68</v>
      </c>
      <c r="X55" s="689"/>
      <c r="Y55" s="251"/>
      <c r="Z55" s="681"/>
      <c r="AA55" s="701" t="s">
        <v>152</v>
      </c>
      <c r="AB55" s="689"/>
      <c r="AC55" s="287"/>
      <c r="AD55" s="699"/>
      <c r="AE55" s="246"/>
      <c r="AF55" s="246"/>
      <c r="AG55" s="689"/>
      <c r="AH55" s="251"/>
      <c r="AI55" s="682"/>
      <c r="AJ55" s="245"/>
      <c r="AK55" s="689"/>
      <c r="AL55" s="255"/>
      <c r="AM55" s="699"/>
      <c r="AN55" s="708"/>
      <c r="AO55" s="246"/>
      <c r="AP55" s="708">
        <v>720</v>
      </c>
      <c r="AQ55" s="251"/>
      <c r="AR55" s="682"/>
      <c r="AS55" s="707"/>
      <c r="AT55" s="818" t="s">
        <v>1008</v>
      </c>
    </row>
    <row r="56" spans="1:46" ht="52.5" customHeight="1" x14ac:dyDescent="0.45">
      <c r="A56" s="1352"/>
      <c r="B56" s="725">
        <v>2</v>
      </c>
      <c r="C56" s="693"/>
      <c r="D56" s="694"/>
      <c r="E56" s="694">
        <v>92</v>
      </c>
      <c r="F56" s="695"/>
      <c r="G56" s="682"/>
      <c r="H56" s="682"/>
      <c r="I56" s="697" t="s">
        <v>152</v>
      </c>
      <c r="J56" s="705"/>
      <c r="K56" s="287"/>
      <c r="L56" s="699"/>
      <c r="M56" s="246"/>
      <c r="N56" s="246"/>
      <c r="O56" s="695"/>
      <c r="P56" s="682"/>
      <c r="Q56" s="681"/>
      <c r="R56" s="682"/>
      <c r="S56" s="705"/>
      <c r="T56" s="287"/>
      <c r="U56" s="699">
        <v>43</v>
      </c>
      <c r="V56" s="246"/>
      <c r="W56" s="246">
        <v>13</v>
      </c>
      <c r="X56" s="695"/>
      <c r="Y56" s="296" t="s">
        <v>1032</v>
      </c>
      <c r="Z56" s="681"/>
      <c r="AA56" s="701" t="s">
        <v>152</v>
      </c>
      <c r="AB56" s="705"/>
      <c r="AC56" s="287"/>
      <c r="AD56" s="699"/>
      <c r="AE56" s="246"/>
      <c r="AF56" s="246"/>
      <c r="AG56" s="695"/>
      <c r="AH56" s="682"/>
      <c r="AI56" s="681"/>
      <c r="AJ56" s="682"/>
      <c r="AK56" s="705"/>
      <c r="AL56" s="255"/>
      <c r="AM56" s="699"/>
      <c r="AN56" s="708"/>
      <c r="AO56" s="246"/>
      <c r="AP56" s="708">
        <v>720</v>
      </c>
      <c r="AQ56" s="682"/>
      <c r="AR56" s="682"/>
      <c r="AS56" s="246"/>
      <c r="AT56" s="772" t="s">
        <v>1008</v>
      </c>
    </row>
    <row r="57" spans="1:46" ht="52.2" customHeight="1" x14ac:dyDescent="0.45">
      <c r="A57" s="1351">
        <v>45685</v>
      </c>
      <c r="B57" s="692">
        <v>1</v>
      </c>
      <c r="C57" s="693"/>
      <c r="D57" s="694"/>
      <c r="E57" s="694">
        <v>48</v>
      </c>
      <c r="F57" s="695"/>
      <c r="G57" s="682"/>
      <c r="H57" s="682"/>
      <c r="I57" s="707" t="s">
        <v>152</v>
      </c>
      <c r="J57" s="705"/>
      <c r="K57" s="287"/>
      <c r="L57" s="699"/>
      <c r="M57" s="246"/>
      <c r="N57" s="246"/>
      <c r="O57" s="695"/>
      <c r="P57" s="682"/>
      <c r="Q57" s="681"/>
      <c r="R57" s="682"/>
      <c r="S57" s="705"/>
      <c r="T57" s="287"/>
      <c r="U57" s="699"/>
      <c r="V57" s="246"/>
      <c r="W57" s="246">
        <v>65</v>
      </c>
      <c r="X57" s="695"/>
      <c r="Y57" s="682"/>
      <c r="Z57" s="681"/>
      <c r="AA57" s="245" t="s">
        <v>152</v>
      </c>
      <c r="AB57" s="705"/>
      <c r="AC57" s="287"/>
      <c r="AD57" s="699"/>
      <c r="AE57" s="246"/>
      <c r="AF57" s="246"/>
      <c r="AG57" s="695"/>
      <c r="AH57" s="682"/>
      <c r="AI57" s="681"/>
      <c r="AJ57" s="682"/>
      <c r="AK57" s="705"/>
      <c r="AL57" s="255"/>
      <c r="AM57" s="699"/>
      <c r="AN57" s="708"/>
      <c r="AO57" s="246"/>
      <c r="AP57" s="708">
        <v>720</v>
      </c>
      <c r="AQ57" s="682"/>
      <c r="AR57" s="682"/>
      <c r="AS57" s="246"/>
      <c r="AT57" s="705" t="s">
        <v>1008</v>
      </c>
    </row>
    <row r="58" spans="1:46" ht="45" customHeight="1" x14ac:dyDescent="0.45">
      <c r="A58" s="1352"/>
      <c r="B58" s="725">
        <v>2</v>
      </c>
      <c r="C58" s="693"/>
      <c r="D58" s="694"/>
      <c r="E58" s="694"/>
      <c r="F58" s="695"/>
      <c r="G58" s="682"/>
      <c r="H58" s="682"/>
      <c r="I58" s="697"/>
      <c r="J58" s="705"/>
      <c r="K58" s="287"/>
      <c r="L58" s="699"/>
      <c r="M58" s="246"/>
      <c r="N58" s="246"/>
      <c r="O58" s="695"/>
      <c r="P58" s="682"/>
      <c r="Q58" s="681"/>
      <c r="R58" s="682"/>
      <c r="S58" s="705"/>
      <c r="T58" s="287"/>
      <c r="U58" s="699"/>
      <c r="V58" s="246"/>
      <c r="W58" s="246">
        <v>51</v>
      </c>
      <c r="X58" s="695"/>
      <c r="Y58" s="682"/>
      <c r="Z58" s="681"/>
      <c r="AA58" s="245" t="s">
        <v>152</v>
      </c>
      <c r="AB58" s="705"/>
      <c r="AC58" s="287"/>
      <c r="AD58" s="699"/>
      <c r="AE58" s="246"/>
      <c r="AF58" s="246"/>
      <c r="AG58" s="246">
        <v>577</v>
      </c>
      <c r="AH58" s="682"/>
      <c r="AI58" s="681" t="s">
        <v>1008</v>
      </c>
      <c r="AJ58" s="246"/>
      <c r="AK58" s="705" t="s">
        <v>1008</v>
      </c>
      <c r="AL58" s="255"/>
      <c r="AM58" s="699">
        <v>180</v>
      </c>
      <c r="AN58" s="246"/>
      <c r="AO58" s="246"/>
      <c r="AP58" s="699">
        <v>180</v>
      </c>
      <c r="AQ58" s="682"/>
      <c r="AR58" s="681"/>
      <c r="AS58" s="246"/>
      <c r="AT58" s="705" t="s">
        <v>1008</v>
      </c>
    </row>
    <row r="59" spans="1:46" ht="48" customHeight="1" x14ac:dyDescent="0.45">
      <c r="A59" s="1351">
        <v>45686</v>
      </c>
      <c r="B59" s="692">
        <v>1</v>
      </c>
      <c r="C59" s="693"/>
      <c r="D59" s="694"/>
      <c r="E59" s="694"/>
      <c r="F59" s="695"/>
      <c r="G59" s="682"/>
      <c r="H59" s="681"/>
      <c r="I59" s="697"/>
      <c r="J59" s="705"/>
      <c r="K59" s="287"/>
      <c r="L59" s="699"/>
      <c r="M59" s="246"/>
      <c r="N59" s="246"/>
      <c r="O59" s="689"/>
      <c r="P59" s="251"/>
      <c r="Q59" s="245"/>
      <c r="R59" s="246"/>
      <c r="S59" s="705"/>
      <c r="T59" s="287"/>
      <c r="U59" s="699"/>
      <c r="V59" s="246"/>
      <c r="W59" s="246">
        <v>37</v>
      </c>
      <c r="X59" s="689"/>
      <c r="Y59" s="682"/>
      <c r="Z59" s="681"/>
      <c r="AA59" s="697" t="s">
        <v>328</v>
      </c>
      <c r="AB59" s="705"/>
      <c r="AC59" s="287"/>
      <c r="AD59" s="699"/>
      <c r="AE59" s="246"/>
      <c r="AF59" s="246"/>
      <c r="AG59" s="689">
        <v>720</v>
      </c>
      <c r="AH59" s="699"/>
      <c r="AI59" s="246"/>
      <c r="AJ59" s="682"/>
      <c r="AK59" s="705" t="s">
        <v>1008</v>
      </c>
      <c r="AL59" s="255"/>
      <c r="AM59" s="699"/>
      <c r="AN59" s="246"/>
      <c r="AO59" s="246">
        <v>90</v>
      </c>
      <c r="AP59" s="246"/>
      <c r="AQ59" s="296"/>
      <c r="AR59" s="246"/>
      <c r="AS59" s="245" t="s">
        <v>325</v>
      </c>
      <c r="AT59" s="705"/>
    </row>
    <row r="60" spans="1:46" ht="44.25" customHeight="1" x14ac:dyDescent="0.45">
      <c r="A60" s="1352"/>
      <c r="B60" s="725">
        <v>2</v>
      </c>
      <c r="C60" s="693"/>
      <c r="D60" s="694"/>
      <c r="E60" s="694">
        <v>43</v>
      </c>
      <c r="F60" s="695"/>
      <c r="G60" s="681"/>
      <c r="H60" s="682"/>
      <c r="I60" s="697" t="s">
        <v>328</v>
      </c>
      <c r="J60" s="705"/>
      <c r="K60" s="287"/>
      <c r="L60" s="699"/>
      <c r="M60" s="246"/>
      <c r="N60" s="246"/>
      <c r="O60" s="689"/>
      <c r="P60" s="251"/>
      <c r="Q60" s="682"/>
      <c r="R60" s="246"/>
      <c r="S60" s="705"/>
      <c r="T60" s="287"/>
      <c r="U60" s="699"/>
      <c r="V60" s="246"/>
      <c r="W60" s="246">
        <v>119</v>
      </c>
      <c r="X60" s="689"/>
      <c r="Y60" s="296"/>
      <c r="Z60" s="682"/>
      <c r="AA60" s="697" t="s">
        <v>328</v>
      </c>
      <c r="AB60" s="705"/>
      <c r="AC60" s="287"/>
      <c r="AD60" s="699"/>
      <c r="AE60" s="699"/>
      <c r="AF60" s="699"/>
      <c r="AG60" s="699">
        <v>720</v>
      </c>
      <c r="AH60" s="699"/>
      <c r="AI60" s="682"/>
      <c r="AJ60" s="245"/>
      <c r="AK60" s="705" t="s">
        <v>1008</v>
      </c>
      <c r="AL60" s="255"/>
      <c r="AM60" s="699"/>
      <c r="AN60" s="246"/>
      <c r="AO60" s="246">
        <v>50</v>
      </c>
      <c r="AP60" s="246"/>
      <c r="AQ60" s="251"/>
      <c r="AR60" s="682"/>
      <c r="AS60" s="245" t="s">
        <v>325</v>
      </c>
      <c r="AT60" s="705"/>
    </row>
    <row r="61" spans="1:46" ht="56.25" customHeight="1" x14ac:dyDescent="0.45">
      <c r="A61" s="1351">
        <v>45687</v>
      </c>
      <c r="B61" s="692">
        <v>1</v>
      </c>
      <c r="C61" s="726">
        <v>235</v>
      </c>
      <c r="D61" s="727"/>
      <c r="E61" s="694">
        <v>15</v>
      </c>
      <c r="F61" s="728"/>
      <c r="G61" s="681" t="s">
        <v>1033</v>
      </c>
      <c r="H61" s="723"/>
      <c r="I61" s="697" t="s">
        <v>328</v>
      </c>
      <c r="J61" s="698"/>
      <c r="K61" s="287"/>
      <c r="L61" s="699"/>
      <c r="M61" s="699">
        <v>45</v>
      </c>
      <c r="N61" s="246"/>
      <c r="O61" s="689"/>
      <c r="P61" s="729"/>
      <c r="Q61" s="682" t="s">
        <v>1021</v>
      </c>
      <c r="R61" s="306"/>
      <c r="S61" s="730"/>
      <c r="T61" s="287"/>
      <c r="U61" s="699"/>
      <c r="V61" s="246"/>
      <c r="W61" s="246">
        <v>48</v>
      </c>
      <c r="X61" s="689"/>
      <c r="Y61" s="296"/>
      <c r="Z61" s="245"/>
      <c r="AA61" s="697" t="s">
        <v>328</v>
      </c>
      <c r="AB61" s="730"/>
      <c r="AC61" s="287"/>
      <c r="AD61" s="699">
        <v>12</v>
      </c>
      <c r="AE61" s="246"/>
      <c r="AF61" s="246"/>
      <c r="AG61" s="689"/>
      <c r="AH61" s="729" t="s">
        <v>1033</v>
      </c>
      <c r="AI61" s="732"/>
      <c r="AJ61" s="732"/>
      <c r="AK61" s="730"/>
      <c r="AL61" s="255"/>
      <c r="AM61" s="699">
        <v>85</v>
      </c>
      <c r="AN61" s="246"/>
      <c r="AO61" s="246"/>
      <c r="AP61" s="246"/>
      <c r="AQ61" s="296" t="s">
        <v>1034</v>
      </c>
      <c r="AR61" s="246"/>
      <c r="AS61" s="245"/>
      <c r="AT61" s="730"/>
    </row>
    <row r="62" spans="1:46" ht="53.25" customHeight="1" x14ac:dyDescent="0.45">
      <c r="A62" s="1352"/>
      <c r="B62" s="725">
        <v>2</v>
      </c>
      <c r="C62" s="726"/>
      <c r="D62" s="727"/>
      <c r="E62" s="727">
        <v>45</v>
      </c>
      <c r="F62" s="728"/>
      <c r="G62" s="731"/>
      <c r="H62" s="723"/>
      <c r="I62" s="697" t="s">
        <v>328</v>
      </c>
      <c r="J62" s="698"/>
      <c r="K62" s="287"/>
      <c r="L62" s="699"/>
      <c r="M62" s="246"/>
      <c r="N62" s="246"/>
      <c r="O62" s="689"/>
      <c r="P62" s="729"/>
      <c r="Q62" s="732"/>
      <c r="R62" s="306"/>
      <c r="S62" s="730"/>
      <c r="T62" s="287"/>
      <c r="U62" s="699"/>
      <c r="V62" s="246"/>
      <c r="W62" s="246">
        <v>105</v>
      </c>
      <c r="X62" s="689"/>
      <c r="Y62" s="296"/>
      <c r="Z62" s="732"/>
      <c r="AA62" s="697" t="s">
        <v>328</v>
      </c>
      <c r="AB62" s="730"/>
      <c r="AC62" s="287"/>
      <c r="AD62" s="699"/>
      <c r="AE62" s="246"/>
      <c r="AF62" s="246">
        <v>20</v>
      </c>
      <c r="AG62" s="302"/>
      <c r="AH62" s="1521"/>
      <c r="AI62" s="1522"/>
      <c r="AJ62" s="1523"/>
      <c r="AK62" s="831"/>
      <c r="AL62" s="255"/>
      <c r="AM62" s="699"/>
      <c r="AN62" s="246"/>
      <c r="AO62" s="246"/>
      <c r="AP62" s="246"/>
      <c r="AQ62" s="251"/>
      <c r="AR62" s="246"/>
      <c r="AS62" s="245"/>
      <c r="AT62" s="730"/>
    </row>
    <row r="63" spans="1:46" ht="35.25" customHeight="1" x14ac:dyDescent="0.45">
      <c r="A63" s="1519">
        <v>45688</v>
      </c>
      <c r="B63" s="725">
        <v>1</v>
      </c>
      <c r="C63" s="726"/>
      <c r="D63" s="727"/>
      <c r="E63" s="727"/>
      <c r="F63" s="728"/>
      <c r="G63" s="731"/>
      <c r="H63" s="723"/>
      <c r="I63" s="697"/>
      <c r="J63" s="698"/>
      <c r="K63" s="287"/>
      <c r="L63" s="699"/>
      <c r="M63" s="246"/>
      <c r="N63" s="246"/>
      <c r="O63" s="689"/>
      <c r="P63" s="729"/>
      <c r="Q63" s="732"/>
      <c r="R63" s="306"/>
      <c r="S63" s="730"/>
      <c r="T63" s="287"/>
      <c r="U63" s="699"/>
      <c r="V63" s="246"/>
      <c r="W63" s="246">
        <v>106</v>
      </c>
      <c r="X63" s="689"/>
      <c r="Y63" s="301"/>
      <c r="Z63" s="823"/>
      <c r="AA63" s="697" t="s">
        <v>328</v>
      </c>
      <c r="AB63" s="827"/>
      <c r="AC63" s="287"/>
      <c r="AD63" s="699"/>
      <c r="AE63" s="246"/>
      <c r="AF63" s="246">
        <v>33</v>
      </c>
      <c r="AG63" s="689"/>
      <c r="AH63" s="834"/>
      <c r="AI63" s="832"/>
      <c r="AJ63" s="833" t="s">
        <v>328</v>
      </c>
      <c r="AK63" s="730"/>
      <c r="AL63" s="255"/>
      <c r="AM63" s="699"/>
      <c r="AN63" s="246"/>
      <c r="AO63" s="246"/>
      <c r="AP63" s="246"/>
      <c r="AQ63" s="251"/>
      <c r="AR63" s="246"/>
      <c r="AS63" s="245"/>
      <c r="AT63" s="730"/>
    </row>
    <row r="64" spans="1:46" ht="64.2" hidden="1" customHeight="1" x14ac:dyDescent="0.45">
      <c r="A64" s="1520"/>
      <c r="B64" s="692">
        <v>1</v>
      </c>
      <c r="C64" s="733"/>
      <c r="D64" s="734"/>
      <c r="E64" s="734"/>
      <c r="F64" s="735"/>
      <c r="G64" s="736"/>
      <c r="H64" s="737"/>
      <c r="I64" s="697"/>
      <c r="J64" s="698"/>
      <c r="K64" s="287"/>
      <c r="L64" s="699"/>
      <c r="M64" s="246"/>
      <c r="N64" s="246"/>
      <c r="O64" s="695"/>
      <c r="P64" s="736"/>
      <c r="Q64" s="737"/>
      <c r="R64" s="737"/>
      <c r="S64" s="738"/>
      <c r="T64" s="287"/>
      <c r="U64" s="699"/>
      <c r="V64" s="246"/>
      <c r="W64" s="246"/>
      <c r="X64" s="695"/>
      <c r="Y64" s="716"/>
      <c r="Z64" s="824"/>
      <c r="AA64" s="697" t="s">
        <v>328</v>
      </c>
      <c r="AB64" s="826"/>
      <c r="AC64" s="287"/>
      <c r="AD64" s="699"/>
      <c r="AE64" s="246"/>
      <c r="AF64" s="246"/>
      <c r="AG64" s="695"/>
      <c r="AH64" s="680"/>
      <c r="AI64" s="681"/>
      <c r="AJ64" s="707" t="s">
        <v>328</v>
      </c>
      <c r="AK64" s="740"/>
      <c r="AL64" s="255"/>
      <c r="AM64" s="699"/>
      <c r="AN64" s="246"/>
      <c r="AO64" s="246"/>
      <c r="AP64" s="246"/>
      <c r="AQ64" s="680"/>
      <c r="AR64" s="681"/>
      <c r="AS64" s="681"/>
      <c r="AT64" s="740"/>
    </row>
    <row r="65" spans="1:46" ht="36" customHeight="1" x14ac:dyDescent="0.45">
      <c r="A65" s="1351"/>
      <c r="B65" s="324">
        <v>2</v>
      </c>
      <c r="C65" s="741"/>
      <c r="D65" s="742"/>
      <c r="E65" s="742">
        <v>22</v>
      </c>
      <c r="F65" s="743"/>
      <c r="G65" s="744"/>
      <c r="H65" s="745"/>
      <c r="I65" s="697" t="s">
        <v>328</v>
      </c>
      <c r="J65" s="747"/>
      <c r="K65" s="287"/>
      <c r="L65" s="748"/>
      <c r="M65" s="749"/>
      <c r="N65" s="749"/>
      <c r="O65" s="750"/>
      <c r="P65" s="751"/>
      <c r="Q65" s="752"/>
      <c r="R65" s="752"/>
      <c r="S65" s="753"/>
      <c r="T65" s="287"/>
      <c r="U65" s="748"/>
      <c r="V65" s="749"/>
      <c r="W65" s="749">
        <v>81</v>
      </c>
      <c r="X65" s="750"/>
      <c r="Y65" s="822"/>
      <c r="Z65" s="825"/>
      <c r="AA65" s="697" t="s">
        <v>328</v>
      </c>
      <c r="AB65" s="821"/>
      <c r="AC65" s="287"/>
      <c r="AD65" s="748">
        <v>14</v>
      </c>
      <c r="AE65" s="749"/>
      <c r="AF65" s="749">
        <v>10</v>
      </c>
      <c r="AG65" s="750"/>
      <c r="AH65" s="251" t="s">
        <v>1035</v>
      </c>
      <c r="AI65" s="749"/>
      <c r="AJ65" s="707" t="s">
        <v>328</v>
      </c>
      <c r="AK65" s="756"/>
      <c r="AL65" s="255"/>
      <c r="AM65" s="748"/>
      <c r="AN65" s="749"/>
      <c r="AO65" s="749">
        <v>16</v>
      </c>
      <c r="AP65" s="749"/>
      <c r="AQ65" s="754"/>
      <c r="AR65" s="749"/>
      <c r="AS65" s="749" t="s">
        <v>325</v>
      </c>
      <c r="AT65" s="756"/>
    </row>
    <row r="66" spans="1:46" ht="18" x14ac:dyDescent="0.45">
      <c r="A66" s="255" t="s">
        <v>225</v>
      </c>
      <c r="B66" s="354"/>
      <c r="C66" s="757">
        <f>SUM(C3:C65)</f>
        <v>1677</v>
      </c>
      <c r="D66" s="354">
        <f>SUM(D3:D65)</f>
        <v>575</v>
      </c>
      <c r="E66" s="757">
        <f>SUM(E3:E65)</f>
        <v>880</v>
      </c>
      <c r="F66" s="354">
        <f>SUM(F3:F65)</f>
        <v>458</v>
      </c>
      <c r="G66" s="255"/>
      <c r="H66" s="255"/>
      <c r="I66" s="255"/>
      <c r="J66" s="255"/>
      <c r="K66" s="255"/>
      <c r="L66" s="354">
        <f>SUM(L3:L65)</f>
        <v>191.5</v>
      </c>
      <c r="M66" s="354">
        <f>SUM(M3:M65)</f>
        <v>1005.5</v>
      </c>
      <c r="N66" s="354">
        <f>SUM(N3:N65)</f>
        <v>0</v>
      </c>
      <c r="O66" s="354">
        <f>SUM(O3:O65)</f>
        <v>442</v>
      </c>
      <c r="P66" s="255"/>
      <c r="Q66" s="255"/>
      <c r="R66" s="255"/>
      <c r="S66" s="255"/>
      <c r="T66" s="255"/>
      <c r="U66" s="354">
        <f>SUM(U3:U65)</f>
        <v>2409</v>
      </c>
      <c r="V66" s="354">
        <f>SUM(V3:V65)</f>
        <v>167</v>
      </c>
      <c r="W66" s="354">
        <f>SUM(W3:W65)</f>
        <v>2311</v>
      </c>
      <c r="X66" s="354">
        <f>SUM(X3:X65)</f>
        <v>488</v>
      </c>
      <c r="Y66" s="255"/>
      <c r="Z66" s="255"/>
      <c r="AA66" s="255"/>
      <c r="AB66" s="255"/>
      <c r="AC66" s="255"/>
      <c r="AD66" s="354">
        <f>SUM(AD3:AD65)</f>
        <v>401</v>
      </c>
      <c r="AE66" s="354">
        <f>SUM(AE3:AE65)</f>
        <v>67</v>
      </c>
      <c r="AF66" s="354">
        <f>SUM(AF3:AF65)</f>
        <v>108</v>
      </c>
      <c r="AG66" s="354">
        <f>SUM(AG3:AG65)</f>
        <v>5218</v>
      </c>
      <c r="AH66" s="255"/>
      <c r="AI66" s="255"/>
      <c r="AJ66" s="255"/>
      <c r="AK66" s="255"/>
      <c r="AL66" s="255"/>
      <c r="AM66" s="354">
        <f>SUM(AM3:AM65)</f>
        <v>745</v>
      </c>
      <c r="AN66" s="354">
        <f>SUM(AN3:AN65)</f>
        <v>175</v>
      </c>
      <c r="AO66" s="354">
        <f>SUM(AO3:AO65)</f>
        <v>386</v>
      </c>
      <c r="AP66" s="354">
        <f>SUM(AP3:AP65)</f>
        <v>17064</v>
      </c>
      <c r="AQ66" s="255"/>
      <c r="AR66" s="255"/>
      <c r="AS66" s="255"/>
      <c r="AT66" s="255"/>
    </row>
    <row r="74" spans="1:46" ht="14.6" thickBot="1" x14ac:dyDescent="0.4"/>
    <row r="75" spans="1:46" ht="18.45" thickBot="1" x14ac:dyDescent="0.5">
      <c r="B75" s="354"/>
      <c r="C75" s="1349" t="s">
        <v>199</v>
      </c>
      <c r="D75" s="1350"/>
      <c r="E75" s="1347" t="s">
        <v>200</v>
      </c>
      <c r="F75" s="1348"/>
      <c r="G75" s="1349" t="s">
        <v>201</v>
      </c>
      <c r="H75" s="1350"/>
      <c r="I75" s="1349" t="s">
        <v>204</v>
      </c>
      <c r="J75" s="1350"/>
    </row>
    <row r="76" spans="1:46" ht="18.45" thickBot="1" x14ac:dyDescent="0.5">
      <c r="B76" s="354"/>
      <c r="C76" s="552" t="s">
        <v>222</v>
      </c>
      <c r="D76" s="553" t="s">
        <v>223</v>
      </c>
      <c r="E76" s="554" t="s">
        <v>222</v>
      </c>
      <c r="F76" s="555" t="s">
        <v>223</v>
      </c>
      <c r="G76" s="552" t="s">
        <v>222</v>
      </c>
      <c r="H76" s="553" t="s">
        <v>223</v>
      </c>
      <c r="I76" s="552" t="s">
        <v>222</v>
      </c>
      <c r="J76" s="553" t="s">
        <v>223</v>
      </c>
    </row>
    <row r="77" spans="1:46" ht="18" x14ac:dyDescent="0.4">
      <c r="B77" s="541" t="s">
        <v>218</v>
      </c>
      <c r="C77" s="542">
        <f>C66</f>
        <v>1677</v>
      </c>
      <c r="D77" s="543">
        <f>C77/60</f>
        <v>27.95</v>
      </c>
      <c r="E77" s="542">
        <f>D66</f>
        <v>575</v>
      </c>
      <c r="F77" s="544">
        <f>E77/60</f>
        <v>9.5833333333333339</v>
      </c>
      <c r="G77" s="542">
        <f>E66</f>
        <v>880</v>
      </c>
      <c r="H77" s="543">
        <f>G77/60</f>
        <v>14.666666666666666</v>
      </c>
      <c r="I77" s="542">
        <f>F66</f>
        <v>458</v>
      </c>
      <c r="J77" s="543">
        <f>I77/60</f>
        <v>7.6333333333333337</v>
      </c>
    </row>
    <row r="78" spans="1:46" ht="18" x14ac:dyDescent="0.4">
      <c r="B78" s="541" t="s">
        <v>219</v>
      </c>
      <c r="C78" s="545">
        <f>L66</f>
        <v>191.5</v>
      </c>
      <c r="D78" s="546">
        <f>C78/60</f>
        <v>3.1916666666666669</v>
      </c>
      <c r="E78" s="545">
        <f>M66</f>
        <v>1005.5</v>
      </c>
      <c r="F78" s="547">
        <f>E78/60</f>
        <v>16.758333333333333</v>
      </c>
      <c r="G78" s="545">
        <f>N66</f>
        <v>0</v>
      </c>
      <c r="H78" s="546">
        <f>G78/60</f>
        <v>0</v>
      </c>
      <c r="I78" s="545">
        <f>O66</f>
        <v>442</v>
      </c>
      <c r="J78" s="546">
        <f>I78/60</f>
        <v>7.3666666666666663</v>
      </c>
    </row>
    <row r="79" spans="1:46" ht="18" x14ac:dyDescent="0.4">
      <c r="B79" s="541" t="s">
        <v>220</v>
      </c>
      <c r="C79" s="545">
        <f>U66</f>
        <v>2409</v>
      </c>
      <c r="D79" s="546">
        <f>C79/60</f>
        <v>40.15</v>
      </c>
      <c r="E79" s="545">
        <f>V66</f>
        <v>167</v>
      </c>
      <c r="F79" s="547">
        <f>E79/60</f>
        <v>2.7833333333333332</v>
      </c>
      <c r="G79" s="545">
        <f>W66</f>
        <v>2311</v>
      </c>
      <c r="H79" s="546">
        <f>G79/60</f>
        <v>38.516666666666666</v>
      </c>
      <c r="I79" s="545">
        <f>X66</f>
        <v>488</v>
      </c>
      <c r="J79" s="546">
        <f>I79/60</f>
        <v>8.1333333333333329</v>
      </c>
    </row>
    <row r="80" spans="1:46" ht="18.45" thickBot="1" x14ac:dyDescent="0.45">
      <c r="B80" s="541" t="s">
        <v>221</v>
      </c>
      <c r="C80" s="548">
        <f>AD66</f>
        <v>401</v>
      </c>
      <c r="D80" s="549">
        <f>C80/60</f>
        <v>6.6833333333333336</v>
      </c>
      <c r="E80" s="548">
        <f>AE66</f>
        <v>67</v>
      </c>
      <c r="F80" s="550">
        <f>E80/60</f>
        <v>1.1166666666666667</v>
      </c>
      <c r="G80" s="548">
        <f>AF66</f>
        <v>108</v>
      </c>
      <c r="H80" s="549">
        <f>G80/60</f>
        <v>1.8</v>
      </c>
      <c r="I80" s="548">
        <f>AG66</f>
        <v>5218</v>
      </c>
      <c r="J80" s="549">
        <f>I80/60</f>
        <v>86.966666666666669</v>
      </c>
    </row>
    <row r="81" spans="2:10" ht="18.45" thickBot="1" x14ac:dyDescent="0.45">
      <c r="B81" s="541" t="s">
        <v>488</v>
      </c>
      <c r="C81" s="643">
        <f>AM66</f>
        <v>745</v>
      </c>
      <c r="D81" s="642">
        <f>C81/60</f>
        <v>12.416666666666666</v>
      </c>
      <c r="E81" s="643">
        <f>AN66</f>
        <v>175</v>
      </c>
      <c r="F81" s="644">
        <f>E81/60</f>
        <v>2.9166666666666665</v>
      </c>
      <c r="G81" s="643">
        <f>AO66</f>
        <v>386</v>
      </c>
      <c r="H81" s="642">
        <f>G81/60</f>
        <v>6.4333333333333336</v>
      </c>
      <c r="I81" s="643">
        <f>AP66</f>
        <v>17064</v>
      </c>
      <c r="J81" s="642">
        <f>I81/60</f>
        <v>284.39999999999998</v>
      </c>
    </row>
    <row r="82" spans="2:10" ht="18.45" thickBot="1" x14ac:dyDescent="0.5">
      <c r="B82" s="354"/>
      <c r="C82" s="255"/>
      <c r="D82" s="255"/>
      <c r="E82" s="255"/>
      <c r="F82" s="255"/>
      <c r="G82" s="255"/>
      <c r="H82" s="255"/>
      <c r="I82" s="255"/>
      <c r="J82" s="255"/>
    </row>
    <row r="83" spans="2:10" ht="18.45" thickBot="1" x14ac:dyDescent="0.5">
      <c r="B83" s="551" t="s">
        <v>217</v>
      </c>
      <c r="C83" s="556"/>
      <c r="D83" s="557">
        <f>SUM(D77:D81)</f>
        <v>90.391666666666666</v>
      </c>
      <c r="E83" s="556"/>
      <c r="F83" s="557">
        <f>SUM(F77:F81)</f>
        <v>33.158333333333331</v>
      </c>
      <c r="G83" s="556"/>
      <c r="H83" s="557">
        <f>SUM(H77:H81)</f>
        <v>61.416666666666657</v>
      </c>
      <c r="I83" s="556"/>
      <c r="J83" s="558">
        <f>AVERAGE(J77:J81)</f>
        <v>78.900000000000006</v>
      </c>
    </row>
  </sheetData>
  <mergeCells count="47">
    <mergeCell ref="AQ1:AT1"/>
    <mergeCell ref="A3:A4"/>
    <mergeCell ref="A5:A6"/>
    <mergeCell ref="C1:F1"/>
    <mergeCell ref="G1:J1"/>
    <mergeCell ref="L1:O1"/>
    <mergeCell ref="P1:S1"/>
    <mergeCell ref="U1:X1"/>
    <mergeCell ref="Y1:AB1"/>
    <mergeCell ref="AH14:AJ14"/>
    <mergeCell ref="A15:A16"/>
    <mergeCell ref="AD1:AG1"/>
    <mergeCell ref="AH1:AK1"/>
    <mergeCell ref="AM1:AP1"/>
    <mergeCell ref="A7:A8"/>
    <mergeCell ref="A9:A10"/>
    <mergeCell ref="A11:A12"/>
    <mergeCell ref="A13:A14"/>
    <mergeCell ref="A17:A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25:A26"/>
    <mergeCell ref="A51:A52"/>
    <mergeCell ref="A53:A54"/>
    <mergeCell ref="A55:A56"/>
    <mergeCell ref="A57:A58"/>
    <mergeCell ref="A59:A60"/>
    <mergeCell ref="A61:A62"/>
    <mergeCell ref="A63:A65"/>
    <mergeCell ref="AH62:AJ62"/>
    <mergeCell ref="C75:D75"/>
    <mergeCell ref="E75:F75"/>
    <mergeCell ref="G75:H75"/>
    <mergeCell ref="I75:J75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T76"/>
  <sheetViews>
    <sheetView zoomScale="55" zoomScaleNormal="55" workbookViewId="0">
      <pane xSplit="3" ySplit="2" topLeftCell="D51" activePane="bottomRight" state="frozen"/>
      <selection pane="topRight" activeCell="D1" sqref="D1"/>
      <selection pane="bottomLeft" activeCell="A3" sqref="A3"/>
      <selection pane="bottomRight" activeCell="AJ55" sqref="AJ55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2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9.382812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6" style="423" bestFit="1" customWidth="1"/>
    <col min="17" max="17" width="42.15234375" style="423" bestFit="1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6.15234375" style="423" bestFit="1" customWidth="1"/>
    <col min="28" max="28" width="27" style="423" customWidth="1"/>
    <col min="29" max="33" width="10.69140625" style="423" customWidth="1"/>
    <col min="34" max="34" width="31.3046875" style="423" customWidth="1"/>
    <col min="35" max="35" width="23.304687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53515625" style="423" customWidth="1"/>
    <col min="45" max="45" width="31.152343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7" t="s">
        <v>199</v>
      </c>
      <c r="AR2" s="655" t="s">
        <v>200</v>
      </c>
      <c r="AS2" s="655" t="s">
        <v>201</v>
      </c>
      <c r="AT2" s="655" t="s">
        <v>204</v>
      </c>
    </row>
    <row r="3" spans="1:46" ht="78" customHeight="1" x14ac:dyDescent="0.45">
      <c r="A3" s="1351">
        <v>45689</v>
      </c>
      <c r="B3" s="676">
        <v>1</v>
      </c>
      <c r="C3" s="677"/>
      <c r="D3" s="678"/>
      <c r="E3" s="246"/>
      <c r="F3" s="679"/>
      <c r="G3" s="680"/>
      <c r="H3" s="681"/>
      <c r="I3" s="697"/>
      <c r="J3" s="683"/>
      <c r="K3" s="287"/>
      <c r="L3" s="684"/>
      <c r="M3" s="685"/>
      <c r="N3" s="685"/>
      <c r="O3" s="686"/>
      <c r="P3" s="687"/>
      <c r="Q3" s="688"/>
      <c r="R3" s="688"/>
      <c r="S3" s="686"/>
      <c r="T3" s="287"/>
      <c r="U3" s="684"/>
      <c r="V3" s="685"/>
      <c r="W3" s="246"/>
      <c r="X3" s="689"/>
      <c r="Y3" s="296"/>
      <c r="Z3" s="687"/>
      <c r="AA3" s="682"/>
      <c r="AB3" s="690"/>
      <c r="AC3" s="287"/>
      <c r="AD3" s="684"/>
      <c r="AE3" s="685"/>
      <c r="AF3" s="246">
        <v>35</v>
      </c>
      <c r="AG3" s="686"/>
      <c r="AH3" s="687"/>
      <c r="AI3" s="687"/>
      <c r="AJ3" s="245" t="s">
        <v>328</v>
      </c>
      <c r="AK3" s="686"/>
      <c r="AL3" s="255"/>
      <c r="AM3" s="684"/>
      <c r="AN3" s="685"/>
      <c r="AO3" s="246"/>
      <c r="AP3" s="686">
        <v>559</v>
      </c>
      <c r="AQ3" s="687"/>
      <c r="AR3" s="691"/>
      <c r="AS3" s="245"/>
      <c r="AT3" s="686" t="s">
        <v>1008</v>
      </c>
    </row>
    <row r="4" spans="1:46" ht="69.75" customHeight="1" x14ac:dyDescent="0.45">
      <c r="A4" s="1352"/>
      <c r="B4" s="692">
        <v>2</v>
      </c>
      <c r="C4" s="693"/>
      <c r="D4" s="694"/>
      <c r="E4" s="694">
        <v>27</v>
      </c>
      <c r="F4" s="695"/>
      <c r="G4" s="696"/>
      <c r="H4" s="681"/>
      <c r="I4" s="697" t="s">
        <v>328</v>
      </c>
      <c r="J4" s="698"/>
      <c r="K4" s="287"/>
      <c r="L4" s="699"/>
      <c r="M4" s="246"/>
      <c r="N4" s="246"/>
      <c r="O4" s="689"/>
      <c r="P4" s="251"/>
      <c r="Q4" s="681"/>
      <c r="R4" s="226"/>
      <c r="S4" s="689"/>
      <c r="T4" s="287"/>
      <c r="U4" s="699"/>
      <c r="V4" s="245"/>
      <c r="W4" s="246">
        <v>42</v>
      </c>
      <c r="X4" s="689"/>
      <c r="Y4" s="696"/>
      <c r="Z4" s="682"/>
      <c r="AA4" s="682" t="s">
        <v>328</v>
      </c>
      <c r="AB4" s="700"/>
      <c r="AC4" s="287"/>
      <c r="AD4" s="699"/>
      <c r="AE4" s="246"/>
      <c r="AF4" s="246"/>
      <c r="AG4" s="689"/>
      <c r="AH4" s="251"/>
      <c r="AI4" s="682"/>
      <c r="AJ4" s="245"/>
      <c r="AK4" s="689"/>
      <c r="AL4" s="255"/>
      <c r="AM4" s="699"/>
      <c r="AN4" s="246"/>
      <c r="AO4" s="246"/>
      <c r="AP4" s="689">
        <v>720</v>
      </c>
      <c r="AQ4" s="251"/>
      <c r="AR4" s="682"/>
      <c r="AS4" s="246"/>
      <c r="AT4" s="686" t="s">
        <v>1008</v>
      </c>
    </row>
    <row r="5" spans="1:46" ht="60" customHeight="1" x14ac:dyDescent="0.45">
      <c r="A5" s="1351">
        <v>45690</v>
      </c>
      <c r="B5" s="692">
        <v>1</v>
      </c>
      <c r="C5" s="693"/>
      <c r="D5" s="694"/>
      <c r="E5" s="694">
        <v>14</v>
      </c>
      <c r="F5" s="695"/>
      <c r="G5" s="791"/>
      <c r="H5" s="711"/>
      <c r="I5" s="697" t="s">
        <v>328</v>
      </c>
      <c r="J5" s="698"/>
      <c r="K5" s="287"/>
      <c r="L5" s="699"/>
      <c r="M5" s="246"/>
      <c r="N5" s="246"/>
      <c r="O5" s="689"/>
      <c r="P5" s="251"/>
      <c r="Q5" s="246"/>
      <c r="R5" s="246"/>
      <c r="S5" s="689"/>
      <c r="T5" s="287"/>
      <c r="U5" s="699"/>
      <c r="V5" s="246"/>
      <c r="W5" s="246">
        <v>11</v>
      </c>
      <c r="X5" s="689"/>
      <c r="Y5" s="296"/>
      <c r="Z5" s="681"/>
      <c r="AA5" s="701" t="s">
        <v>328</v>
      </c>
      <c r="AB5" s="702"/>
      <c r="AC5" s="287"/>
      <c r="AD5" s="699"/>
      <c r="AE5" s="246"/>
      <c r="AF5" s="246"/>
      <c r="AG5" s="689"/>
      <c r="AH5" s="251"/>
      <c r="AI5" s="246"/>
      <c r="AJ5" s="703"/>
      <c r="AK5" s="689"/>
      <c r="AL5" s="255"/>
      <c r="AM5" s="699"/>
      <c r="AN5" s="246"/>
      <c r="AO5" s="246"/>
      <c r="AP5" s="689">
        <v>720</v>
      </c>
      <c r="AQ5" s="251"/>
      <c r="AR5" s="306"/>
      <c r="AS5" s="245"/>
      <c r="AT5" s="686" t="s">
        <v>1008</v>
      </c>
    </row>
    <row r="6" spans="1:46" ht="80.5" customHeight="1" x14ac:dyDescent="0.45">
      <c r="A6" s="1352"/>
      <c r="B6" s="692">
        <v>2</v>
      </c>
      <c r="C6" s="693"/>
      <c r="D6" s="694"/>
      <c r="E6" s="694">
        <v>54</v>
      </c>
      <c r="F6" s="695"/>
      <c r="G6" s="680"/>
      <c r="H6" s="682"/>
      <c r="I6" s="697" t="s">
        <v>328</v>
      </c>
      <c r="J6" s="705"/>
      <c r="K6" s="287"/>
      <c r="L6" s="699"/>
      <c r="M6" s="246"/>
      <c r="N6" s="246"/>
      <c r="O6" s="689"/>
      <c r="P6" s="251"/>
      <c r="Q6" s="681"/>
      <c r="R6" s="246"/>
      <c r="S6" s="705"/>
      <c r="T6" s="287"/>
      <c r="U6" s="699"/>
      <c r="V6" s="246"/>
      <c r="W6" s="246">
        <v>19</v>
      </c>
      <c r="X6" s="689"/>
      <c r="Y6" s="296"/>
      <c r="Z6" s="681"/>
      <c r="AA6" s="701" t="s">
        <v>328</v>
      </c>
      <c r="AB6" s="705"/>
      <c r="AC6" s="287"/>
      <c r="AD6" s="699"/>
      <c r="AE6" s="246"/>
      <c r="AF6" s="246">
        <v>19</v>
      </c>
      <c r="AG6" s="689"/>
      <c r="AH6" s="251"/>
      <c r="AI6" s="246"/>
      <c r="AJ6" s="794" t="s">
        <v>328</v>
      </c>
      <c r="AK6" s="705"/>
      <c r="AL6" s="255"/>
      <c r="AM6" s="699"/>
      <c r="AN6" s="246"/>
      <c r="AO6" s="246"/>
      <c r="AP6" s="689">
        <v>144</v>
      </c>
      <c r="AQ6" s="301"/>
      <c r="AR6" s="810"/>
      <c r="AS6" s="296"/>
      <c r="AT6" s="686" t="s">
        <v>1008</v>
      </c>
    </row>
    <row r="7" spans="1:46" ht="71.5" customHeight="1" x14ac:dyDescent="0.45">
      <c r="A7" s="1351">
        <v>45691</v>
      </c>
      <c r="B7" s="692">
        <v>1</v>
      </c>
      <c r="C7" s="693"/>
      <c r="D7" s="694"/>
      <c r="E7" s="694">
        <v>31</v>
      </c>
      <c r="F7" s="695"/>
      <c r="G7" s="680"/>
      <c r="H7" s="682"/>
      <c r="I7" s="697" t="s">
        <v>328</v>
      </c>
      <c r="J7" s="705"/>
      <c r="K7" s="287"/>
      <c r="L7" s="699"/>
      <c r="M7" s="251"/>
      <c r="N7" s="246"/>
      <c r="O7" s="689"/>
      <c r="P7" s="251"/>
      <c r="Q7" s="706"/>
      <c r="R7" s="246"/>
      <c r="S7" s="704"/>
      <c r="T7" s="287"/>
      <c r="U7" s="699"/>
      <c r="V7" s="246"/>
      <c r="W7" s="246"/>
      <c r="X7" s="689"/>
      <c r="Y7" s="296"/>
      <c r="Z7" s="681"/>
      <c r="AA7" s="701"/>
      <c r="AB7" s="704"/>
      <c r="AC7" s="287"/>
      <c r="AD7" s="699"/>
      <c r="AE7" s="246"/>
      <c r="AF7" s="246">
        <v>12</v>
      </c>
      <c r="AG7" s="689"/>
      <c r="AH7" s="251"/>
      <c r="AI7" s="706"/>
      <c r="AJ7" s="794" t="s">
        <v>328</v>
      </c>
      <c r="AK7" s="808"/>
      <c r="AL7" s="255"/>
      <c r="AM7" s="699"/>
      <c r="AN7" s="246"/>
      <c r="AO7" s="246">
        <v>19</v>
      </c>
      <c r="AP7" s="689"/>
      <c r="AQ7" s="284"/>
      <c r="AR7" s="796"/>
      <c r="AS7" s="809" t="s">
        <v>328</v>
      </c>
      <c r="AT7" s="707"/>
    </row>
    <row r="8" spans="1:46" ht="69.650000000000006" customHeight="1" x14ac:dyDescent="0.45">
      <c r="A8" s="1352"/>
      <c r="B8" s="692">
        <v>2</v>
      </c>
      <c r="C8" s="693">
        <v>668</v>
      </c>
      <c r="D8" s="727"/>
      <c r="E8" s="694"/>
      <c r="F8" s="695"/>
      <c r="G8" s="696" t="s">
        <v>45</v>
      </c>
      <c r="H8" s="682"/>
      <c r="I8" s="697"/>
      <c r="J8" s="705"/>
      <c r="K8" s="287"/>
      <c r="L8" s="699"/>
      <c r="M8" s="246"/>
      <c r="N8" s="246"/>
      <c r="O8" s="689"/>
      <c r="P8" s="251"/>
      <c r="Q8" s="246"/>
      <c r="R8" s="245"/>
      <c r="S8" s="704"/>
      <c r="T8" s="287"/>
      <c r="U8" s="795"/>
      <c r="V8" s="796"/>
      <c r="W8" s="251">
        <v>14</v>
      </c>
      <c r="X8" s="689"/>
      <c r="Y8" s="296"/>
      <c r="Z8" s="301"/>
      <c r="AA8" s="296" t="s">
        <v>328</v>
      </c>
      <c r="AB8" s="705"/>
      <c r="AC8" s="287"/>
      <c r="AD8" s="699"/>
      <c r="AE8" s="246"/>
      <c r="AF8" s="246">
        <v>13</v>
      </c>
      <c r="AG8" s="689"/>
      <c r="AH8" s="251"/>
      <c r="AI8" s="245"/>
      <c r="AJ8" s="794" t="s">
        <v>328</v>
      </c>
      <c r="AK8" s="797"/>
      <c r="AL8" s="255"/>
      <c r="AM8" s="699"/>
      <c r="AN8" s="246"/>
      <c r="AO8" s="246"/>
      <c r="AP8" s="689"/>
      <c r="AQ8" s="284"/>
      <c r="AR8" s="811"/>
      <c r="AS8" s="251"/>
      <c r="AT8" s="705"/>
    </row>
    <row r="9" spans="1:46" ht="76.95" customHeight="1" x14ac:dyDescent="0.45">
      <c r="A9" s="1351">
        <v>45692</v>
      </c>
      <c r="B9" s="692">
        <v>1</v>
      </c>
      <c r="C9" s="763">
        <v>80</v>
      </c>
      <c r="D9" s="790"/>
      <c r="E9" s="787">
        <v>40</v>
      </c>
      <c r="F9" s="695"/>
      <c r="G9" s="696" t="s">
        <v>45</v>
      </c>
      <c r="H9" s="681"/>
      <c r="I9" s="697" t="s">
        <v>328</v>
      </c>
      <c r="J9" s="705"/>
      <c r="K9" s="287"/>
      <c r="L9" s="699"/>
      <c r="M9" s="246">
        <v>127</v>
      </c>
      <c r="N9" s="246"/>
      <c r="O9" s="689"/>
      <c r="P9" s="251"/>
      <c r="Q9" s="246" t="s">
        <v>317</v>
      </c>
      <c r="R9" s="245"/>
      <c r="S9" s="705"/>
      <c r="T9" s="287"/>
      <c r="U9" s="795"/>
      <c r="V9" s="251"/>
      <c r="W9" s="246">
        <v>23</v>
      </c>
      <c r="X9" s="689"/>
      <c r="Y9" s="296"/>
      <c r="Z9" s="246"/>
      <c r="AA9" s="296" t="s">
        <v>328</v>
      </c>
      <c r="AB9" s="705"/>
      <c r="AC9" s="287"/>
      <c r="AD9" s="699"/>
      <c r="AE9" s="246"/>
      <c r="AF9" s="246"/>
      <c r="AG9" s="689"/>
      <c r="AH9" s="251"/>
      <c r="AI9" s="246"/>
      <c r="AJ9" s="246"/>
      <c r="AK9" s="705"/>
      <c r="AL9" s="255"/>
      <c r="AM9" s="699"/>
      <c r="AN9" s="246"/>
      <c r="AO9" s="246"/>
      <c r="AP9" s="689"/>
      <c r="AQ9" s="284"/>
      <c r="AR9" s="796"/>
      <c r="AS9" s="251"/>
      <c r="AT9" s="708"/>
    </row>
    <row r="10" spans="1:46" ht="67.2" customHeight="1" x14ac:dyDescent="0.45">
      <c r="A10" s="1352"/>
      <c r="B10" s="692">
        <v>2</v>
      </c>
      <c r="C10" s="763"/>
      <c r="D10" s="788">
        <v>20</v>
      </c>
      <c r="E10" s="787">
        <v>86</v>
      </c>
      <c r="F10" s="695"/>
      <c r="G10" s="709"/>
      <c r="H10" s="710" t="s">
        <v>1038</v>
      </c>
      <c r="I10" s="697" t="s">
        <v>328</v>
      </c>
      <c r="J10" s="705"/>
      <c r="K10" s="287"/>
      <c r="L10" s="699">
        <v>720</v>
      </c>
      <c r="M10" s="246"/>
      <c r="N10" s="246"/>
      <c r="O10" s="689"/>
      <c r="P10" s="251" t="s">
        <v>45</v>
      </c>
      <c r="Q10" s="246"/>
      <c r="R10" s="245"/>
      <c r="S10" s="705"/>
      <c r="T10" s="287"/>
      <c r="U10" s="699"/>
      <c r="V10" s="246"/>
      <c r="W10" s="246">
        <v>36</v>
      </c>
      <c r="X10" s="689"/>
      <c r="Y10" s="296"/>
      <c r="Z10" s="296"/>
      <c r="AA10" s="296" t="s">
        <v>328</v>
      </c>
      <c r="AB10" s="705"/>
      <c r="AC10" s="287"/>
      <c r="AD10" s="699"/>
      <c r="AE10" s="246"/>
      <c r="AF10" s="246">
        <v>19</v>
      </c>
      <c r="AG10" s="689"/>
      <c r="AH10" s="296"/>
      <c r="AI10" s="245"/>
      <c r="AJ10" s="682" t="s">
        <v>328</v>
      </c>
      <c r="AK10" s="705"/>
      <c r="AL10" s="255"/>
      <c r="AM10" s="699"/>
      <c r="AN10" s="246"/>
      <c r="AO10" s="246"/>
      <c r="AP10" s="689"/>
      <c r="AQ10" s="284"/>
      <c r="AR10" s="812"/>
      <c r="AS10" s="251"/>
      <c r="AT10" s="705"/>
    </row>
    <row r="11" spans="1:46" ht="60" customHeight="1" x14ac:dyDescent="0.45">
      <c r="A11" s="1351">
        <v>45693</v>
      </c>
      <c r="B11" s="692">
        <v>1</v>
      </c>
      <c r="C11" s="763"/>
      <c r="D11" s="789">
        <v>178</v>
      </c>
      <c r="E11" s="787">
        <v>342</v>
      </c>
      <c r="F11" s="695"/>
      <c r="G11" s="712"/>
      <c r="H11" s="710" t="s">
        <v>1039</v>
      </c>
      <c r="I11" s="711" t="s">
        <v>1040</v>
      </c>
      <c r="J11" s="698"/>
      <c r="K11" s="287"/>
      <c r="L11" s="699">
        <v>73</v>
      </c>
      <c r="M11" s="246"/>
      <c r="N11" s="246"/>
      <c r="O11" s="689"/>
      <c r="P11" s="251" t="s">
        <v>45</v>
      </c>
      <c r="Q11" s="246"/>
      <c r="R11" s="245"/>
      <c r="S11" s="689"/>
      <c r="T11" s="287"/>
      <c r="U11" s="699"/>
      <c r="V11" s="246"/>
      <c r="W11" s="246"/>
      <c r="X11" s="689"/>
      <c r="Y11" s="296"/>
      <c r="Z11" s="246"/>
      <c r="AA11" s="701"/>
      <c r="AB11" s="689"/>
      <c r="AC11" s="287"/>
      <c r="AD11" s="699"/>
      <c r="AE11" s="246"/>
      <c r="AF11" s="246">
        <v>12</v>
      </c>
      <c r="AG11" s="689"/>
      <c r="AH11" s="251"/>
      <c r="AI11" s="246"/>
      <c r="AJ11" s="682" t="s">
        <v>328</v>
      </c>
      <c r="AK11" s="689"/>
      <c r="AL11" s="255"/>
      <c r="AM11" s="699"/>
      <c r="AN11" s="246"/>
      <c r="AO11" s="246"/>
      <c r="AP11" s="689"/>
      <c r="AQ11" s="251"/>
      <c r="AR11" s="226"/>
      <c r="AS11" s="246"/>
      <c r="AT11" s="704"/>
    </row>
    <row r="12" spans="1:46" ht="55.2" customHeight="1" x14ac:dyDescent="0.45">
      <c r="A12" s="1352"/>
      <c r="B12" s="692">
        <v>2</v>
      </c>
      <c r="C12" s="693">
        <v>231</v>
      </c>
      <c r="D12" s="767"/>
      <c r="E12" s="694">
        <v>63</v>
      </c>
      <c r="F12" s="695"/>
      <c r="G12" s="696" t="s">
        <v>1041</v>
      </c>
      <c r="H12" s="681"/>
      <c r="I12" s="697" t="s">
        <v>328</v>
      </c>
      <c r="J12" s="705"/>
      <c r="K12" s="287"/>
      <c r="L12" s="699"/>
      <c r="M12" s="246">
        <v>30</v>
      </c>
      <c r="N12" s="246"/>
      <c r="O12" s="695"/>
      <c r="P12" s="251"/>
      <c r="Q12" s="246" t="s">
        <v>61</v>
      </c>
      <c r="R12" s="245"/>
      <c r="S12" s="705"/>
      <c r="T12" s="287"/>
      <c r="U12" s="699"/>
      <c r="V12" s="246"/>
      <c r="W12" s="246">
        <v>28</v>
      </c>
      <c r="X12" s="689"/>
      <c r="Y12" s="296"/>
      <c r="Z12" s="682"/>
      <c r="AA12" s="701" t="s">
        <v>328</v>
      </c>
      <c r="AB12" s="705"/>
      <c r="AC12" s="287"/>
      <c r="AD12" s="699"/>
      <c r="AE12" s="246"/>
      <c r="AF12" s="246">
        <v>38</v>
      </c>
      <c r="AG12" s="689"/>
      <c r="AH12" s="251"/>
      <c r="AI12" s="245"/>
      <c r="AJ12" s="682" t="s">
        <v>328</v>
      </c>
      <c r="AK12" s="705"/>
      <c r="AL12" s="255"/>
      <c r="AM12" s="699"/>
      <c r="AN12" s="246"/>
      <c r="AO12" s="246"/>
      <c r="AP12" s="689">
        <v>493</v>
      </c>
      <c r="AQ12" s="251"/>
      <c r="AR12" s="246"/>
      <c r="AS12" s="245"/>
      <c r="AT12" s="705" t="s">
        <v>1008</v>
      </c>
    </row>
    <row r="13" spans="1:46" ht="51" customHeight="1" x14ac:dyDescent="0.45">
      <c r="A13" s="1351">
        <v>45694</v>
      </c>
      <c r="B13" s="692">
        <v>1</v>
      </c>
      <c r="C13" s="693"/>
      <c r="D13" s="694"/>
      <c r="E13" s="694">
        <v>10</v>
      </c>
      <c r="F13" s="695"/>
      <c r="G13" s="696"/>
      <c r="H13" s="681"/>
      <c r="I13" s="697" t="s">
        <v>328</v>
      </c>
      <c r="J13" s="705"/>
      <c r="K13" s="287"/>
      <c r="L13" s="699"/>
      <c r="M13" s="246"/>
      <c r="N13" s="246"/>
      <c r="O13" s="695"/>
      <c r="P13" s="251"/>
      <c r="Q13" s="246"/>
      <c r="R13" s="246"/>
      <c r="S13" s="705"/>
      <c r="T13" s="287"/>
      <c r="U13" s="699"/>
      <c r="V13" s="246"/>
      <c r="W13" s="246">
        <v>13</v>
      </c>
      <c r="X13" s="695"/>
      <c r="Y13" s="296"/>
      <c r="Z13" s="245"/>
      <c r="AA13" s="701" t="s">
        <v>328</v>
      </c>
      <c r="AB13" s="705"/>
      <c r="AC13" s="287"/>
      <c r="AD13" s="699"/>
      <c r="AE13" s="246"/>
      <c r="AF13" s="246"/>
      <c r="AG13" s="695"/>
      <c r="AH13" s="251"/>
      <c r="AI13" s="246"/>
      <c r="AJ13" s="701"/>
      <c r="AK13" s="705"/>
      <c r="AL13" s="255"/>
      <c r="AM13" s="699"/>
      <c r="AN13" s="246"/>
      <c r="AO13" s="246"/>
      <c r="AP13" s="813">
        <v>720</v>
      </c>
      <c r="AQ13" s="251"/>
      <c r="AR13" s="246"/>
      <c r="AS13" s="682"/>
      <c r="AT13" s="705" t="s">
        <v>1008</v>
      </c>
    </row>
    <row r="14" spans="1:46" ht="49.2" customHeight="1" x14ac:dyDescent="0.45">
      <c r="A14" s="1352"/>
      <c r="B14" s="692">
        <v>2</v>
      </c>
      <c r="C14" s="693"/>
      <c r="D14" s="694"/>
      <c r="E14" s="694">
        <v>109</v>
      </c>
      <c r="F14" s="695"/>
      <c r="G14" s="696"/>
      <c r="H14" s="682"/>
      <c r="I14" s="697" t="s">
        <v>328</v>
      </c>
      <c r="J14" s="705"/>
      <c r="K14" s="287"/>
      <c r="L14" s="699"/>
      <c r="M14" s="246"/>
      <c r="N14" s="246"/>
      <c r="O14" s="695"/>
      <c r="P14" s="296"/>
      <c r="Q14" s="246"/>
      <c r="R14" s="246"/>
      <c r="S14" s="705"/>
      <c r="T14" s="287"/>
      <c r="U14" s="699"/>
      <c r="V14" s="246"/>
      <c r="W14" s="246">
        <v>58</v>
      </c>
      <c r="X14" s="695"/>
      <c r="Y14" s="296"/>
      <c r="Z14" s="245"/>
      <c r="AA14" s="701" t="s">
        <v>328</v>
      </c>
      <c r="AB14" s="705"/>
      <c r="AC14" s="287"/>
      <c r="AD14" s="699"/>
      <c r="AE14" s="246"/>
      <c r="AF14" s="246">
        <v>7</v>
      </c>
      <c r="AG14" s="695"/>
      <c r="AH14" s="1514"/>
      <c r="AI14" s="1462"/>
      <c r="AJ14" s="1515"/>
      <c r="AK14" s="705"/>
      <c r="AL14" s="255"/>
      <c r="AM14" s="699"/>
      <c r="AN14" s="246" t="s">
        <v>1036</v>
      </c>
      <c r="AO14" s="806"/>
      <c r="AP14" s="813">
        <v>720</v>
      </c>
      <c r="AQ14" s="296"/>
      <c r="AR14" s="246"/>
      <c r="AS14" s="701"/>
      <c r="AT14" s="705" t="s">
        <v>1008</v>
      </c>
    </row>
    <row r="15" spans="1:46" ht="48" customHeight="1" x14ac:dyDescent="0.45">
      <c r="A15" s="1351">
        <v>45695</v>
      </c>
      <c r="B15" s="692">
        <v>1</v>
      </c>
      <c r="C15" s="693"/>
      <c r="D15" s="727"/>
      <c r="E15" s="306">
        <v>23</v>
      </c>
      <c r="F15" s="739"/>
      <c r="G15" s="731"/>
      <c r="H15" s="723"/>
      <c r="I15" s="697" t="s">
        <v>328</v>
      </c>
      <c r="J15" s="739"/>
      <c r="K15" s="287"/>
      <c r="L15" s="765"/>
      <c r="M15" s="306"/>
      <c r="N15" s="306"/>
      <c r="O15" s="728"/>
      <c r="P15" s="766"/>
      <c r="Q15" s="723"/>
      <c r="R15" s="682"/>
      <c r="S15" s="705"/>
      <c r="T15" s="287"/>
      <c r="U15" s="699"/>
      <c r="V15" s="246"/>
      <c r="W15" s="246">
        <v>12</v>
      </c>
      <c r="X15" s="695"/>
      <c r="Y15" s="696"/>
      <c r="Z15" s="682"/>
      <c r="AA15" s="701" t="s">
        <v>328</v>
      </c>
      <c r="AB15" s="705"/>
      <c r="AC15" s="287"/>
      <c r="AD15" s="699"/>
      <c r="AE15" s="246"/>
      <c r="AF15" s="287"/>
      <c r="AG15" s="695"/>
      <c r="AH15" s="680"/>
      <c r="AI15" s="682"/>
      <c r="AJ15" s="245"/>
      <c r="AK15" s="705"/>
      <c r="AL15" s="255"/>
      <c r="AM15" s="699"/>
      <c r="AN15" s="246"/>
      <c r="AO15" s="814"/>
      <c r="AP15" s="813">
        <v>720</v>
      </c>
      <c r="AQ15" s="711"/>
      <c r="AR15" s="682"/>
      <c r="AS15" s="682"/>
      <c r="AT15" s="705" t="s">
        <v>1008</v>
      </c>
    </row>
    <row r="16" spans="1:46" ht="63" customHeight="1" x14ac:dyDescent="0.35">
      <c r="A16" s="1352"/>
      <c r="B16" s="692">
        <v>2</v>
      </c>
      <c r="C16" s="763"/>
      <c r="D16" s="785"/>
      <c r="E16" s="783">
        <v>22</v>
      </c>
      <c r="F16" s="774"/>
      <c r="G16" s="829"/>
      <c r="H16" s="776"/>
      <c r="I16" s="697" t="s">
        <v>328</v>
      </c>
      <c r="J16" s="835"/>
      <c r="K16" s="779"/>
      <c r="L16" s="780"/>
      <c r="M16" s="781"/>
      <c r="N16" s="781"/>
      <c r="O16" s="774"/>
      <c r="P16" s="775"/>
      <c r="Q16" s="782"/>
      <c r="R16" s="714"/>
      <c r="S16" s="705"/>
      <c r="T16" s="287"/>
      <c r="U16" s="699"/>
      <c r="V16" s="246"/>
      <c r="W16" s="246">
        <v>20</v>
      </c>
      <c r="X16" s="695"/>
      <c r="Y16" s="760"/>
      <c r="Z16" s="710"/>
      <c r="AA16" s="715" t="s">
        <v>328</v>
      </c>
      <c r="AB16" s="705"/>
      <c r="AC16" s="287"/>
      <c r="AD16" s="699"/>
      <c r="AE16" s="246"/>
      <c r="AF16" s="246">
        <v>34</v>
      </c>
      <c r="AG16" s="695"/>
      <c r="AH16" s="716"/>
      <c r="AI16" s="251"/>
      <c r="AJ16" s="246" t="s">
        <v>1042</v>
      </c>
      <c r="AK16" s="701"/>
      <c r="AL16" s="705"/>
      <c r="AM16" s="699"/>
      <c r="AN16" s="246"/>
      <c r="AO16" s="246"/>
      <c r="AP16" s="695">
        <v>142</v>
      </c>
      <c r="AQ16" s="819"/>
      <c r="AR16" s="710"/>
      <c r="AS16" s="714"/>
      <c r="AT16" s="705" t="s">
        <v>1008</v>
      </c>
    </row>
    <row r="17" spans="1:46" ht="66" customHeight="1" x14ac:dyDescent="0.45">
      <c r="A17" s="1351">
        <v>45696</v>
      </c>
      <c r="B17" s="717">
        <v>1</v>
      </c>
      <c r="C17" s="693"/>
      <c r="D17" s="786"/>
      <c r="E17" s="784">
        <v>12</v>
      </c>
      <c r="F17" s="768"/>
      <c r="G17" s="769"/>
      <c r="H17" s="770"/>
      <c r="I17" s="771" t="s">
        <v>328</v>
      </c>
      <c r="J17" s="772"/>
      <c r="K17" s="287"/>
      <c r="L17" s="773"/>
      <c r="M17" s="226"/>
      <c r="N17" s="226"/>
      <c r="O17" s="768"/>
      <c r="P17" s="769"/>
      <c r="Q17" s="770"/>
      <c r="R17" s="682"/>
      <c r="S17" s="705"/>
      <c r="T17" s="287"/>
      <c r="U17" s="699"/>
      <c r="V17" s="246"/>
      <c r="W17" s="246">
        <v>15</v>
      </c>
      <c r="X17" s="695"/>
      <c r="Y17" s="696"/>
      <c r="Z17" s="681"/>
      <c r="AA17" s="715" t="s">
        <v>815</v>
      </c>
      <c r="AB17" s="705"/>
      <c r="AC17" s="287"/>
      <c r="AD17" s="699">
        <v>15</v>
      </c>
      <c r="AE17" s="246"/>
      <c r="AF17" s="246"/>
      <c r="AG17" s="695"/>
      <c r="AH17" s="680" t="s">
        <v>743</v>
      </c>
      <c r="AI17" s="681"/>
      <c r="AJ17" s="682"/>
      <c r="AK17" s="705"/>
      <c r="AL17" s="255"/>
      <c r="AM17" s="699"/>
      <c r="AN17" s="246"/>
      <c r="AO17" s="806"/>
      <c r="AP17" s="820" t="s">
        <v>1043</v>
      </c>
      <c r="AQ17" s="715"/>
      <c r="AR17" s="682"/>
      <c r="AS17" s="701"/>
      <c r="AT17" s="705" t="s">
        <v>1008</v>
      </c>
    </row>
    <row r="18" spans="1:46" ht="49.5" customHeight="1" x14ac:dyDescent="0.45">
      <c r="A18" s="1352"/>
      <c r="B18" s="692">
        <v>2</v>
      </c>
      <c r="C18" s="693"/>
      <c r="D18" s="694"/>
      <c r="E18" s="694">
        <v>12</v>
      </c>
      <c r="F18" s="695"/>
      <c r="G18" s="696"/>
      <c r="H18" s="718"/>
      <c r="I18" s="771" t="s">
        <v>328</v>
      </c>
      <c r="J18" s="705"/>
      <c r="K18" s="287"/>
      <c r="L18" s="699"/>
      <c r="M18" s="246"/>
      <c r="N18" s="246"/>
      <c r="O18" s="695"/>
      <c r="P18" s="696"/>
      <c r="Q18" s="682"/>
      <c r="R18" s="697"/>
      <c r="S18" s="705"/>
      <c r="T18" s="287"/>
      <c r="U18" s="699"/>
      <c r="V18" s="246"/>
      <c r="W18" s="694">
        <v>12</v>
      </c>
      <c r="X18" s="695"/>
      <c r="Y18" s="696"/>
      <c r="Z18" s="682"/>
      <c r="AA18" s="701" t="s">
        <v>328</v>
      </c>
      <c r="AB18" s="705"/>
      <c r="AC18" s="287"/>
      <c r="AD18" s="699"/>
      <c r="AE18" s="246"/>
      <c r="AF18" s="246"/>
      <c r="AG18" s="695"/>
      <c r="AH18" s="696"/>
      <c r="AI18" s="682"/>
      <c r="AJ18" s="681"/>
      <c r="AK18" s="705"/>
      <c r="AL18" s="255"/>
      <c r="AM18" s="699"/>
      <c r="AN18" s="246"/>
      <c r="AO18" s="806"/>
      <c r="AP18" s="813">
        <v>38</v>
      </c>
      <c r="AQ18" s="828"/>
      <c r="AR18" s="710"/>
      <c r="AS18" s="830"/>
      <c r="AT18" s="705" t="s">
        <v>1008</v>
      </c>
    </row>
    <row r="19" spans="1:46" ht="38.25" customHeight="1" x14ac:dyDescent="0.45">
      <c r="A19" s="1351">
        <v>45697</v>
      </c>
      <c r="B19" s="692">
        <v>1</v>
      </c>
      <c r="C19" s="287"/>
      <c r="D19" s="694"/>
      <c r="E19" s="694"/>
      <c r="F19" s="695"/>
      <c r="G19" s="719"/>
      <c r="H19" s="246"/>
      <c r="I19" s="711"/>
      <c r="J19" s="705"/>
      <c r="K19" s="287"/>
      <c r="L19" s="699"/>
      <c r="M19" s="246"/>
      <c r="N19" s="246"/>
      <c r="O19" s="695"/>
      <c r="P19" s="699"/>
      <c r="Q19" s="246"/>
      <c r="R19" s="246"/>
      <c r="S19" s="705"/>
      <c r="T19" s="287"/>
      <c r="U19" s="699"/>
      <c r="V19" s="246"/>
      <c r="W19" s="246"/>
      <c r="X19" s="695"/>
      <c r="Y19" s="699"/>
      <c r="Z19" s="245"/>
      <c r="AA19" s="715"/>
      <c r="AB19" s="705"/>
      <c r="AC19" s="287"/>
      <c r="AD19" s="699"/>
      <c r="AE19" s="246"/>
      <c r="AF19" s="246"/>
      <c r="AG19" s="695"/>
      <c r="AH19" s="699"/>
      <c r="AI19" s="246"/>
      <c r="AJ19" s="701"/>
      <c r="AK19" s="705"/>
      <c r="AL19" s="255"/>
      <c r="AM19" s="699"/>
      <c r="AN19" s="246"/>
      <c r="AO19" s="246"/>
      <c r="AP19" s="695">
        <v>622</v>
      </c>
      <c r="AQ19" s="699"/>
      <c r="AR19" s="246"/>
      <c r="AS19" s="682"/>
      <c r="AT19" s="705" t="s">
        <v>1008</v>
      </c>
    </row>
    <row r="20" spans="1:46" ht="44.5" customHeight="1" x14ac:dyDescent="0.45">
      <c r="A20" s="1352"/>
      <c r="B20" s="692">
        <v>2</v>
      </c>
      <c r="C20" s="693">
        <v>103</v>
      </c>
      <c r="D20" s="694">
        <v>19</v>
      </c>
      <c r="E20" s="694"/>
      <c r="F20" s="695"/>
      <c r="G20" s="719" t="s">
        <v>1037</v>
      </c>
      <c r="H20" s="245" t="s">
        <v>276</v>
      </c>
      <c r="I20" s="711"/>
      <c r="J20" s="705"/>
      <c r="K20" s="287"/>
      <c r="L20" s="699"/>
      <c r="M20" s="246"/>
      <c r="N20" s="246"/>
      <c r="O20" s="695"/>
      <c r="P20" s="719"/>
      <c r="Q20" s="245"/>
      <c r="R20" s="697"/>
      <c r="S20" s="705"/>
      <c r="T20" s="287"/>
      <c r="U20" s="699"/>
      <c r="V20" s="246"/>
      <c r="W20" s="246"/>
      <c r="X20" s="695"/>
      <c r="Y20" s="719"/>
      <c r="Z20" s="245"/>
      <c r="AA20" s="682"/>
      <c r="AB20" s="705"/>
      <c r="AC20" s="287"/>
      <c r="AD20" s="699"/>
      <c r="AE20" s="246"/>
      <c r="AF20" s="246"/>
      <c r="AG20" s="695"/>
      <c r="AH20" s="719"/>
      <c r="AI20" s="245"/>
      <c r="AJ20" s="697"/>
      <c r="AK20" s="705"/>
      <c r="AL20" s="255"/>
      <c r="AM20" s="699"/>
      <c r="AN20" s="246"/>
      <c r="AO20" s="246"/>
      <c r="AP20" s="695">
        <v>31</v>
      </c>
      <c r="AQ20" s="719"/>
      <c r="AR20" s="245"/>
      <c r="AS20" s="697"/>
      <c r="AT20" s="705" t="s">
        <v>1008</v>
      </c>
    </row>
    <row r="21" spans="1:46" ht="39" customHeight="1" x14ac:dyDescent="0.45">
      <c r="A21" s="1351">
        <v>45698</v>
      </c>
      <c r="B21" s="692">
        <v>1</v>
      </c>
      <c r="C21" s="693"/>
      <c r="D21" s="694"/>
      <c r="E21" s="694"/>
      <c r="F21" s="695"/>
      <c r="G21" s="720"/>
      <c r="H21" s="681"/>
      <c r="I21" s="711"/>
      <c r="J21" s="721"/>
      <c r="K21" s="287"/>
      <c r="L21" s="699"/>
      <c r="M21" s="246"/>
      <c r="N21" s="246"/>
      <c r="O21" s="695"/>
      <c r="P21" s="699"/>
      <c r="Q21" s="245"/>
      <c r="R21" s="246"/>
      <c r="S21" s="721"/>
      <c r="T21" s="287"/>
      <c r="U21" s="699"/>
      <c r="V21" s="246"/>
      <c r="W21" s="246"/>
      <c r="X21" s="695"/>
      <c r="Y21" s="719"/>
      <c r="Z21" s="246"/>
      <c r="AA21" s="715"/>
      <c r="AB21" s="721"/>
      <c r="AC21" s="287"/>
      <c r="AD21" s="699"/>
      <c r="AE21" s="246"/>
      <c r="AF21" s="246"/>
      <c r="AG21" s="695"/>
      <c r="AH21" s="699"/>
      <c r="AI21" s="246"/>
      <c r="AJ21" s="701"/>
      <c r="AK21" s="721"/>
      <c r="AL21" s="255"/>
      <c r="AM21" s="699"/>
      <c r="AN21" s="246"/>
      <c r="AO21" s="246"/>
      <c r="AP21" s="695">
        <v>720</v>
      </c>
      <c r="AQ21" s="699"/>
      <c r="AR21" s="245"/>
      <c r="AS21" s="701"/>
      <c r="AT21" s="705" t="s">
        <v>1008</v>
      </c>
    </row>
    <row r="22" spans="1:46" ht="49.95" customHeight="1" x14ac:dyDescent="0.45">
      <c r="A22" s="1352"/>
      <c r="B22" s="692">
        <v>2</v>
      </c>
      <c r="C22" s="693">
        <v>720</v>
      </c>
      <c r="D22" s="694"/>
      <c r="E22" s="694"/>
      <c r="F22" s="695"/>
      <c r="G22" s="722" t="s">
        <v>1037</v>
      </c>
      <c r="H22" s="682"/>
      <c r="I22" s="697"/>
      <c r="J22" s="705"/>
      <c r="K22" s="287"/>
      <c r="L22" s="699"/>
      <c r="M22" s="246"/>
      <c r="N22" s="246"/>
      <c r="O22" s="695"/>
      <c r="P22" s="296"/>
      <c r="Q22" s="682"/>
      <c r="R22" s="246"/>
      <c r="S22" s="705"/>
      <c r="T22" s="287"/>
      <c r="U22" s="699"/>
      <c r="V22" s="246"/>
      <c r="W22" s="246">
        <v>30</v>
      </c>
      <c r="X22" s="695"/>
      <c r="Y22" s="719"/>
      <c r="Z22" s="682"/>
      <c r="AA22" s="701" t="s">
        <v>815</v>
      </c>
      <c r="AB22" s="705"/>
      <c r="AC22" s="287"/>
      <c r="AD22" s="699"/>
      <c r="AE22" s="246">
        <v>41</v>
      </c>
      <c r="AF22" s="246">
        <v>17</v>
      </c>
      <c r="AG22" s="695"/>
      <c r="AH22" s="699"/>
      <c r="AI22" s="246" t="s">
        <v>1044</v>
      </c>
      <c r="AJ22" s="794" t="s">
        <v>325</v>
      </c>
      <c r="AK22" s="797"/>
      <c r="AL22" s="255"/>
      <c r="AM22" s="699"/>
      <c r="AN22" s="246"/>
      <c r="AO22" s="246"/>
      <c r="AP22" s="695"/>
      <c r="AQ22" s="699"/>
      <c r="AR22" s="682"/>
      <c r="AS22" s="302"/>
      <c r="AT22" s="705"/>
    </row>
    <row r="23" spans="1:46" ht="47.5" customHeight="1" x14ac:dyDescent="0.45">
      <c r="A23" s="1351">
        <v>45699</v>
      </c>
      <c r="B23" s="717">
        <v>1</v>
      </c>
      <c r="C23" s="693">
        <v>720</v>
      </c>
      <c r="D23" s="694"/>
      <c r="E23" s="694"/>
      <c r="F23" s="695"/>
      <c r="G23" s="722" t="s">
        <v>1037</v>
      </c>
      <c r="H23" s="681"/>
      <c r="I23" s="711"/>
      <c r="J23" s="705"/>
      <c r="K23" s="287"/>
      <c r="L23" s="699"/>
      <c r="M23" s="246"/>
      <c r="N23" s="246"/>
      <c r="O23" s="695"/>
      <c r="P23" s="680"/>
      <c r="Q23" s="681"/>
      <c r="R23" s="682"/>
      <c r="S23" s="705"/>
      <c r="T23" s="287"/>
      <c r="U23" s="699"/>
      <c r="V23" s="246"/>
      <c r="W23" s="246">
        <v>18</v>
      </c>
      <c r="X23" s="695"/>
      <c r="Y23" s="719"/>
      <c r="Z23" s="697"/>
      <c r="AA23" s="715" t="s">
        <v>328</v>
      </c>
      <c r="AB23" s="705"/>
      <c r="AC23" s="287"/>
      <c r="AD23" s="699"/>
      <c r="AE23" s="246"/>
      <c r="AF23" s="251"/>
      <c r="AG23" s="695"/>
      <c r="AH23" s="699"/>
      <c r="AI23" s="681"/>
      <c r="AJ23" s="807"/>
      <c r="AK23" s="797"/>
      <c r="AL23" s="255"/>
      <c r="AM23" s="699"/>
      <c r="AN23" s="246"/>
      <c r="AO23" s="246">
        <v>10</v>
      </c>
      <c r="AP23" s="695"/>
      <c r="AQ23" s="246"/>
      <c r="AR23" s="681"/>
      <c r="AS23" s="707" t="s">
        <v>325</v>
      </c>
      <c r="AT23" s="705"/>
    </row>
    <row r="24" spans="1:46" ht="49.95" customHeight="1" x14ac:dyDescent="0.45">
      <c r="A24" s="1352"/>
      <c r="B24" s="692">
        <v>2</v>
      </c>
      <c r="C24" s="693">
        <v>720</v>
      </c>
      <c r="D24" s="694"/>
      <c r="E24" s="694"/>
      <c r="F24" s="695"/>
      <c r="G24" s="722" t="s">
        <v>1037</v>
      </c>
      <c r="H24" s="682"/>
      <c r="I24" s="711"/>
      <c r="J24" s="705"/>
      <c r="K24" s="287"/>
      <c r="L24" s="699"/>
      <c r="M24" s="246"/>
      <c r="N24" s="246"/>
      <c r="O24" s="695"/>
      <c r="P24" s="680"/>
      <c r="Q24" s="681"/>
      <c r="R24" s="682"/>
      <c r="S24" s="705"/>
      <c r="T24" s="762"/>
      <c r="U24" s="251"/>
      <c r="V24" s="761"/>
      <c r="W24" s="715" t="s">
        <v>1045</v>
      </c>
      <c r="X24" s="695"/>
      <c r="Y24" s="697"/>
      <c r="Z24" s="681"/>
      <c r="AA24" s="715" t="s">
        <v>328</v>
      </c>
      <c r="AB24" s="705"/>
      <c r="AC24" s="287"/>
      <c r="AD24" s="699"/>
      <c r="AE24" s="246"/>
      <c r="AF24" s="251"/>
      <c r="AG24" s="695"/>
      <c r="AH24" s="697"/>
      <c r="AI24" s="681"/>
      <c r="AJ24" s="682"/>
      <c r="AK24" s="705"/>
      <c r="AL24" s="255"/>
      <c r="AM24" s="699"/>
      <c r="AN24" s="246"/>
      <c r="AO24" s="246"/>
      <c r="AP24" s="695"/>
      <c r="AQ24" s="681"/>
      <c r="AR24" s="681"/>
      <c r="AS24" s="705"/>
      <c r="AT24" s="705"/>
    </row>
    <row r="25" spans="1:46" ht="53.5" customHeight="1" x14ac:dyDescent="0.45">
      <c r="A25" s="1351">
        <v>45700</v>
      </c>
      <c r="B25" s="692">
        <v>1</v>
      </c>
      <c r="C25" s="693"/>
      <c r="D25" s="694"/>
      <c r="E25" s="694">
        <v>702</v>
      </c>
      <c r="F25" s="695"/>
      <c r="G25" s="680"/>
      <c r="H25" s="681"/>
      <c r="I25" s="697" t="s">
        <v>239</v>
      </c>
      <c r="J25" s="705"/>
      <c r="K25" s="287"/>
      <c r="L25" s="699"/>
      <c r="M25" s="246"/>
      <c r="N25" s="246"/>
      <c r="O25" s="695"/>
      <c r="P25" s="699"/>
      <c r="Q25" s="681"/>
      <c r="R25" s="246"/>
      <c r="S25" s="705"/>
      <c r="T25" s="287"/>
      <c r="U25" s="699"/>
      <c r="V25" s="246"/>
      <c r="W25" s="246">
        <v>22</v>
      </c>
      <c r="X25" s="695"/>
      <c r="Y25" s="719"/>
      <c r="Z25" s="245"/>
      <c r="AA25" s="715" t="s">
        <v>328</v>
      </c>
      <c r="AB25" s="705"/>
      <c r="AC25" s="287"/>
      <c r="AD25" s="699"/>
      <c r="AE25" s="246"/>
      <c r="AF25" s="246"/>
      <c r="AG25" s="695"/>
      <c r="AH25" s="246"/>
      <c r="AI25" s="245"/>
      <c r="AJ25" s="682"/>
      <c r="AK25" s="705"/>
      <c r="AL25" s="255"/>
      <c r="AM25" s="699"/>
      <c r="AN25" s="246"/>
      <c r="AO25" s="246"/>
      <c r="AP25" s="695">
        <v>22</v>
      </c>
      <c r="AQ25" s="246"/>
      <c r="AR25" s="246"/>
      <c r="AS25" s="682"/>
      <c r="AT25" s="705" t="s">
        <v>1008</v>
      </c>
    </row>
    <row r="26" spans="1:46" ht="66.75" customHeight="1" x14ac:dyDescent="0.45">
      <c r="A26" s="1352"/>
      <c r="B26" s="692">
        <v>2</v>
      </c>
      <c r="C26" s="693">
        <v>165</v>
      </c>
      <c r="D26" s="694">
        <v>55</v>
      </c>
      <c r="E26" s="694"/>
      <c r="F26" s="695"/>
      <c r="G26" s="680" t="s">
        <v>1047</v>
      </c>
      <c r="H26" s="682" t="s">
        <v>1046</v>
      </c>
      <c r="I26" s="697"/>
      <c r="J26" s="705"/>
      <c r="K26" s="287"/>
      <c r="L26" s="699"/>
      <c r="M26" s="246"/>
      <c r="N26" s="246"/>
      <c r="O26" s="695"/>
      <c r="P26" s="680"/>
      <c r="Q26" s="682"/>
      <c r="R26" s="707"/>
      <c r="S26" s="705"/>
      <c r="T26" s="287"/>
      <c r="U26" s="699"/>
      <c r="V26" s="694"/>
      <c r="W26" s="246">
        <v>18</v>
      </c>
      <c r="X26" s="695"/>
      <c r="Y26" s="697"/>
      <c r="Z26" s="682"/>
      <c r="AA26" s="715" t="s">
        <v>328</v>
      </c>
      <c r="AB26" s="705"/>
      <c r="AC26" s="287"/>
      <c r="AD26" s="699"/>
      <c r="AE26" s="694"/>
      <c r="AF26" s="246">
        <v>14</v>
      </c>
      <c r="AG26" s="695"/>
      <c r="AH26" s="697"/>
      <c r="AI26" s="682"/>
      <c r="AJ26" s="682" t="s">
        <v>325</v>
      </c>
      <c r="AK26" s="705"/>
      <c r="AL26" s="255"/>
      <c r="AM26" s="699"/>
      <c r="AN26" s="694"/>
      <c r="AO26" s="246"/>
      <c r="AP26" s="695"/>
      <c r="AQ26" s="680"/>
      <c r="AR26" s="682"/>
      <c r="AS26" s="682"/>
      <c r="AT26" s="705"/>
    </row>
    <row r="27" spans="1:46" ht="49.95" customHeight="1" x14ac:dyDescent="0.45">
      <c r="A27" s="1351">
        <v>45701</v>
      </c>
      <c r="B27" s="717">
        <v>1</v>
      </c>
      <c r="C27" s="693"/>
      <c r="D27" s="694"/>
      <c r="E27" s="694"/>
      <c r="F27" s="695"/>
      <c r="G27" s="680"/>
      <c r="H27" s="681"/>
      <c r="I27" s="711"/>
      <c r="J27" s="705"/>
      <c r="K27" s="287"/>
      <c r="L27" s="699"/>
      <c r="M27" s="246"/>
      <c r="N27" s="246"/>
      <c r="O27" s="695"/>
      <c r="P27" s="680"/>
      <c r="Q27" s="681"/>
      <c r="R27" s="682"/>
      <c r="S27" s="705"/>
      <c r="T27" s="287"/>
      <c r="U27" s="699"/>
      <c r="V27" s="246"/>
      <c r="W27" s="246"/>
      <c r="X27" s="695"/>
      <c r="Y27" s="680"/>
      <c r="Z27" s="682"/>
      <c r="AA27" s="715"/>
      <c r="AB27" s="705"/>
      <c r="AC27" s="287"/>
      <c r="AD27" s="699"/>
      <c r="AE27" s="246"/>
      <c r="AF27" s="246"/>
      <c r="AG27" s="695"/>
      <c r="AH27" s="680"/>
      <c r="AI27" s="245"/>
      <c r="AJ27" s="682"/>
      <c r="AK27" s="705"/>
      <c r="AL27" s="255"/>
      <c r="AM27" s="699"/>
      <c r="AN27" s="246"/>
      <c r="AO27" s="246"/>
      <c r="AP27" s="695">
        <v>720</v>
      </c>
      <c r="AQ27" s="245"/>
      <c r="AR27" s="246"/>
      <c r="AS27" s="682"/>
      <c r="AT27" s="705" t="s">
        <v>1008</v>
      </c>
    </row>
    <row r="28" spans="1:46" ht="72" customHeight="1" x14ac:dyDescent="0.45">
      <c r="A28" s="1352"/>
      <c r="B28" s="692">
        <v>2</v>
      </c>
      <c r="C28" s="693"/>
      <c r="D28" s="694"/>
      <c r="E28" s="694"/>
      <c r="F28" s="695"/>
      <c r="G28" s="682"/>
      <c r="H28" s="682"/>
      <c r="I28" s="707"/>
      <c r="J28" s="705"/>
      <c r="K28" s="287"/>
      <c r="L28" s="699"/>
      <c r="M28" s="246"/>
      <c r="N28" s="246"/>
      <c r="O28" s="695"/>
      <c r="P28" s="682"/>
      <c r="Q28" s="682"/>
      <c r="R28" s="682"/>
      <c r="S28" s="705"/>
      <c r="T28" s="287"/>
      <c r="U28" s="699"/>
      <c r="V28" s="246"/>
      <c r="W28" s="287"/>
      <c r="X28" s="695"/>
      <c r="Y28" s="682"/>
      <c r="Z28" s="246"/>
      <c r="AA28" s="701"/>
      <c r="AB28" s="705"/>
      <c r="AC28" s="287"/>
      <c r="AD28" s="699"/>
      <c r="AE28" s="246"/>
      <c r="AF28" s="246"/>
      <c r="AG28" s="695"/>
      <c r="AH28" s="680"/>
      <c r="AI28" s="245"/>
      <c r="AJ28" s="701"/>
      <c r="AK28" s="705"/>
      <c r="AL28" s="255"/>
      <c r="AM28" s="699"/>
      <c r="AN28" s="246"/>
      <c r="AO28" s="246"/>
      <c r="AP28" s="695"/>
      <c r="AQ28" s="245"/>
      <c r="AR28" s="246"/>
      <c r="AS28" s="682"/>
      <c r="AT28" s="705"/>
    </row>
    <row r="29" spans="1:46" ht="66" customHeight="1" x14ac:dyDescent="0.45">
      <c r="A29" s="1351">
        <v>45702</v>
      </c>
      <c r="B29" s="692">
        <v>1</v>
      </c>
      <c r="C29" s="693"/>
      <c r="D29" s="694"/>
      <c r="E29" s="694"/>
      <c r="F29" s="695"/>
      <c r="G29" s="682"/>
      <c r="H29" s="681"/>
      <c r="I29" s="707"/>
      <c r="J29" s="705"/>
      <c r="K29" s="287"/>
      <c r="L29" s="699"/>
      <c r="M29" s="246"/>
      <c r="N29" s="246"/>
      <c r="O29" s="695"/>
      <c r="P29" s="680"/>
      <c r="Q29" s="682"/>
      <c r="R29" s="682"/>
      <c r="S29" s="705"/>
      <c r="T29" s="287"/>
      <c r="U29" s="699"/>
      <c r="V29" s="246"/>
      <c r="W29" s="246"/>
      <c r="X29" s="695"/>
      <c r="Y29" s="682"/>
      <c r="Z29" s="681"/>
      <c r="AA29" s="701"/>
      <c r="AB29" s="705"/>
      <c r="AC29" s="287"/>
      <c r="AD29" s="699"/>
      <c r="AE29" s="246"/>
      <c r="AF29" s="246"/>
      <c r="AG29" s="695"/>
      <c r="AH29" s="680"/>
      <c r="AI29" s="681"/>
      <c r="AJ29" s="246"/>
      <c r="AK29" s="705"/>
      <c r="AL29" s="255"/>
      <c r="AM29" s="699"/>
      <c r="AN29" s="246"/>
      <c r="AO29" s="246"/>
      <c r="AP29" s="695"/>
      <c r="AQ29" s="245"/>
      <c r="AR29" s="681"/>
      <c r="AS29" s="302"/>
      <c r="AT29" s="705"/>
    </row>
    <row r="30" spans="1:46" ht="39.65" customHeight="1" x14ac:dyDescent="0.45">
      <c r="A30" s="1352"/>
      <c r="B30" s="717">
        <v>2</v>
      </c>
      <c r="C30" s="693">
        <v>73</v>
      </c>
      <c r="D30" s="694"/>
      <c r="E30" s="694"/>
      <c r="F30" s="695"/>
      <c r="G30" s="682" t="s">
        <v>1048</v>
      </c>
      <c r="H30" s="681"/>
      <c r="I30" s="701"/>
      <c r="J30" s="705"/>
      <c r="K30" s="287"/>
      <c r="L30" s="699"/>
      <c r="M30" s="246"/>
      <c r="N30" s="246"/>
      <c r="O30" s="695"/>
      <c r="P30" s="680"/>
      <c r="Q30" s="682"/>
      <c r="R30" s="682"/>
      <c r="S30" s="705"/>
      <c r="T30" s="287"/>
      <c r="U30" s="699"/>
      <c r="V30" s="246"/>
      <c r="W30" s="246">
        <v>73</v>
      </c>
      <c r="X30" s="695"/>
      <c r="Y30" s="682"/>
      <c r="Z30" s="798"/>
      <c r="AA30" s="799" t="s">
        <v>1049</v>
      </c>
      <c r="AB30" s="705"/>
      <c r="AC30" s="287"/>
      <c r="AD30" s="699"/>
      <c r="AE30" s="246"/>
      <c r="AF30" s="246"/>
      <c r="AG30" s="695"/>
      <c r="AH30" s="680"/>
      <c r="AI30" s="682"/>
      <c r="AJ30" s="246"/>
      <c r="AK30" s="705"/>
      <c r="AL30" s="255"/>
      <c r="AM30" s="699"/>
      <c r="AN30" s="246"/>
      <c r="AO30" s="246"/>
      <c r="AP30" s="695">
        <v>271</v>
      </c>
      <c r="AQ30" s="296"/>
      <c r="AR30" s="681"/>
      <c r="AS30" s="302"/>
      <c r="AT30" s="704" t="s">
        <v>1008</v>
      </c>
    </row>
    <row r="31" spans="1:46" ht="39.65" customHeight="1" x14ac:dyDescent="0.45">
      <c r="A31" s="1351">
        <v>45703</v>
      </c>
      <c r="B31" s="692">
        <v>1</v>
      </c>
      <c r="C31" s="693"/>
      <c r="D31" s="694"/>
      <c r="E31" s="694"/>
      <c r="F31" s="695"/>
      <c r="G31" s="680"/>
      <c r="H31" s="794"/>
      <c r="I31" s="793"/>
      <c r="J31" s="705"/>
      <c r="K31" s="287"/>
      <c r="L31" s="699"/>
      <c r="M31" s="246"/>
      <c r="N31" s="246"/>
      <c r="O31" s="695"/>
      <c r="P31" s="251"/>
      <c r="Q31" s="246"/>
      <c r="R31" s="246"/>
      <c r="S31" s="705"/>
      <c r="T31" s="287"/>
      <c r="U31" s="699"/>
      <c r="V31" s="246"/>
      <c r="W31" s="246"/>
      <c r="X31" s="695"/>
      <c r="Y31" s="301"/>
      <c r="Z31" s="800"/>
      <c r="AA31" s="801"/>
      <c r="AB31" s="797"/>
      <c r="AC31" s="287"/>
      <c r="AD31" s="699"/>
      <c r="AE31" s="246"/>
      <c r="AF31" s="246"/>
      <c r="AG31" s="695"/>
      <c r="AH31" s="680"/>
      <c r="AI31" s="246"/>
      <c r="AJ31" s="246"/>
      <c r="AK31" s="705"/>
      <c r="AL31" s="255"/>
      <c r="AM31" s="699"/>
      <c r="AN31" s="246"/>
      <c r="AO31" s="246"/>
      <c r="AP31" s="695">
        <v>720</v>
      </c>
      <c r="AQ31" s="251"/>
      <c r="AR31" s="681"/>
      <c r="AS31" s="246"/>
      <c r="AT31" s="704" t="s">
        <v>1008</v>
      </c>
    </row>
    <row r="32" spans="1:46" ht="63" customHeight="1" x14ac:dyDescent="0.45">
      <c r="A32" s="1352"/>
      <c r="B32" s="692">
        <v>2</v>
      </c>
      <c r="C32" s="792"/>
      <c r="D32" s="787"/>
      <c r="E32" s="694">
        <v>50</v>
      </c>
      <c r="F32" s="787"/>
      <c r="G32" s="680"/>
      <c r="H32" s="794"/>
      <c r="I32" s="793" t="s">
        <v>331</v>
      </c>
      <c r="J32" s="705"/>
      <c r="K32" s="287"/>
      <c r="L32" s="699"/>
      <c r="M32" s="246"/>
      <c r="N32" s="246"/>
      <c r="O32" s="246"/>
      <c r="P32" s="251"/>
      <c r="Q32" s="794"/>
      <c r="R32" s="251"/>
      <c r="S32" s="705"/>
      <c r="T32" s="287"/>
      <c r="U32" s="699"/>
      <c r="V32" s="246"/>
      <c r="W32" s="694"/>
      <c r="X32" s="246"/>
      <c r="Y32" s="716"/>
      <c r="Z32" s="804"/>
      <c r="AA32" s="803"/>
      <c r="AB32" s="797"/>
      <c r="AC32" s="287"/>
      <c r="AD32" s="699"/>
      <c r="AE32" s="246"/>
      <c r="AF32" s="694"/>
      <c r="AG32" s="246"/>
      <c r="AH32" s="680"/>
      <c r="AI32" s="794"/>
      <c r="AJ32" s="793"/>
      <c r="AK32" s="705"/>
      <c r="AL32" s="255"/>
      <c r="AM32" s="699"/>
      <c r="AN32" s="246"/>
      <c r="AO32" s="246"/>
      <c r="AP32" s="695">
        <v>720</v>
      </c>
      <c r="AQ32" s="251"/>
      <c r="AR32" s="681"/>
      <c r="AS32" s="711"/>
      <c r="AT32" s="704" t="s">
        <v>1008</v>
      </c>
    </row>
    <row r="33" spans="1:46" ht="43.2" customHeight="1" x14ac:dyDescent="0.45">
      <c r="A33" s="1351">
        <v>45704</v>
      </c>
      <c r="B33" s="692">
        <v>1</v>
      </c>
      <c r="C33" s="693"/>
      <c r="D33" s="694"/>
      <c r="E33" s="694"/>
      <c r="F33" s="695"/>
      <c r="G33" s="680"/>
      <c r="H33" s="794"/>
      <c r="I33" s="793"/>
      <c r="J33" s="705"/>
      <c r="K33" s="287"/>
      <c r="L33" s="699"/>
      <c r="M33" s="246"/>
      <c r="N33" s="246"/>
      <c r="O33" s="695"/>
      <c r="P33" s="251"/>
      <c r="Q33" s="246"/>
      <c r="R33" s="246"/>
      <c r="S33" s="705"/>
      <c r="T33" s="287"/>
      <c r="U33" s="699"/>
      <c r="V33" s="246"/>
      <c r="W33" s="246"/>
      <c r="X33" s="695"/>
      <c r="Y33" s="251"/>
      <c r="Z33" s="226"/>
      <c r="AA33" s="803"/>
      <c r="AB33" s="705"/>
      <c r="AC33" s="287"/>
      <c r="AD33" s="699"/>
      <c r="AE33" s="246"/>
      <c r="AF33" s="246"/>
      <c r="AG33" s="695"/>
      <c r="AH33" s="251"/>
      <c r="AI33" s="805"/>
      <c r="AJ33" s="793"/>
      <c r="AK33" s="705"/>
      <c r="AL33" s="255"/>
      <c r="AM33" s="699"/>
      <c r="AN33" s="246"/>
      <c r="AO33" s="246"/>
      <c r="AP33" s="695">
        <v>720</v>
      </c>
      <c r="AQ33" s="251"/>
      <c r="AR33" s="805"/>
      <c r="AS33" s="251"/>
      <c r="AT33" s="704" t="s">
        <v>1008</v>
      </c>
    </row>
    <row r="34" spans="1:46" ht="67.95" customHeight="1" x14ac:dyDescent="0.45">
      <c r="A34" s="1352"/>
      <c r="B34" s="717">
        <v>2</v>
      </c>
      <c r="C34" s="694"/>
      <c r="D34" s="694"/>
      <c r="E34" s="694"/>
      <c r="F34" s="695"/>
      <c r="G34" s="696"/>
      <c r="H34" s="682"/>
      <c r="I34" s="701"/>
      <c r="J34" s="705"/>
      <c r="K34" s="287"/>
      <c r="L34" s="699"/>
      <c r="M34" s="246"/>
      <c r="N34" s="246"/>
      <c r="O34" s="695"/>
      <c r="P34" s="251"/>
      <c r="Q34" s="682"/>
      <c r="R34" s="246"/>
      <c r="S34" s="705"/>
      <c r="T34" s="287"/>
      <c r="U34" s="699"/>
      <c r="V34" s="246"/>
      <c r="W34" s="246">
        <v>10</v>
      </c>
      <c r="X34" s="695"/>
      <c r="Y34" s="245"/>
      <c r="Z34" s="245"/>
      <c r="AA34" s="803" t="s">
        <v>328</v>
      </c>
      <c r="AB34" s="705"/>
      <c r="AC34" s="287"/>
      <c r="AD34" s="699"/>
      <c r="AE34" s="246"/>
      <c r="AF34" s="246"/>
      <c r="AG34" s="695"/>
      <c r="AH34" s="251"/>
      <c r="AI34" s="246"/>
      <c r="AJ34" s="245"/>
      <c r="AK34" s="705"/>
      <c r="AL34" s="255"/>
      <c r="AM34" s="699"/>
      <c r="AN34" s="246"/>
      <c r="AO34" s="246"/>
      <c r="AP34" s="695">
        <v>35</v>
      </c>
      <c r="AQ34" s="251"/>
      <c r="AR34" s="805"/>
      <c r="AS34" s="682"/>
      <c r="AT34" s="704" t="s">
        <v>1008</v>
      </c>
    </row>
    <row r="35" spans="1:46" ht="51" customHeight="1" x14ac:dyDescent="0.45">
      <c r="A35" s="1351">
        <v>45705</v>
      </c>
      <c r="B35" s="692">
        <v>1</v>
      </c>
      <c r="C35" s="694"/>
      <c r="D35" s="694"/>
      <c r="E35" s="302"/>
      <c r="F35" s="695"/>
      <c r="G35" s="719"/>
      <c r="H35" s="251"/>
      <c r="I35" s="701"/>
      <c r="J35" s="705"/>
      <c r="K35" s="287"/>
      <c r="L35" s="699"/>
      <c r="M35" s="246"/>
      <c r="N35" s="246"/>
      <c r="O35" s="695"/>
      <c r="P35" s="719"/>
      <c r="Q35" s="682"/>
      <c r="R35" s="682"/>
      <c r="S35" s="705"/>
      <c r="T35" s="287"/>
      <c r="U35" s="699"/>
      <c r="V35" s="246"/>
      <c r="W35" s="302"/>
      <c r="X35" s="695"/>
      <c r="Y35" s="719"/>
      <c r="Z35" s="245"/>
      <c r="AA35" s="701"/>
      <c r="AB35" s="705"/>
      <c r="AC35" s="287"/>
      <c r="AD35" s="699"/>
      <c r="AE35" s="246"/>
      <c r="AF35" s="246"/>
      <c r="AG35" s="695"/>
      <c r="AH35" s="719"/>
      <c r="AI35" s="806"/>
      <c r="AJ35" s="711"/>
      <c r="AK35" s="705"/>
      <c r="AL35" s="255"/>
      <c r="AM35" s="699"/>
      <c r="AN35" s="246"/>
      <c r="AO35" s="246"/>
      <c r="AP35" s="695"/>
      <c r="AQ35" s="251"/>
      <c r="AR35" s="805"/>
      <c r="AS35" s="301"/>
      <c r="AT35" s="705"/>
    </row>
    <row r="36" spans="1:46" ht="46.95" customHeight="1" x14ac:dyDescent="0.45">
      <c r="A36" s="1352"/>
      <c r="B36" s="692">
        <v>2</v>
      </c>
      <c r="C36" s="302"/>
      <c r="D36" s="246"/>
      <c r="E36" s="302"/>
      <c r="F36" s="695"/>
      <c r="G36" s="707"/>
      <c r="H36" s="682"/>
      <c r="I36" s="707"/>
      <c r="J36" s="705"/>
      <c r="K36" s="287"/>
      <c r="L36" s="719"/>
      <c r="M36" s="246"/>
      <c r="N36" s="246"/>
      <c r="O36" s="695"/>
      <c r="P36" s="719"/>
      <c r="Q36" s="682"/>
      <c r="R36" s="245"/>
      <c r="S36" s="705"/>
      <c r="T36" s="287"/>
      <c r="U36" s="699"/>
      <c r="V36" s="246"/>
      <c r="W36" s="246">
        <v>27</v>
      </c>
      <c r="X36" s="695"/>
      <c r="Y36" s="719"/>
      <c r="Z36" s="682"/>
      <c r="AA36" s="701" t="s">
        <v>328</v>
      </c>
      <c r="AB36" s="705"/>
      <c r="AC36" s="287"/>
      <c r="AD36" s="699"/>
      <c r="AE36" s="246"/>
      <c r="AF36" s="302"/>
      <c r="AG36" s="695"/>
      <c r="AH36" s="719"/>
      <c r="AI36" s="805"/>
      <c r="AJ36" s="793"/>
      <c r="AK36" s="705"/>
      <c r="AL36" s="255"/>
      <c r="AM36" s="699"/>
      <c r="AN36" s="246"/>
      <c r="AO36" s="246"/>
      <c r="AP36" s="695">
        <v>612</v>
      </c>
      <c r="AQ36" s="251"/>
      <c r="AR36" s="805"/>
      <c r="AS36" s="296"/>
      <c r="AT36" s="705" t="s">
        <v>1008</v>
      </c>
    </row>
    <row r="37" spans="1:46" ht="59.5" customHeight="1" x14ac:dyDescent="0.45">
      <c r="A37" s="1351">
        <v>45706</v>
      </c>
      <c r="B37" s="717">
        <v>1</v>
      </c>
      <c r="C37" s="302"/>
      <c r="D37" s="694"/>
      <c r="E37" s="302">
        <v>15</v>
      </c>
      <c r="F37" s="695"/>
      <c r="G37" s="707"/>
      <c r="H37" s="296"/>
      <c r="I37" s="697" t="s">
        <v>808</v>
      </c>
      <c r="J37" s="705"/>
      <c r="K37" s="287"/>
      <c r="L37" s="699"/>
      <c r="M37" s="246"/>
      <c r="N37" s="246"/>
      <c r="O37" s="695"/>
      <c r="P37" s="251"/>
      <c r="Q37" s="682"/>
      <c r="R37" s="246"/>
      <c r="S37" s="705"/>
      <c r="T37" s="287"/>
      <c r="U37" s="699"/>
      <c r="V37" s="246"/>
      <c r="W37" s="246"/>
      <c r="X37" s="695"/>
      <c r="Y37" s="251"/>
      <c r="Z37" s="245"/>
      <c r="AA37" s="701"/>
      <c r="AB37" s="705"/>
      <c r="AC37" s="287"/>
      <c r="AD37" s="699"/>
      <c r="AE37" s="246"/>
      <c r="AF37" s="246"/>
      <c r="AG37" s="695"/>
      <c r="AH37" s="296"/>
      <c r="AI37" s="246"/>
      <c r="AJ37" s="701"/>
      <c r="AK37" s="705"/>
      <c r="AL37" s="255"/>
      <c r="AM37" s="699"/>
      <c r="AN37" s="246"/>
      <c r="AO37" s="246"/>
      <c r="AP37" s="695">
        <v>720</v>
      </c>
      <c r="AQ37" s="251"/>
      <c r="AR37" s="805"/>
      <c r="AS37" s="251"/>
      <c r="AT37" s="705" t="s">
        <v>1008</v>
      </c>
    </row>
    <row r="38" spans="1:46" ht="55.95" customHeight="1" x14ac:dyDescent="0.45">
      <c r="A38" s="1352"/>
      <c r="B38" s="692">
        <v>2</v>
      </c>
      <c r="C38" s="302"/>
      <c r="D38" s="694"/>
      <c r="E38" s="302">
        <v>30</v>
      </c>
      <c r="F38" s="695"/>
      <c r="G38" s="707"/>
      <c r="H38" s="296"/>
      <c r="I38" s="697" t="s">
        <v>808</v>
      </c>
      <c r="J38" s="705"/>
      <c r="K38" s="287"/>
      <c r="L38" s="699"/>
      <c r="M38" s="246"/>
      <c r="N38" s="246"/>
      <c r="O38" s="695"/>
      <c r="P38" s="296"/>
      <c r="Q38" s="296"/>
      <c r="R38" s="246"/>
      <c r="S38" s="705"/>
      <c r="T38" s="287"/>
      <c r="U38" s="699"/>
      <c r="V38" s="246"/>
      <c r="W38" s="246"/>
      <c r="X38" s="695"/>
      <c r="Y38" s="296"/>
      <c r="Z38" s="245"/>
      <c r="AA38" s="701"/>
      <c r="AB38" s="705"/>
      <c r="AC38" s="287"/>
      <c r="AD38" s="699"/>
      <c r="AE38" s="246"/>
      <c r="AF38" s="246"/>
      <c r="AG38" s="695"/>
      <c r="AH38" s="296"/>
      <c r="AI38" s="246"/>
      <c r="AJ38" s="701"/>
      <c r="AK38" s="705"/>
      <c r="AL38" s="255"/>
      <c r="AM38" s="699"/>
      <c r="AN38" s="246"/>
      <c r="AO38" s="246"/>
      <c r="AP38" s="695">
        <v>570</v>
      </c>
      <c r="AQ38" s="251"/>
      <c r="AR38" s="805"/>
      <c r="AS38" s="296"/>
      <c r="AT38" s="705" t="s">
        <v>1008</v>
      </c>
    </row>
    <row r="39" spans="1:46" ht="70.95" customHeight="1" x14ac:dyDescent="0.45">
      <c r="A39" s="1351">
        <v>45707</v>
      </c>
      <c r="B39" s="692">
        <v>1</v>
      </c>
      <c r="C39" s="302"/>
      <c r="D39" s="694"/>
      <c r="E39" s="694"/>
      <c r="F39" s="695"/>
      <c r="G39" s="707"/>
      <c r="H39" s="296"/>
      <c r="I39" s="697"/>
      <c r="J39" s="705"/>
      <c r="K39" s="287"/>
      <c r="L39" s="699">
        <v>40</v>
      </c>
      <c r="M39" s="246"/>
      <c r="N39" s="246"/>
      <c r="O39" s="695"/>
      <c r="P39" s="707" t="s">
        <v>1050</v>
      </c>
      <c r="Q39" s="682"/>
      <c r="R39" s="246"/>
      <c r="S39" s="705"/>
      <c r="T39" s="287"/>
      <c r="U39" s="699"/>
      <c r="V39" s="246"/>
      <c r="W39" s="246">
        <v>12</v>
      </c>
      <c r="X39" s="695"/>
      <c r="Y39" s="251"/>
      <c r="Z39" s="682"/>
      <c r="AA39" s="701" t="s">
        <v>328</v>
      </c>
      <c r="AB39" s="705"/>
      <c r="AC39" s="287"/>
      <c r="AD39" s="699"/>
      <c r="AE39" s="246"/>
      <c r="AF39" s="246"/>
      <c r="AG39" s="695"/>
      <c r="AH39" s="707"/>
      <c r="AI39" s="681"/>
      <c r="AJ39" s="701"/>
      <c r="AK39" s="705"/>
      <c r="AL39" s="255"/>
      <c r="AM39" s="699"/>
      <c r="AN39" s="246"/>
      <c r="AO39" s="246"/>
      <c r="AP39" s="695"/>
      <c r="AQ39" s="251"/>
      <c r="AR39" s="805"/>
      <c r="AS39" s="793"/>
      <c r="AT39" s="705"/>
    </row>
    <row r="40" spans="1:46" ht="72.650000000000006" customHeight="1" x14ac:dyDescent="0.45">
      <c r="A40" s="1352"/>
      <c r="B40" s="692">
        <v>2</v>
      </c>
      <c r="C40" s="694"/>
      <c r="D40" s="694"/>
      <c r="E40" s="694"/>
      <c r="F40" s="695"/>
      <c r="G40" s="707"/>
      <c r="H40" s="296"/>
      <c r="I40" s="697"/>
      <c r="J40" s="705"/>
      <c r="K40" s="287"/>
      <c r="L40" s="699"/>
      <c r="M40" s="246"/>
      <c r="N40" s="246"/>
      <c r="O40" s="695"/>
      <c r="P40" s="680"/>
      <c r="Q40" s="681"/>
      <c r="R40" s="707"/>
      <c r="S40" s="705"/>
      <c r="T40" s="287"/>
      <c r="U40" s="699"/>
      <c r="V40" s="246"/>
      <c r="W40" s="246">
        <v>10</v>
      </c>
      <c r="X40" s="695"/>
      <c r="Y40" s="296"/>
      <c r="Z40" s="246"/>
      <c r="AA40" s="701" t="s">
        <v>808</v>
      </c>
      <c r="AB40" s="705"/>
      <c r="AC40" s="287"/>
      <c r="AD40" s="699"/>
      <c r="AE40" s="246"/>
      <c r="AF40" s="246"/>
      <c r="AG40" s="695"/>
      <c r="AH40" s="719"/>
      <c r="AI40" s="682"/>
      <c r="AJ40" s="701"/>
      <c r="AK40" s="705"/>
      <c r="AL40" s="255"/>
      <c r="AM40" s="719"/>
      <c r="AN40" s="246"/>
      <c r="AO40" s="246">
        <v>28</v>
      </c>
      <c r="AP40" s="695">
        <v>126</v>
      </c>
      <c r="AQ40" s="251"/>
      <c r="AR40" s="805"/>
      <c r="AS40" s="707" t="s">
        <v>328</v>
      </c>
      <c r="AT40" s="705" t="s">
        <v>1008</v>
      </c>
    </row>
    <row r="41" spans="1:46" ht="39.65" customHeight="1" x14ac:dyDescent="0.45">
      <c r="A41" s="1351">
        <v>45708</v>
      </c>
      <c r="B41" s="692">
        <v>1</v>
      </c>
      <c r="C41" s="693"/>
      <c r="D41" s="694"/>
      <c r="E41" s="694"/>
      <c r="F41" s="695"/>
      <c r="G41" s="680"/>
      <c r="H41" s="682"/>
      <c r="I41" s="697"/>
      <c r="J41" s="705"/>
      <c r="K41" s="287"/>
      <c r="L41" s="699"/>
      <c r="M41" s="246"/>
      <c r="N41" s="246"/>
      <c r="O41" s="695"/>
      <c r="P41" s="251"/>
      <c r="Q41" s="246"/>
      <c r="R41" s="707"/>
      <c r="S41" s="705"/>
      <c r="T41" s="287"/>
      <c r="U41" s="699"/>
      <c r="V41" s="246"/>
      <c r="W41" s="246">
        <v>15</v>
      </c>
      <c r="X41" s="695"/>
      <c r="Y41" s="251"/>
      <c r="Z41" s="245"/>
      <c r="AA41" s="701" t="s">
        <v>328</v>
      </c>
      <c r="AB41" s="705"/>
      <c r="AC41" s="287"/>
      <c r="AD41" s="699"/>
      <c r="AE41" s="246"/>
      <c r="AF41" s="246"/>
      <c r="AG41" s="695"/>
      <c r="AH41" s="719"/>
      <c r="AI41" s="245"/>
      <c r="AJ41" s="246"/>
      <c r="AK41" s="705"/>
      <c r="AL41" s="255"/>
      <c r="AM41" s="699"/>
      <c r="AN41" s="246"/>
      <c r="AO41" s="246"/>
      <c r="AP41" s="695">
        <v>720</v>
      </c>
      <c r="AQ41" s="251"/>
      <c r="AR41" s="805"/>
      <c r="AS41" s="707"/>
      <c r="AT41" s="705" t="s">
        <v>1008</v>
      </c>
    </row>
    <row r="42" spans="1:46" ht="52.95" customHeight="1" x14ac:dyDescent="0.45">
      <c r="A42" s="1352"/>
      <c r="B42" s="692">
        <v>2</v>
      </c>
      <c r="C42" s="694">
        <v>466</v>
      </c>
      <c r="D42" s="694"/>
      <c r="E42" s="694"/>
      <c r="F42" s="695"/>
      <c r="G42" s="680" t="s">
        <v>1051</v>
      </c>
      <c r="H42" s="682"/>
      <c r="I42" s="707"/>
      <c r="J42" s="705"/>
      <c r="K42" s="287"/>
      <c r="L42" s="699"/>
      <c r="M42" s="246">
        <v>222</v>
      </c>
      <c r="N42" s="246"/>
      <c r="O42" s="695"/>
      <c r="P42" s="251"/>
      <c r="Q42" s="245" t="s">
        <v>1052</v>
      </c>
      <c r="R42" s="246"/>
      <c r="S42" s="705"/>
      <c r="T42" s="287"/>
      <c r="U42" s="699"/>
      <c r="V42" s="246"/>
      <c r="W42" s="246"/>
      <c r="X42" s="695"/>
      <c r="Y42" s="296"/>
      <c r="Z42" s="246"/>
      <c r="AA42" s="701"/>
      <c r="AB42" s="705"/>
      <c r="AC42" s="287"/>
      <c r="AD42" s="699"/>
      <c r="AE42" s="246"/>
      <c r="AF42" s="246"/>
      <c r="AG42" s="695"/>
      <c r="AH42" s="251"/>
      <c r="AI42" s="245"/>
      <c r="AJ42" s="246"/>
      <c r="AK42" s="705"/>
      <c r="AL42" s="255"/>
      <c r="AM42" s="699"/>
      <c r="AN42" s="246"/>
      <c r="AO42" s="246">
        <v>20</v>
      </c>
      <c r="AP42" s="695">
        <v>233</v>
      </c>
      <c r="AQ42" s="251"/>
      <c r="AR42" s="805"/>
      <c r="AS42" s="246" t="s">
        <v>1053</v>
      </c>
      <c r="AT42" s="705" t="s">
        <v>1008</v>
      </c>
    </row>
    <row r="43" spans="1:46" ht="65.5" customHeight="1" x14ac:dyDescent="0.45">
      <c r="A43" s="1351">
        <v>45709</v>
      </c>
      <c r="B43" s="692">
        <v>1</v>
      </c>
      <c r="C43" s="694"/>
      <c r="D43" s="694"/>
      <c r="E43" s="694">
        <v>70</v>
      </c>
      <c r="F43" s="695"/>
      <c r="G43" s="681"/>
      <c r="H43" s="681"/>
      <c r="I43" s="707" t="s">
        <v>152</v>
      </c>
      <c r="J43" s="705"/>
      <c r="K43" s="287"/>
      <c r="L43" s="699"/>
      <c r="M43" s="246"/>
      <c r="N43" s="246"/>
      <c r="O43" s="695"/>
      <c r="P43" s="251"/>
      <c r="Q43" s="246"/>
      <c r="R43" s="246"/>
      <c r="S43" s="705"/>
      <c r="T43" s="287"/>
      <c r="U43" s="699"/>
      <c r="V43" s="246"/>
      <c r="W43" s="246">
        <v>67</v>
      </c>
      <c r="X43" s="695"/>
      <c r="Y43" s="251"/>
      <c r="Z43" s="246"/>
      <c r="AA43" s="701" t="s">
        <v>328</v>
      </c>
      <c r="AB43" s="705"/>
      <c r="AC43" s="287"/>
      <c r="AD43" s="699"/>
      <c r="AE43" s="246"/>
      <c r="AF43" s="246"/>
      <c r="AG43" s="695"/>
      <c r="AH43" s="245"/>
      <c r="AI43" s="682"/>
      <c r="AJ43" s="246"/>
      <c r="AK43" s="705"/>
      <c r="AL43" s="255"/>
      <c r="AM43" s="699"/>
      <c r="AN43" s="246"/>
      <c r="AO43" s="246"/>
      <c r="AP43" s="695">
        <v>684</v>
      </c>
      <c r="AQ43" s="245"/>
      <c r="AR43" s="805"/>
      <c r="AS43" s="246"/>
      <c r="AT43" s="705" t="s">
        <v>1008</v>
      </c>
    </row>
    <row r="44" spans="1:46" ht="69" customHeight="1" x14ac:dyDescent="0.45">
      <c r="A44" s="1352"/>
      <c r="B44" s="692">
        <v>2</v>
      </c>
      <c r="C44" s="694">
        <v>26</v>
      </c>
      <c r="D44" s="694"/>
      <c r="E44" s="694">
        <v>13</v>
      </c>
      <c r="F44" s="695"/>
      <c r="G44" s="681" t="s">
        <v>1054</v>
      </c>
      <c r="H44" s="296"/>
      <c r="I44" s="707" t="s">
        <v>152</v>
      </c>
      <c r="J44" s="705"/>
      <c r="K44" s="287"/>
      <c r="L44" s="699"/>
      <c r="M44" s="246"/>
      <c r="N44" s="246"/>
      <c r="O44" s="689"/>
      <c r="P44" s="296"/>
      <c r="Q44" s="246"/>
      <c r="R44" s="245"/>
      <c r="S44" s="705"/>
      <c r="T44" s="287"/>
      <c r="U44" s="699"/>
      <c r="V44" s="246"/>
      <c r="W44" s="694">
        <v>105</v>
      </c>
      <c r="X44" s="695"/>
      <c r="Y44" s="681"/>
      <c r="Z44" s="682"/>
      <c r="AA44" s="701" t="s">
        <v>328</v>
      </c>
      <c r="AB44" s="705"/>
      <c r="AC44" s="287"/>
      <c r="AD44" s="699"/>
      <c r="AE44" s="246"/>
      <c r="AF44" s="246">
        <v>21</v>
      </c>
      <c r="AG44" s="689"/>
      <c r="AH44" s="251"/>
      <c r="AI44" s="245"/>
      <c r="AJ44" s="701" t="s">
        <v>328</v>
      </c>
      <c r="AK44" s="705"/>
      <c r="AL44" s="255"/>
      <c r="AM44" s="699"/>
      <c r="AN44" s="246"/>
      <c r="AO44" s="246">
        <v>30</v>
      </c>
      <c r="AP44" s="689"/>
      <c r="AQ44" s="251"/>
      <c r="AR44" s="245"/>
      <c r="AS44" s="245" t="s">
        <v>328</v>
      </c>
      <c r="AT44" s="705"/>
    </row>
    <row r="45" spans="1:46" ht="69" customHeight="1" x14ac:dyDescent="0.45">
      <c r="A45" s="1351">
        <v>45710</v>
      </c>
      <c r="B45" s="692">
        <v>1</v>
      </c>
      <c r="C45" s="694"/>
      <c r="D45" s="694"/>
      <c r="E45" s="694">
        <v>10</v>
      </c>
      <c r="F45" s="695"/>
      <c r="G45" s="681"/>
      <c r="H45" s="681"/>
      <c r="I45" s="707" t="s">
        <v>152</v>
      </c>
      <c r="J45" s="705"/>
      <c r="K45" s="287"/>
      <c r="L45" s="699"/>
      <c r="M45" s="246"/>
      <c r="N45" s="246"/>
      <c r="O45" s="689"/>
      <c r="P45" s="251"/>
      <c r="Q45" s="245"/>
      <c r="R45" s="246"/>
      <c r="S45" s="705"/>
      <c r="T45" s="287"/>
      <c r="U45" s="699"/>
      <c r="V45" s="245"/>
      <c r="W45" s="246">
        <v>25</v>
      </c>
      <c r="X45" s="695"/>
      <c r="Y45" s="251"/>
      <c r="Z45" s="245"/>
      <c r="AA45" s="701" t="s">
        <v>328</v>
      </c>
      <c r="AB45" s="705"/>
      <c r="AC45" s="287"/>
      <c r="AD45" s="699"/>
      <c r="AE45" s="246"/>
      <c r="AF45" s="246">
        <v>20</v>
      </c>
      <c r="AG45" s="689"/>
      <c r="AH45" s="251"/>
      <c r="AI45" s="245"/>
      <c r="AJ45" s="701" t="s">
        <v>328</v>
      </c>
      <c r="AK45" s="705"/>
      <c r="AL45" s="255"/>
      <c r="AM45" s="699"/>
      <c r="AN45" s="246"/>
      <c r="AO45" s="246"/>
      <c r="AP45" s="689">
        <v>620</v>
      </c>
      <c r="AQ45" s="251"/>
      <c r="AR45" s="245"/>
      <c r="AS45" s="246"/>
      <c r="AT45" s="705" t="s">
        <v>1008</v>
      </c>
    </row>
    <row r="46" spans="1:46" ht="48.65" customHeight="1" x14ac:dyDescent="0.45">
      <c r="A46" s="1352"/>
      <c r="B46" s="692">
        <v>2</v>
      </c>
      <c r="C46" s="694"/>
      <c r="D46" s="694"/>
      <c r="E46" s="694">
        <v>15</v>
      </c>
      <c r="F46" s="695"/>
      <c r="G46" s="681"/>
      <c r="H46" s="681"/>
      <c r="I46" s="707" t="s">
        <v>152</v>
      </c>
      <c r="J46" s="705"/>
      <c r="K46" s="287"/>
      <c r="L46" s="699">
        <v>161</v>
      </c>
      <c r="M46" s="246"/>
      <c r="N46" s="246"/>
      <c r="O46" s="724"/>
      <c r="P46" s="251" t="s">
        <v>1055</v>
      </c>
      <c r="Q46" s="682"/>
      <c r="R46" s="245"/>
      <c r="S46" s="705"/>
      <c r="T46" s="287"/>
      <c r="U46" s="699"/>
      <c r="V46" s="246"/>
      <c r="W46" s="246"/>
      <c r="X46" s="689"/>
      <c r="Y46" s="246"/>
      <c r="Z46" s="246"/>
      <c r="AA46" s="245"/>
      <c r="AB46" s="705"/>
      <c r="AC46" s="287"/>
      <c r="AD46" s="699"/>
      <c r="AE46" s="246"/>
      <c r="AF46" s="246">
        <v>10</v>
      </c>
      <c r="AG46" s="689"/>
      <c r="AH46" s="296"/>
      <c r="AI46" s="245"/>
      <c r="AJ46" s="701" t="s">
        <v>328</v>
      </c>
      <c r="AK46" s="705"/>
      <c r="AL46" s="255"/>
      <c r="AM46" s="699"/>
      <c r="AN46" s="246"/>
      <c r="AO46" s="246"/>
      <c r="AP46" s="689">
        <v>720</v>
      </c>
      <c r="AQ46" s="251"/>
      <c r="AR46" s="682"/>
      <c r="AS46" s="245"/>
      <c r="AT46" s="705" t="s">
        <v>1008</v>
      </c>
    </row>
    <row r="47" spans="1:46" ht="58.95" customHeight="1" x14ac:dyDescent="0.45">
      <c r="A47" s="1351">
        <v>45711</v>
      </c>
      <c r="B47" s="692">
        <v>1</v>
      </c>
      <c r="C47" s="694"/>
      <c r="D47" s="694"/>
      <c r="E47" s="694"/>
      <c r="F47" s="695"/>
      <c r="G47" s="681"/>
      <c r="H47" s="682"/>
      <c r="I47" s="707"/>
      <c r="J47" s="698"/>
      <c r="K47" s="287"/>
      <c r="L47" s="699"/>
      <c r="M47" s="246"/>
      <c r="N47" s="246"/>
      <c r="O47" s="689"/>
      <c r="P47" s="251"/>
      <c r="Q47" s="246"/>
      <c r="R47" s="246"/>
      <c r="S47" s="705"/>
      <c r="T47" s="287"/>
      <c r="U47" s="699"/>
      <c r="V47" s="246"/>
      <c r="W47" s="246">
        <v>16</v>
      </c>
      <c r="X47" s="689"/>
      <c r="Y47" s="681"/>
      <c r="Z47" s="245"/>
      <c r="AA47" s="245" t="s">
        <v>328</v>
      </c>
      <c r="AB47" s="705"/>
      <c r="AC47" s="287"/>
      <c r="AD47" s="699"/>
      <c r="AE47" s="246"/>
      <c r="AF47" s="246">
        <v>18</v>
      </c>
      <c r="AG47" s="689"/>
      <c r="AH47" s="296"/>
      <c r="AI47" s="682"/>
      <c r="AJ47" s="707" t="s">
        <v>328</v>
      </c>
      <c r="AK47" s="689"/>
      <c r="AL47" s="255"/>
      <c r="AM47" s="699"/>
      <c r="AN47" s="246"/>
      <c r="AO47" s="246"/>
      <c r="AP47" s="689">
        <v>720</v>
      </c>
      <c r="AQ47" s="251"/>
      <c r="AR47" s="682"/>
      <c r="AS47" s="245"/>
      <c r="AT47" s="705" t="s">
        <v>1008</v>
      </c>
    </row>
    <row r="48" spans="1:46" ht="34.950000000000003" customHeight="1" x14ac:dyDescent="0.45">
      <c r="A48" s="1352"/>
      <c r="B48" s="692">
        <v>2</v>
      </c>
      <c r="C48" s="694"/>
      <c r="D48" s="694"/>
      <c r="E48" s="694">
        <v>12</v>
      </c>
      <c r="F48" s="695"/>
      <c r="G48" s="682"/>
      <c r="H48" s="682"/>
      <c r="I48" s="697" t="s">
        <v>328</v>
      </c>
      <c r="J48" s="705"/>
      <c r="K48" s="287"/>
      <c r="L48" s="699"/>
      <c r="M48" s="246"/>
      <c r="N48" s="246"/>
      <c r="O48" s="695"/>
      <c r="P48" s="682"/>
      <c r="Q48" s="682"/>
      <c r="R48" s="707"/>
      <c r="S48" s="705"/>
      <c r="T48" s="287"/>
      <c r="U48" s="699"/>
      <c r="V48" s="246"/>
      <c r="W48" s="246"/>
      <c r="X48" s="695"/>
      <c r="Y48" s="682"/>
      <c r="Z48" s="682"/>
      <c r="AA48" s="707"/>
      <c r="AB48" s="705"/>
      <c r="AC48" s="287"/>
      <c r="AD48" s="699"/>
      <c r="AE48" s="246"/>
      <c r="AF48" s="246">
        <v>25</v>
      </c>
      <c r="AG48" s="695"/>
      <c r="AH48" s="296"/>
      <c r="AI48" s="682"/>
      <c r="AJ48" s="707" t="s">
        <v>328</v>
      </c>
      <c r="AK48" s="705"/>
      <c r="AL48" s="255"/>
      <c r="AM48" s="699"/>
      <c r="AN48" s="806"/>
      <c r="AO48" s="251"/>
      <c r="AP48" s="689">
        <v>720</v>
      </c>
      <c r="AQ48" s="813"/>
      <c r="AR48" s="682"/>
      <c r="AS48" s="245"/>
      <c r="AT48" s="705" t="s">
        <v>1008</v>
      </c>
    </row>
    <row r="49" spans="1:46" ht="43.2" customHeight="1" x14ac:dyDescent="0.45">
      <c r="A49" s="1351">
        <v>45712</v>
      </c>
      <c r="B49" s="692">
        <v>1</v>
      </c>
      <c r="C49" s="694"/>
      <c r="D49" s="694"/>
      <c r="E49" s="694">
        <v>14</v>
      </c>
      <c r="F49" s="695"/>
      <c r="G49" s="681"/>
      <c r="H49" s="681"/>
      <c r="I49" s="697" t="s">
        <v>328</v>
      </c>
      <c r="J49" s="705"/>
      <c r="K49" s="287"/>
      <c r="L49" s="699"/>
      <c r="M49" s="246"/>
      <c r="N49" s="246">
        <v>355</v>
      </c>
      <c r="O49" s="695"/>
      <c r="P49" s="682"/>
      <c r="Q49" s="681"/>
      <c r="R49" s="707" t="s">
        <v>1058</v>
      </c>
      <c r="S49" s="705"/>
      <c r="T49" s="287"/>
      <c r="U49" s="699"/>
      <c r="V49" s="246"/>
      <c r="W49" s="246">
        <v>25</v>
      </c>
      <c r="X49" s="695"/>
      <c r="Y49" s="682"/>
      <c r="Z49" s="245"/>
      <c r="AA49" s="707" t="s">
        <v>328</v>
      </c>
      <c r="AB49" s="705"/>
      <c r="AC49" s="287"/>
      <c r="AD49" s="699"/>
      <c r="AE49" s="246"/>
      <c r="AF49" s="246">
        <v>20</v>
      </c>
      <c r="AG49" s="695"/>
      <c r="AH49" s="296"/>
      <c r="AI49" s="681"/>
      <c r="AJ49" s="707" t="s">
        <v>328</v>
      </c>
      <c r="AK49" s="705"/>
      <c r="AL49" s="255"/>
      <c r="AM49" s="699"/>
      <c r="AN49" s="806"/>
      <c r="AO49" s="251"/>
      <c r="AP49" s="689">
        <v>720</v>
      </c>
      <c r="AQ49" s="715"/>
      <c r="AR49" s="682"/>
      <c r="AS49" s="707"/>
      <c r="AT49" s="705" t="s">
        <v>1008</v>
      </c>
    </row>
    <row r="50" spans="1:46" ht="51.65" customHeight="1" x14ac:dyDescent="0.45">
      <c r="A50" s="1352"/>
      <c r="B50" s="692">
        <v>2</v>
      </c>
      <c r="C50" s="694"/>
      <c r="D50" s="694"/>
      <c r="E50" s="694">
        <v>15</v>
      </c>
      <c r="F50" s="695"/>
      <c r="G50" s="681"/>
      <c r="H50" s="681"/>
      <c r="I50" s="697" t="s">
        <v>328</v>
      </c>
      <c r="J50" s="705"/>
      <c r="K50" s="287"/>
      <c r="L50" s="699"/>
      <c r="M50" s="246"/>
      <c r="N50" s="246"/>
      <c r="O50" s="695"/>
      <c r="P50" s="681"/>
      <c r="Q50" s="681"/>
      <c r="R50" s="707"/>
      <c r="S50" s="705"/>
      <c r="T50" s="287"/>
      <c r="U50" s="699"/>
      <c r="V50" s="246"/>
      <c r="W50" s="246">
        <v>60</v>
      </c>
      <c r="X50" s="695"/>
      <c r="Y50" s="681"/>
      <c r="Z50" s="681"/>
      <c r="AA50" s="707" t="s">
        <v>328</v>
      </c>
      <c r="AB50" s="705"/>
      <c r="AC50" s="287"/>
      <c r="AD50" s="699"/>
      <c r="AE50" s="246"/>
      <c r="AF50" s="246">
        <v>10</v>
      </c>
      <c r="AG50" s="695"/>
      <c r="AH50" s="296"/>
      <c r="AI50" s="681"/>
      <c r="AJ50" s="707" t="s">
        <v>328</v>
      </c>
      <c r="AK50" s="705"/>
      <c r="AL50" s="255"/>
      <c r="AM50" s="699"/>
      <c r="AN50" s="806"/>
      <c r="AO50" s="246"/>
      <c r="AP50" s="689">
        <v>720</v>
      </c>
      <c r="AQ50" s="715"/>
      <c r="AR50" s="682"/>
      <c r="AS50" s="707"/>
      <c r="AT50" s="705" t="s">
        <v>1008</v>
      </c>
    </row>
    <row r="51" spans="1:46" ht="34.950000000000003" customHeight="1" x14ac:dyDescent="0.45">
      <c r="A51" s="1351">
        <v>45713</v>
      </c>
      <c r="B51" s="692">
        <v>1</v>
      </c>
      <c r="C51" s="694"/>
      <c r="D51" s="694"/>
      <c r="E51" s="694">
        <v>13</v>
      </c>
      <c r="F51" s="695"/>
      <c r="G51" s="681"/>
      <c r="H51" s="681"/>
      <c r="I51" s="697" t="s">
        <v>328</v>
      </c>
      <c r="J51" s="705"/>
      <c r="K51" s="287"/>
      <c r="L51" s="699"/>
      <c r="M51" s="246"/>
      <c r="N51" s="246"/>
      <c r="O51" s="695"/>
      <c r="P51" s="681"/>
      <c r="Q51" s="681"/>
      <c r="R51" s="707"/>
      <c r="S51" s="705"/>
      <c r="T51" s="287"/>
      <c r="U51" s="699"/>
      <c r="V51" s="246"/>
      <c r="W51" s="246">
        <v>23</v>
      </c>
      <c r="X51" s="695"/>
      <c r="Y51" s="681"/>
      <c r="Z51" s="681"/>
      <c r="AA51" s="707" t="s">
        <v>328</v>
      </c>
      <c r="AB51" s="705"/>
      <c r="AC51" s="287"/>
      <c r="AD51" s="699"/>
      <c r="AE51" s="246"/>
      <c r="AF51" s="246">
        <v>27</v>
      </c>
      <c r="AG51" s="695"/>
      <c r="AH51" s="681"/>
      <c r="AI51" s="681"/>
      <c r="AJ51" s="707" t="s">
        <v>328</v>
      </c>
      <c r="AK51" s="705"/>
      <c r="AL51" s="255"/>
      <c r="AM51" s="699"/>
      <c r="AN51" s="806"/>
      <c r="AO51" s="306"/>
      <c r="AP51" s="689">
        <v>720</v>
      </c>
      <c r="AQ51" s="715"/>
      <c r="AR51" s="682"/>
      <c r="AS51" s="707"/>
      <c r="AT51" s="705" t="s">
        <v>1008</v>
      </c>
    </row>
    <row r="52" spans="1:46" ht="49.2" customHeight="1" x14ac:dyDescent="0.45">
      <c r="A52" s="1352"/>
      <c r="B52" s="692">
        <v>2</v>
      </c>
      <c r="C52" s="694"/>
      <c r="D52" s="694"/>
      <c r="E52" s="694">
        <v>37</v>
      </c>
      <c r="F52" s="695"/>
      <c r="G52" s="682"/>
      <c r="H52" s="682"/>
      <c r="I52" s="697" t="s">
        <v>328</v>
      </c>
      <c r="J52" s="705"/>
      <c r="K52" s="287"/>
      <c r="L52" s="699"/>
      <c r="M52" s="246"/>
      <c r="N52" s="246"/>
      <c r="O52" s="695"/>
      <c r="P52" s="682"/>
      <c r="Q52" s="682"/>
      <c r="R52" s="707"/>
      <c r="S52" s="705"/>
      <c r="T52" s="287"/>
      <c r="U52" s="699"/>
      <c r="V52" s="246"/>
      <c r="W52" s="246"/>
      <c r="X52" s="695"/>
      <c r="Y52" s="682"/>
      <c r="Z52" s="682"/>
      <c r="AA52" s="707"/>
      <c r="AB52" s="705"/>
      <c r="AC52" s="287"/>
      <c r="AD52" s="699"/>
      <c r="AE52" s="246"/>
      <c r="AF52" s="246">
        <v>30</v>
      </c>
      <c r="AG52" s="695"/>
      <c r="AH52" s="682"/>
      <c r="AI52" s="682"/>
      <c r="AJ52" s="707" t="s">
        <v>328</v>
      </c>
      <c r="AK52" s="705"/>
      <c r="AL52" s="255"/>
      <c r="AM52" s="699"/>
      <c r="AN52" s="302"/>
      <c r="AO52" s="810"/>
      <c r="AP52" s="689">
        <v>720</v>
      </c>
      <c r="AQ52" s="251"/>
      <c r="AR52" s="682"/>
      <c r="AS52" s="707"/>
      <c r="AT52" s="705" t="s">
        <v>1008</v>
      </c>
    </row>
    <row r="53" spans="1:46" ht="48" customHeight="1" x14ac:dyDescent="0.45">
      <c r="A53" s="1351">
        <v>45714</v>
      </c>
      <c r="B53" s="692">
        <v>1</v>
      </c>
      <c r="C53" s="694"/>
      <c r="D53" s="694"/>
      <c r="E53" s="694">
        <v>41</v>
      </c>
      <c r="F53" s="695"/>
      <c r="G53" s="681"/>
      <c r="H53" s="681"/>
      <c r="I53" s="697" t="s">
        <v>328</v>
      </c>
      <c r="J53" s="705"/>
      <c r="K53" s="287"/>
      <c r="L53" s="699"/>
      <c r="M53" s="246"/>
      <c r="N53" s="246"/>
      <c r="O53" s="689"/>
      <c r="P53" s="296"/>
      <c r="Q53" s="682"/>
      <c r="R53" s="246"/>
      <c r="S53" s="705"/>
      <c r="T53" s="287"/>
      <c r="U53" s="699"/>
      <c r="V53" s="246"/>
      <c r="W53" s="246">
        <v>55</v>
      </c>
      <c r="X53" s="689"/>
      <c r="Y53" s="296"/>
      <c r="Z53" s="246"/>
      <c r="AA53" s="701" t="s">
        <v>328</v>
      </c>
      <c r="AB53" s="689"/>
      <c r="AC53" s="287"/>
      <c r="AD53" s="699"/>
      <c r="AE53" s="245"/>
      <c r="AF53" s="246"/>
      <c r="AG53" s="689"/>
      <c r="AH53" s="251"/>
      <c r="AI53" s="246"/>
      <c r="AJ53" s="245"/>
      <c r="AK53" s="689"/>
      <c r="AL53" s="255"/>
      <c r="AM53" s="699"/>
      <c r="AN53" s="708"/>
      <c r="AO53" s="812"/>
      <c r="AP53" s="689">
        <v>720</v>
      </c>
      <c r="AQ53" s="296"/>
      <c r="AR53" s="682"/>
      <c r="AS53" s="302"/>
      <c r="AT53" s="705" t="s">
        <v>1008</v>
      </c>
    </row>
    <row r="54" spans="1:46" ht="45.65" customHeight="1" x14ac:dyDescent="0.45">
      <c r="A54" s="1352"/>
      <c r="B54" s="725">
        <v>2</v>
      </c>
      <c r="C54" s="694"/>
      <c r="D54" s="694"/>
      <c r="E54" s="694">
        <v>50</v>
      </c>
      <c r="F54" s="695"/>
      <c r="G54" s="681"/>
      <c r="H54" s="682"/>
      <c r="I54" s="697" t="s">
        <v>328</v>
      </c>
      <c r="J54" s="705"/>
      <c r="K54" s="287"/>
      <c r="L54" s="699">
        <v>199</v>
      </c>
      <c r="M54" s="246"/>
      <c r="N54" s="246"/>
      <c r="O54" s="695"/>
      <c r="P54" s="681" t="s">
        <v>1057</v>
      </c>
      <c r="Q54" s="682"/>
      <c r="R54" s="681"/>
      <c r="S54" s="705"/>
      <c r="T54" s="287"/>
      <c r="U54" s="699"/>
      <c r="V54" s="246"/>
      <c r="W54" s="246">
        <v>47</v>
      </c>
      <c r="X54" s="695"/>
      <c r="Y54" s="682"/>
      <c r="Z54" s="682"/>
      <c r="AA54" s="701" t="s">
        <v>328</v>
      </c>
      <c r="AB54" s="705"/>
      <c r="AC54" s="287"/>
      <c r="AD54" s="699"/>
      <c r="AE54" s="246"/>
      <c r="AF54" s="246">
        <v>75</v>
      </c>
      <c r="AG54" s="689"/>
      <c r="AH54" s="251"/>
      <c r="AI54" s="682"/>
      <c r="AJ54" s="245" t="s">
        <v>328</v>
      </c>
      <c r="AK54" s="705"/>
      <c r="AL54" s="255"/>
      <c r="AM54" s="699"/>
      <c r="AN54" s="708"/>
      <c r="AO54" s="226"/>
      <c r="AP54" s="689">
        <v>720</v>
      </c>
      <c r="AQ54" s="296"/>
      <c r="AR54" s="682"/>
      <c r="AS54" s="707"/>
      <c r="AT54" s="705" t="s">
        <v>1008</v>
      </c>
    </row>
    <row r="55" spans="1:46" ht="39.65" customHeight="1" x14ac:dyDescent="0.45">
      <c r="A55" s="1351">
        <v>45715</v>
      </c>
      <c r="B55" s="692">
        <v>1</v>
      </c>
      <c r="C55" s="693"/>
      <c r="D55" s="694"/>
      <c r="E55" s="694">
        <v>25</v>
      </c>
      <c r="F55" s="695"/>
      <c r="G55" s="681"/>
      <c r="H55" s="681"/>
      <c r="I55" s="697" t="s">
        <v>328</v>
      </c>
      <c r="J55" s="689"/>
      <c r="K55" s="287"/>
      <c r="L55" s="699"/>
      <c r="M55" s="246"/>
      <c r="N55" s="246"/>
      <c r="O55" s="689"/>
      <c r="P55" s="251"/>
      <c r="Q55" s="682"/>
      <c r="R55" s="246"/>
      <c r="S55" s="689"/>
      <c r="T55" s="287"/>
      <c r="U55" s="699"/>
      <c r="V55" s="246"/>
      <c r="W55" s="246">
        <v>30</v>
      </c>
      <c r="X55" s="689"/>
      <c r="Y55" s="251"/>
      <c r="Z55" s="681"/>
      <c r="AA55" s="701" t="s">
        <v>328</v>
      </c>
      <c r="AB55" s="689"/>
      <c r="AC55" s="287"/>
      <c r="AD55" s="699"/>
      <c r="AE55" s="246"/>
      <c r="AF55" s="246">
        <v>28</v>
      </c>
      <c r="AG55" s="689"/>
      <c r="AH55" s="251"/>
      <c r="AI55" s="682"/>
      <c r="AJ55" s="245" t="s">
        <v>328</v>
      </c>
      <c r="AK55" s="689"/>
      <c r="AL55" s="255"/>
      <c r="AM55" s="699"/>
      <c r="AN55" s="708"/>
      <c r="AO55" s="246"/>
      <c r="AP55" s="689">
        <v>720</v>
      </c>
      <c r="AQ55" s="251"/>
      <c r="AR55" s="682"/>
      <c r="AS55" s="707"/>
      <c r="AT55" s="705" t="s">
        <v>1008</v>
      </c>
    </row>
    <row r="56" spans="1:46" ht="52.5" customHeight="1" x14ac:dyDescent="0.45">
      <c r="A56" s="1352"/>
      <c r="B56" s="725">
        <v>2</v>
      </c>
      <c r="C56" s="693"/>
      <c r="D56" s="694"/>
      <c r="E56" s="694">
        <v>36</v>
      </c>
      <c r="F56" s="695"/>
      <c r="G56" s="682"/>
      <c r="H56" s="682"/>
      <c r="I56" s="697" t="s">
        <v>328</v>
      </c>
      <c r="J56" s="705"/>
      <c r="K56" s="287"/>
      <c r="L56" s="699"/>
      <c r="M56" s="246"/>
      <c r="N56" s="246"/>
      <c r="O56" s="695"/>
      <c r="P56" s="682"/>
      <c r="Q56" s="681"/>
      <c r="R56" s="682"/>
      <c r="S56" s="705"/>
      <c r="T56" s="287"/>
      <c r="U56" s="699"/>
      <c r="V56" s="246"/>
      <c r="W56" s="246">
        <v>64</v>
      </c>
      <c r="X56" s="695"/>
      <c r="Y56" s="296"/>
      <c r="Z56" s="681"/>
      <c r="AA56" s="701" t="s">
        <v>328</v>
      </c>
      <c r="AB56" s="705"/>
      <c r="AC56" s="287"/>
      <c r="AD56" s="699">
        <v>40</v>
      </c>
      <c r="AE56" s="246"/>
      <c r="AF56" s="246"/>
      <c r="AG56" s="695"/>
      <c r="AH56" s="682" t="s">
        <v>1056</v>
      </c>
      <c r="AI56" s="681"/>
      <c r="AJ56" s="682"/>
      <c r="AK56" s="705"/>
      <c r="AL56" s="255"/>
      <c r="AM56" s="699"/>
      <c r="AN56" s="708"/>
      <c r="AO56" s="246"/>
      <c r="AP56" s="689">
        <v>720</v>
      </c>
      <c r="AQ56" s="682"/>
      <c r="AR56" s="682"/>
      <c r="AS56" s="246"/>
      <c r="AT56" s="705" t="s">
        <v>1008</v>
      </c>
    </row>
    <row r="57" spans="1:46" ht="52.2" customHeight="1" x14ac:dyDescent="0.45">
      <c r="A57" s="1351">
        <v>45716</v>
      </c>
      <c r="B57" s="692">
        <v>1</v>
      </c>
      <c r="C57" s="693"/>
      <c r="D57" s="694"/>
      <c r="E57" s="694"/>
      <c r="F57" s="695"/>
      <c r="G57" s="682"/>
      <c r="H57" s="682"/>
      <c r="I57" s="697"/>
      <c r="J57" s="705"/>
      <c r="K57" s="287"/>
      <c r="L57" s="699"/>
      <c r="M57" s="246"/>
      <c r="N57" s="246"/>
      <c r="O57" s="695"/>
      <c r="P57" s="682"/>
      <c r="Q57" s="681"/>
      <c r="R57" s="682"/>
      <c r="S57" s="705"/>
      <c r="T57" s="287"/>
      <c r="U57" s="699"/>
      <c r="V57" s="246"/>
      <c r="W57" s="246"/>
      <c r="X57" s="695"/>
      <c r="Y57" s="682"/>
      <c r="Z57" s="681"/>
      <c r="AA57" s="245"/>
      <c r="AB57" s="705"/>
      <c r="AC57" s="287"/>
      <c r="AD57" s="699"/>
      <c r="AE57" s="246"/>
      <c r="AF57" s="246"/>
      <c r="AG57" s="695"/>
      <c r="AH57" s="682"/>
      <c r="AI57" s="681"/>
      <c r="AJ57" s="682"/>
      <c r="AK57" s="705"/>
      <c r="AL57" s="255"/>
      <c r="AM57" s="699"/>
      <c r="AN57" s="708"/>
      <c r="AO57" s="246"/>
      <c r="AP57" s="689">
        <v>720</v>
      </c>
      <c r="AQ57" s="682"/>
      <c r="AR57" s="682"/>
      <c r="AS57" s="246"/>
      <c r="AT57" s="705" t="s">
        <v>1008</v>
      </c>
    </row>
    <row r="58" spans="1:46" ht="45" customHeight="1" x14ac:dyDescent="0.45">
      <c r="A58" s="1352"/>
      <c r="B58" s="725">
        <v>2</v>
      </c>
      <c r="C58" s="693"/>
      <c r="D58" s="694"/>
      <c r="E58" s="694">
        <v>45</v>
      </c>
      <c r="F58" s="695"/>
      <c r="G58" s="682"/>
      <c r="H58" s="682"/>
      <c r="I58" s="697" t="s">
        <v>328</v>
      </c>
      <c r="J58" s="705"/>
      <c r="K58" s="287"/>
      <c r="L58" s="699"/>
      <c r="M58" s="246"/>
      <c r="N58" s="246"/>
      <c r="O58" s="695"/>
      <c r="P58" s="682"/>
      <c r="Q58" s="681"/>
      <c r="R58" s="682"/>
      <c r="S58" s="705"/>
      <c r="T58" s="287"/>
      <c r="U58" s="699"/>
      <c r="V58" s="246"/>
      <c r="W58" s="246">
        <v>51</v>
      </c>
      <c r="X58" s="695"/>
      <c r="Y58" s="682"/>
      <c r="Z58" s="681"/>
      <c r="AA58" s="245" t="s">
        <v>328</v>
      </c>
      <c r="AB58" s="705"/>
      <c r="AC58" s="287"/>
      <c r="AD58" s="699"/>
      <c r="AE58" s="246"/>
      <c r="AF58" s="246">
        <v>22</v>
      </c>
      <c r="AG58" s="695"/>
      <c r="AH58" s="682"/>
      <c r="AI58" s="681"/>
      <c r="AJ58" s="245" t="s">
        <v>328</v>
      </c>
      <c r="AK58" s="705"/>
      <c r="AL58" s="255"/>
      <c r="AM58" s="699"/>
      <c r="AN58" s="246"/>
      <c r="AO58" s="246"/>
      <c r="AP58" s="689">
        <v>720</v>
      </c>
      <c r="AQ58" s="682"/>
      <c r="AR58" s="681"/>
      <c r="AS58" s="246"/>
      <c r="AT58" s="705" t="s">
        <v>1008</v>
      </c>
    </row>
    <row r="59" spans="1:46" ht="18" x14ac:dyDescent="0.45">
      <c r="A59" s="255" t="s">
        <v>225</v>
      </c>
      <c r="B59" s="354"/>
      <c r="C59" s="757">
        <f>SUM(C3:C58)</f>
        <v>3972</v>
      </c>
      <c r="D59" s="354">
        <f>SUM(D3:D58)</f>
        <v>272</v>
      </c>
      <c r="E59" s="757">
        <f>SUM(E3:E58)</f>
        <v>2038</v>
      </c>
      <c r="F59" s="354">
        <f>SUM(F3:F58)</f>
        <v>0</v>
      </c>
      <c r="G59" s="255"/>
      <c r="H59" s="255"/>
      <c r="I59" s="255"/>
      <c r="J59" s="255"/>
      <c r="K59" s="255"/>
      <c r="L59" s="354">
        <f>SUM(L3:L58)</f>
        <v>1193</v>
      </c>
      <c r="M59" s="354">
        <f>SUM(M3:M58)</f>
        <v>379</v>
      </c>
      <c r="N59" s="354">
        <f>SUM(N3:N58)</f>
        <v>355</v>
      </c>
      <c r="O59" s="354">
        <f>SUM(O3:O58)</f>
        <v>0</v>
      </c>
      <c r="P59" s="255"/>
      <c r="Q59" s="255"/>
      <c r="R59" s="255"/>
      <c r="S59" s="255"/>
      <c r="T59" s="255"/>
      <c r="U59" s="354">
        <f>SUM(U3:U58)</f>
        <v>0</v>
      </c>
      <c r="V59" s="354">
        <f>SUM(V3:V58)</f>
        <v>0</v>
      </c>
      <c r="W59" s="354">
        <f>SUM(W3:W58)</f>
        <v>1106</v>
      </c>
      <c r="X59" s="354">
        <f>SUM(X3:X58)</f>
        <v>0</v>
      </c>
      <c r="Y59" s="255"/>
      <c r="Z59" s="255"/>
      <c r="AA59" s="255"/>
      <c r="AB59" s="255"/>
      <c r="AC59" s="255"/>
      <c r="AD59" s="354">
        <f>SUM(AD3:AD58)</f>
        <v>55</v>
      </c>
      <c r="AE59" s="354">
        <f>SUM(AE3:AE58)</f>
        <v>41</v>
      </c>
      <c r="AF59" s="354">
        <f>SUM(AF3:AF58)</f>
        <v>526</v>
      </c>
      <c r="AG59" s="354">
        <f>SUM(AG3:AG58)</f>
        <v>0</v>
      </c>
      <c r="AH59" s="255"/>
      <c r="AI59" s="255"/>
      <c r="AJ59" s="255"/>
      <c r="AK59" s="255"/>
      <c r="AL59" s="255"/>
      <c r="AM59" s="354">
        <f>SUM(AM3:AM58)</f>
        <v>0</v>
      </c>
      <c r="AN59" s="354">
        <f>SUM(AN3:AN58)</f>
        <v>0</v>
      </c>
      <c r="AO59" s="354">
        <f>SUM(AO3:AO58)</f>
        <v>107</v>
      </c>
      <c r="AP59" s="354">
        <f>SUM(AP3:AP58)</f>
        <v>23202</v>
      </c>
      <c r="AQ59" s="255"/>
      <c r="AR59" s="255"/>
      <c r="AS59" s="255"/>
      <c r="AT59" s="255"/>
    </row>
    <row r="67" spans="2:10" ht="14.6" thickBot="1" x14ac:dyDescent="0.4"/>
    <row r="68" spans="2:10" ht="18.45" thickBot="1" x14ac:dyDescent="0.5">
      <c r="B68" s="354"/>
      <c r="C68" s="1349" t="s">
        <v>199</v>
      </c>
      <c r="D68" s="1350"/>
      <c r="E68" s="1347" t="s">
        <v>200</v>
      </c>
      <c r="F68" s="1348"/>
      <c r="G68" s="1349" t="s">
        <v>201</v>
      </c>
      <c r="H68" s="1350"/>
      <c r="I68" s="1349" t="s">
        <v>204</v>
      </c>
      <c r="J68" s="1350"/>
    </row>
    <row r="69" spans="2:10" ht="18.45" thickBot="1" x14ac:dyDescent="0.5">
      <c r="B69" s="354"/>
      <c r="C69" s="552" t="s">
        <v>222</v>
      </c>
      <c r="D69" s="553" t="s">
        <v>223</v>
      </c>
      <c r="E69" s="554" t="s">
        <v>222</v>
      </c>
      <c r="F69" s="555" t="s">
        <v>223</v>
      </c>
      <c r="G69" s="552" t="s">
        <v>222</v>
      </c>
      <c r="H69" s="553" t="s">
        <v>223</v>
      </c>
      <c r="I69" s="552" t="s">
        <v>222</v>
      </c>
      <c r="J69" s="553" t="s">
        <v>223</v>
      </c>
    </row>
    <row r="70" spans="2:10" ht="18" x14ac:dyDescent="0.4">
      <c r="B70" s="541" t="s">
        <v>218</v>
      </c>
      <c r="C70" s="542">
        <f>C59</f>
        <v>3972</v>
      </c>
      <c r="D70" s="543">
        <f>C70/60</f>
        <v>66.2</v>
      </c>
      <c r="E70" s="542">
        <f>D59</f>
        <v>272</v>
      </c>
      <c r="F70" s="544">
        <f>E70/60</f>
        <v>4.5333333333333332</v>
      </c>
      <c r="G70" s="542">
        <f>E59</f>
        <v>2038</v>
      </c>
      <c r="H70" s="543">
        <f>G70/60</f>
        <v>33.966666666666669</v>
      </c>
      <c r="I70" s="542">
        <f>F59</f>
        <v>0</v>
      </c>
      <c r="J70" s="543">
        <f>I70/60</f>
        <v>0</v>
      </c>
    </row>
    <row r="71" spans="2:10" ht="18" x14ac:dyDescent="0.4">
      <c r="B71" s="541" t="s">
        <v>219</v>
      </c>
      <c r="C71" s="545">
        <f>L59</f>
        <v>1193</v>
      </c>
      <c r="D71" s="546">
        <f>C71/60</f>
        <v>19.883333333333333</v>
      </c>
      <c r="E71" s="545">
        <f>M59</f>
        <v>379</v>
      </c>
      <c r="F71" s="547">
        <f>E71/60</f>
        <v>6.3166666666666664</v>
      </c>
      <c r="G71" s="545">
        <f>N59</f>
        <v>355</v>
      </c>
      <c r="H71" s="546">
        <f>G71/60</f>
        <v>5.916666666666667</v>
      </c>
      <c r="I71" s="545">
        <f>O59</f>
        <v>0</v>
      </c>
      <c r="J71" s="546">
        <f>I71/60</f>
        <v>0</v>
      </c>
    </row>
    <row r="72" spans="2:10" ht="18" x14ac:dyDescent="0.4">
      <c r="B72" s="541" t="s">
        <v>220</v>
      </c>
      <c r="C72" s="545">
        <f>U59</f>
        <v>0</v>
      </c>
      <c r="D72" s="546">
        <f>C72/60</f>
        <v>0</v>
      </c>
      <c r="E72" s="545">
        <f>V59</f>
        <v>0</v>
      </c>
      <c r="F72" s="547">
        <f>E72/60</f>
        <v>0</v>
      </c>
      <c r="G72" s="545">
        <f>W59</f>
        <v>1106</v>
      </c>
      <c r="H72" s="546">
        <f>G72/60</f>
        <v>18.433333333333334</v>
      </c>
      <c r="I72" s="545">
        <f>X59</f>
        <v>0</v>
      </c>
      <c r="J72" s="546">
        <f>I72/60</f>
        <v>0</v>
      </c>
    </row>
    <row r="73" spans="2:10" ht="18.45" thickBot="1" x14ac:dyDescent="0.45">
      <c r="B73" s="541" t="s">
        <v>221</v>
      </c>
      <c r="C73" s="548">
        <f>AD59</f>
        <v>55</v>
      </c>
      <c r="D73" s="549">
        <f>C73/60</f>
        <v>0.91666666666666663</v>
      </c>
      <c r="E73" s="548">
        <f>AE59</f>
        <v>41</v>
      </c>
      <c r="F73" s="550">
        <f>E73/60</f>
        <v>0.68333333333333335</v>
      </c>
      <c r="G73" s="548">
        <f>AF59</f>
        <v>526</v>
      </c>
      <c r="H73" s="549">
        <f>G73/60</f>
        <v>8.7666666666666675</v>
      </c>
      <c r="I73" s="548">
        <f>AG59</f>
        <v>0</v>
      </c>
      <c r="J73" s="549">
        <f>I73/60</f>
        <v>0</v>
      </c>
    </row>
    <row r="74" spans="2:10" ht="18.45" thickBot="1" x14ac:dyDescent="0.45">
      <c r="B74" s="541" t="s">
        <v>488</v>
      </c>
      <c r="C74" s="643">
        <f>AM59</f>
        <v>0</v>
      </c>
      <c r="D74" s="642">
        <f>C74/60</f>
        <v>0</v>
      </c>
      <c r="E74" s="643">
        <f>AN59</f>
        <v>0</v>
      </c>
      <c r="F74" s="644">
        <f>E74/60</f>
        <v>0</v>
      </c>
      <c r="G74" s="643">
        <f>AO59</f>
        <v>107</v>
      </c>
      <c r="H74" s="642">
        <f>G74/60</f>
        <v>1.7833333333333334</v>
      </c>
      <c r="I74" s="643">
        <f>AP59</f>
        <v>23202</v>
      </c>
      <c r="J74" s="642">
        <f>I74/60</f>
        <v>386.7</v>
      </c>
    </row>
    <row r="75" spans="2:10" ht="18.45" thickBot="1" x14ac:dyDescent="0.5">
      <c r="B75" s="354"/>
      <c r="C75" s="255"/>
      <c r="D75" s="255"/>
      <c r="E75" s="255"/>
      <c r="F75" s="255"/>
      <c r="G75" s="255"/>
      <c r="H75" s="255"/>
      <c r="I75" s="255"/>
      <c r="J75" s="255"/>
    </row>
    <row r="76" spans="2:10" ht="18.45" thickBot="1" x14ac:dyDescent="0.5">
      <c r="B76" s="551" t="s">
        <v>217</v>
      </c>
      <c r="C76" s="556"/>
      <c r="D76" s="557">
        <f>SUM(D70:D74)</f>
        <v>87.000000000000014</v>
      </c>
      <c r="E76" s="556"/>
      <c r="F76" s="557">
        <f>SUM(F70:F74)</f>
        <v>11.533333333333333</v>
      </c>
      <c r="G76" s="556"/>
      <c r="H76" s="557">
        <f>SUM(H70:H74)</f>
        <v>68.86666666666666</v>
      </c>
      <c r="I76" s="556"/>
      <c r="J76" s="558">
        <f>AVERAGE(J70:J74)</f>
        <v>77.34</v>
      </c>
    </row>
  </sheetData>
  <mergeCells count="43">
    <mergeCell ref="A7:A8"/>
    <mergeCell ref="A9:A10"/>
    <mergeCell ref="A11:A12"/>
    <mergeCell ref="A5:A6"/>
    <mergeCell ref="C1:F1"/>
    <mergeCell ref="AM1:AP1"/>
    <mergeCell ref="AQ1:AT1"/>
    <mergeCell ref="A3:A4"/>
    <mergeCell ref="U1:X1"/>
    <mergeCell ref="Y1:AB1"/>
    <mergeCell ref="G1:J1"/>
    <mergeCell ref="L1:O1"/>
    <mergeCell ref="P1:S1"/>
    <mergeCell ref="AD1:AG1"/>
    <mergeCell ref="AH1:AK1"/>
    <mergeCell ref="A13:A14"/>
    <mergeCell ref="AH14:AJ14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41:A42"/>
    <mergeCell ref="A43:A44"/>
    <mergeCell ref="A45:A46"/>
    <mergeCell ref="A47:A48"/>
    <mergeCell ref="A49:A50"/>
    <mergeCell ref="E68:F68"/>
    <mergeCell ref="G68:H68"/>
    <mergeCell ref="I68:J68"/>
    <mergeCell ref="A51:A52"/>
    <mergeCell ref="A53:A54"/>
    <mergeCell ref="A55:A56"/>
    <mergeCell ref="A57:A58"/>
    <mergeCell ref="C68:D68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T83"/>
  <sheetViews>
    <sheetView zoomScale="70" zoomScaleNormal="70" workbookViewId="0">
      <pane xSplit="3" ySplit="2" topLeftCell="V48" activePane="bottomRight" state="frozen"/>
      <selection pane="topRight" activeCell="D1" sqref="D1"/>
      <selection pane="bottomLeft" activeCell="A3" sqref="A3"/>
      <selection pane="bottomRight" activeCell="AT3" sqref="AT3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25.3046875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9.382812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6" style="423" bestFit="1" customWidth="1"/>
    <col min="17" max="17" width="42.15234375" style="423" bestFit="1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6.15234375" style="423" bestFit="1" customWidth="1"/>
    <col min="28" max="28" width="27" style="423" customWidth="1"/>
    <col min="29" max="33" width="10.69140625" style="423" customWidth="1"/>
    <col min="34" max="34" width="31.3046875" style="423" customWidth="1"/>
    <col min="35" max="35" width="23.304687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53515625" style="423" customWidth="1"/>
    <col min="45" max="45" width="31.152343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7" t="s">
        <v>199</v>
      </c>
      <c r="AR2" s="655" t="s">
        <v>200</v>
      </c>
      <c r="AS2" s="655" t="s">
        <v>201</v>
      </c>
      <c r="AT2" s="655" t="s">
        <v>204</v>
      </c>
    </row>
    <row r="3" spans="1:46" ht="78" customHeight="1" x14ac:dyDescent="0.45">
      <c r="A3" s="1351">
        <v>45717</v>
      </c>
      <c r="B3" s="676">
        <v>1</v>
      </c>
      <c r="C3" s="677"/>
      <c r="D3" s="678"/>
      <c r="E3" s="246">
        <v>20</v>
      </c>
      <c r="F3" s="679"/>
      <c r="G3" s="680"/>
      <c r="H3" s="681"/>
      <c r="I3" s="697" t="s">
        <v>328</v>
      </c>
      <c r="J3" s="683"/>
      <c r="K3" s="287"/>
      <c r="L3" s="684"/>
      <c r="M3" s="685"/>
      <c r="N3" s="685"/>
      <c r="O3" s="686"/>
      <c r="P3" s="687"/>
      <c r="Q3" s="688"/>
      <c r="R3" s="688"/>
      <c r="S3" s="686"/>
      <c r="T3" s="287"/>
      <c r="U3" s="684"/>
      <c r="V3" s="685"/>
      <c r="W3" s="246">
        <v>46</v>
      </c>
      <c r="X3" s="689"/>
      <c r="Y3" s="296"/>
      <c r="Z3" s="687"/>
      <c r="AA3" s="682" t="s">
        <v>328</v>
      </c>
      <c r="AB3" s="690"/>
      <c r="AC3" s="287"/>
      <c r="AD3" s="684"/>
      <c r="AE3" s="685"/>
      <c r="AF3" s="246">
        <v>21</v>
      </c>
      <c r="AG3" s="686"/>
      <c r="AH3" s="687"/>
      <c r="AI3" s="687"/>
      <c r="AJ3" s="245" t="s">
        <v>328</v>
      </c>
      <c r="AK3" s="686"/>
      <c r="AL3" s="255"/>
      <c r="AM3" s="684"/>
      <c r="AN3" s="685"/>
      <c r="AO3" s="246"/>
      <c r="AP3" s="686">
        <v>205</v>
      </c>
      <c r="AQ3" s="687"/>
      <c r="AR3" s="691"/>
      <c r="AS3" s="245"/>
      <c r="AT3" s="686" t="s">
        <v>1008</v>
      </c>
    </row>
    <row r="4" spans="1:46" ht="69.75" customHeight="1" x14ac:dyDescent="0.45">
      <c r="A4" s="1352"/>
      <c r="B4" s="692">
        <v>2</v>
      </c>
      <c r="C4" s="693"/>
      <c r="D4" s="694"/>
      <c r="E4" s="694">
        <v>12</v>
      </c>
      <c r="F4" s="695"/>
      <c r="G4" s="696"/>
      <c r="H4" s="681"/>
      <c r="I4" s="697" t="s">
        <v>152</v>
      </c>
      <c r="J4" s="698"/>
      <c r="K4" s="287"/>
      <c r="L4" s="699"/>
      <c r="M4" s="246"/>
      <c r="N4" s="246"/>
      <c r="O4" s="689"/>
      <c r="P4" s="251"/>
      <c r="Q4" s="681"/>
      <c r="R4" s="226"/>
      <c r="S4" s="689"/>
      <c r="T4" s="287"/>
      <c r="U4" s="699"/>
      <c r="V4" s="245"/>
      <c r="W4" s="246"/>
      <c r="X4" s="689"/>
      <c r="Y4" s="696"/>
      <c r="Z4" s="682"/>
      <c r="AA4" s="682"/>
      <c r="AB4" s="700"/>
      <c r="AC4" s="287"/>
      <c r="AD4" s="699"/>
      <c r="AE4" s="246"/>
      <c r="AF4" s="246"/>
      <c r="AG4" s="689"/>
      <c r="AH4" s="251"/>
      <c r="AI4" s="682"/>
      <c r="AJ4" s="246"/>
      <c r="AK4" s="689"/>
      <c r="AL4" s="255"/>
      <c r="AM4" s="699"/>
      <c r="AN4" s="246"/>
      <c r="AO4" s="246"/>
      <c r="AP4" s="689"/>
      <c r="AQ4" s="251"/>
      <c r="AR4" s="682"/>
      <c r="AS4" s="246"/>
      <c r="AT4" s="689"/>
    </row>
    <row r="5" spans="1:46" ht="60" customHeight="1" x14ac:dyDescent="0.45">
      <c r="A5" s="1351">
        <v>45718</v>
      </c>
      <c r="B5" s="692">
        <v>1</v>
      </c>
      <c r="C5" s="693"/>
      <c r="D5" s="694"/>
      <c r="E5" s="694">
        <v>30</v>
      </c>
      <c r="F5" s="695"/>
      <c r="G5" s="791"/>
      <c r="H5" s="711"/>
      <c r="I5" s="697" t="s">
        <v>1059</v>
      </c>
      <c r="J5" s="698"/>
      <c r="K5" s="287"/>
      <c r="L5" s="699"/>
      <c r="M5" s="246"/>
      <c r="N5" s="246"/>
      <c r="O5" s="689"/>
      <c r="P5" s="251"/>
      <c r="Q5" s="246"/>
      <c r="R5" s="246"/>
      <c r="S5" s="689"/>
      <c r="T5" s="287"/>
      <c r="U5" s="699"/>
      <c r="V5" s="246"/>
      <c r="W5" s="246"/>
      <c r="X5" s="689"/>
      <c r="Y5" s="296"/>
      <c r="Z5" s="681"/>
      <c r="AA5" s="701"/>
      <c r="AB5" s="702"/>
      <c r="AC5" s="287"/>
      <c r="AD5" s="699"/>
      <c r="AE5" s="246"/>
      <c r="AF5" s="246"/>
      <c r="AG5" s="689"/>
      <c r="AH5" s="251"/>
      <c r="AI5" s="246"/>
      <c r="AJ5" s="703"/>
      <c r="AK5" s="689"/>
      <c r="AL5" s="255"/>
      <c r="AM5" s="699"/>
      <c r="AN5" s="246"/>
      <c r="AO5" s="246"/>
      <c r="AP5" s="689"/>
      <c r="AQ5" s="251"/>
      <c r="AR5" s="306"/>
      <c r="AS5" s="245"/>
      <c r="AT5" s="704"/>
    </row>
    <row r="6" spans="1:46" ht="80.5" customHeight="1" x14ac:dyDescent="0.45">
      <c r="A6" s="1352"/>
      <c r="B6" s="692">
        <v>2</v>
      </c>
      <c r="C6" s="693"/>
      <c r="D6" s="694"/>
      <c r="E6" s="694">
        <v>56</v>
      </c>
      <c r="F6" s="695"/>
      <c r="G6" s="680"/>
      <c r="H6" s="682"/>
      <c r="I6" s="697" t="s">
        <v>328</v>
      </c>
      <c r="J6" s="705"/>
      <c r="K6" s="287"/>
      <c r="L6" s="699"/>
      <c r="M6" s="246"/>
      <c r="N6" s="246"/>
      <c r="O6" s="689"/>
      <c r="P6" s="251"/>
      <c r="Q6" s="681"/>
      <c r="R6" s="246"/>
      <c r="S6" s="705"/>
      <c r="T6" s="287"/>
      <c r="U6" s="699"/>
      <c r="V6" s="246"/>
      <c r="W6" s="246">
        <v>21</v>
      </c>
      <c r="X6" s="689"/>
      <c r="Y6" s="296"/>
      <c r="Z6" s="681"/>
      <c r="AA6" s="682" t="s">
        <v>328</v>
      </c>
      <c r="AB6" s="705"/>
      <c r="AC6" s="287"/>
      <c r="AD6" s="699"/>
      <c r="AE6" s="246"/>
      <c r="AF6" s="246">
        <v>25</v>
      </c>
      <c r="AG6" s="689"/>
      <c r="AH6" s="251"/>
      <c r="AI6" s="246"/>
      <c r="AJ6" s="794" t="s">
        <v>1060</v>
      </c>
      <c r="AK6" s="705"/>
      <c r="AL6" s="255"/>
      <c r="AM6" s="699"/>
      <c r="AN6" s="246"/>
      <c r="AO6" s="246"/>
      <c r="AP6" s="689"/>
      <c r="AQ6" s="301"/>
      <c r="AR6" s="810"/>
      <c r="AS6" s="296"/>
      <c r="AT6" s="705"/>
    </row>
    <row r="7" spans="1:46" ht="71.5" customHeight="1" x14ac:dyDescent="0.45">
      <c r="A7" s="1351">
        <v>45719</v>
      </c>
      <c r="B7" s="692">
        <v>1</v>
      </c>
      <c r="C7" s="693"/>
      <c r="D7" s="694"/>
      <c r="E7" s="694">
        <v>16</v>
      </c>
      <c r="F7" s="695"/>
      <c r="G7" s="680"/>
      <c r="H7" s="682"/>
      <c r="I7" s="697" t="s">
        <v>1061</v>
      </c>
      <c r="J7" s="705"/>
      <c r="K7" s="287"/>
      <c r="L7" s="699"/>
      <c r="M7" s="251"/>
      <c r="N7" s="246"/>
      <c r="O7" s="689"/>
      <c r="P7" s="251"/>
      <c r="Q7" s="706"/>
      <c r="R7" s="246"/>
      <c r="S7" s="704"/>
      <c r="T7" s="287"/>
      <c r="U7" s="699"/>
      <c r="V7" s="246"/>
      <c r="W7" s="246">
        <v>18</v>
      </c>
      <c r="X7" s="689"/>
      <c r="Y7" s="296"/>
      <c r="Z7" s="681"/>
      <c r="AA7" s="701" t="s">
        <v>1060</v>
      </c>
      <c r="AB7" s="704"/>
      <c r="AC7" s="287"/>
      <c r="AD7" s="699"/>
      <c r="AE7" s="246"/>
      <c r="AF7" s="246">
        <v>25</v>
      </c>
      <c r="AG7" s="689"/>
      <c r="AH7" s="251"/>
      <c r="AI7" s="706"/>
      <c r="AJ7" s="794"/>
      <c r="AK7" s="808"/>
      <c r="AL7" s="255"/>
      <c r="AM7" s="699"/>
      <c r="AN7" s="246"/>
      <c r="AO7" s="246"/>
      <c r="AP7" s="689"/>
      <c r="AQ7" s="284"/>
      <c r="AR7" s="796"/>
      <c r="AS7" s="809"/>
      <c r="AT7" s="707"/>
    </row>
    <row r="8" spans="1:46" ht="69.650000000000006" customHeight="1" x14ac:dyDescent="0.45">
      <c r="A8" s="1352"/>
      <c r="B8" s="692">
        <v>2</v>
      </c>
      <c r="C8" s="693">
        <v>668</v>
      </c>
      <c r="D8" s="727"/>
      <c r="E8" s="694"/>
      <c r="F8" s="695"/>
      <c r="G8" s="696" t="s">
        <v>45</v>
      </c>
      <c r="H8" s="682"/>
      <c r="I8" s="697"/>
      <c r="J8" s="705"/>
      <c r="K8" s="287"/>
      <c r="L8" s="699"/>
      <c r="M8" s="246"/>
      <c r="N8" s="246"/>
      <c r="O8" s="689"/>
      <c r="P8" s="251"/>
      <c r="Q8" s="246"/>
      <c r="R8" s="245"/>
      <c r="S8" s="704"/>
      <c r="T8" s="287"/>
      <c r="U8" s="795"/>
      <c r="V8" s="796"/>
      <c r="W8" s="251"/>
      <c r="X8" s="689"/>
      <c r="Y8" s="296"/>
      <c r="Z8" s="301"/>
      <c r="AA8" s="296"/>
      <c r="AB8" s="705"/>
      <c r="AC8" s="287"/>
      <c r="AD8" s="699"/>
      <c r="AE8" s="246"/>
      <c r="AF8" s="246"/>
      <c r="AG8" s="689"/>
      <c r="AH8" s="251"/>
      <c r="AI8" s="245"/>
      <c r="AJ8" s="794"/>
      <c r="AK8" s="797"/>
      <c r="AL8" s="255"/>
      <c r="AM8" s="699"/>
      <c r="AN8" s="246"/>
      <c r="AO8" s="246"/>
      <c r="AP8" s="689"/>
      <c r="AQ8" s="284"/>
      <c r="AR8" s="811"/>
      <c r="AS8" s="251"/>
      <c r="AT8" s="705"/>
    </row>
    <row r="9" spans="1:46" ht="76.95" customHeight="1" x14ac:dyDescent="0.45">
      <c r="A9" s="1351">
        <v>45720</v>
      </c>
      <c r="B9" s="692">
        <v>1</v>
      </c>
      <c r="C9" s="763">
        <v>100</v>
      </c>
      <c r="D9" s="790">
        <v>170</v>
      </c>
      <c r="E9" s="787"/>
      <c r="F9" s="695"/>
      <c r="G9" s="696" t="s">
        <v>45</v>
      </c>
      <c r="H9" s="681" t="s">
        <v>1062</v>
      </c>
      <c r="I9" s="697"/>
      <c r="J9" s="705"/>
      <c r="K9" s="287"/>
      <c r="L9" s="699"/>
      <c r="M9" s="246"/>
      <c r="N9" s="246"/>
      <c r="O9" s="689"/>
      <c r="P9" s="251"/>
      <c r="Q9" s="246"/>
      <c r="R9" s="245"/>
      <c r="S9" s="705"/>
      <c r="T9" s="287"/>
      <c r="U9" s="795"/>
      <c r="V9" s="251"/>
      <c r="W9" s="246"/>
      <c r="X9" s="689"/>
      <c r="Y9" s="296"/>
      <c r="Z9" s="246"/>
      <c r="AA9" s="701"/>
      <c r="AB9" s="705"/>
      <c r="AC9" s="287"/>
      <c r="AD9" s="699"/>
      <c r="AE9" s="246"/>
      <c r="AF9" s="246"/>
      <c r="AG9" s="689"/>
      <c r="AH9" s="251"/>
      <c r="AI9" s="246"/>
      <c r="AJ9" s="246"/>
      <c r="AK9" s="705"/>
      <c r="AL9" s="255"/>
      <c r="AM9" s="699"/>
      <c r="AN9" s="246"/>
      <c r="AO9" s="246"/>
      <c r="AP9" s="689"/>
      <c r="AQ9" s="284"/>
      <c r="AR9" s="796"/>
      <c r="AS9" s="251"/>
      <c r="AT9" s="708"/>
    </row>
    <row r="10" spans="1:46" ht="67.2" customHeight="1" x14ac:dyDescent="0.45">
      <c r="A10" s="1352"/>
      <c r="B10" s="692">
        <v>2</v>
      </c>
      <c r="C10" s="763"/>
      <c r="D10" s="788"/>
      <c r="E10" s="787"/>
      <c r="F10" s="695"/>
      <c r="G10" s="709"/>
      <c r="H10" s="710"/>
      <c r="I10" s="711"/>
      <c r="J10" s="705"/>
      <c r="K10" s="287"/>
      <c r="L10" s="699">
        <v>541</v>
      </c>
      <c r="M10" s="246"/>
      <c r="N10" s="246"/>
      <c r="O10" s="689"/>
      <c r="P10" s="251" t="s">
        <v>45</v>
      </c>
      <c r="Q10" s="246"/>
      <c r="R10" s="245"/>
      <c r="S10" s="705"/>
      <c r="T10" s="287"/>
      <c r="U10" s="699">
        <v>625</v>
      </c>
      <c r="V10" s="246"/>
      <c r="W10" s="246"/>
      <c r="X10" s="689"/>
      <c r="Y10" s="296" t="s">
        <v>45</v>
      </c>
      <c r="Z10" s="296"/>
      <c r="AA10" s="287"/>
      <c r="AB10" s="705"/>
      <c r="AC10" s="287"/>
      <c r="AD10" s="699"/>
      <c r="AE10" s="246"/>
      <c r="AF10" s="246">
        <v>14</v>
      </c>
      <c r="AG10" s="689"/>
      <c r="AH10" s="296"/>
      <c r="AI10" s="245"/>
      <c r="AJ10" s="682" t="s">
        <v>1035</v>
      </c>
      <c r="AK10" s="705"/>
      <c r="AL10" s="255"/>
      <c r="AM10" s="699"/>
      <c r="AN10" s="246"/>
      <c r="AO10" s="246"/>
      <c r="AP10" s="689"/>
      <c r="AQ10" s="284"/>
      <c r="AR10" s="812"/>
      <c r="AS10" s="251"/>
      <c r="AT10" s="705"/>
    </row>
    <row r="11" spans="1:46" ht="60" customHeight="1" x14ac:dyDescent="0.45">
      <c r="A11" s="1351">
        <v>45721</v>
      </c>
      <c r="B11" s="692">
        <v>1</v>
      </c>
      <c r="C11" s="763"/>
      <c r="D11" s="789"/>
      <c r="E11" s="787"/>
      <c r="F11" s="695">
        <v>129</v>
      </c>
      <c r="G11" s="712"/>
      <c r="H11" s="710"/>
      <c r="I11" s="711"/>
      <c r="J11" s="698" t="s">
        <v>1063</v>
      </c>
      <c r="K11" s="287"/>
      <c r="L11" s="699"/>
      <c r="M11" s="246"/>
      <c r="N11" s="246"/>
      <c r="O11" s="689"/>
      <c r="P11" s="251"/>
      <c r="Q11" s="246"/>
      <c r="R11" s="245"/>
      <c r="S11" s="689"/>
      <c r="T11" s="287"/>
      <c r="U11" s="699">
        <v>142</v>
      </c>
      <c r="V11" s="246"/>
      <c r="W11" s="246"/>
      <c r="X11" s="689"/>
      <c r="Y11" s="296" t="s">
        <v>45</v>
      </c>
      <c r="Z11" s="246"/>
      <c r="AA11" s="701"/>
      <c r="AB11" s="689"/>
      <c r="AC11" s="287"/>
      <c r="AD11" s="699"/>
      <c r="AE11" s="246"/>
      <c r="AF11" s="246"/>
      <c r="AG11" s="689"/>
      <c r="AH11" s="251"/>
      <c r="AI11" s="246"/>
      <c r="AJ11" s="701"/>
      <c r="AK11" s="689"/>
      <c r="AL11" s="255"/>
      <c r="AM11" s="699"/>
      <c r="AN11" s="246"/>
      <c r="AO11" s="246"/>
      <c r="AP11" s="689"/>
      <c r="AQ11" s="251"/>
      <c r="AR11" s="226"/>
      <c r="AS11" s="246"/>
      <c r="AT11" s="704"/>
    </row>
    <row r="12" spans="1:46" ht="55.2" customHeight="1" x14ac:dyDescent="0.45">
      <c r="A12" s="1352"/>
      <c r="B12" s="692">
        <v>2</v>
      </c>
      <c r="C12" s="693">
        <v>155</v>
      </c>
      <c r="D12" s="767"/>
      <c r="E12" s="694"/>
      <c r="F12" s="695">
        <v>295</v>
      </c>
      <c r="G12" s="696" t="s">
        <v>45</v>
      </c>
      <c r="H12" s="681"/>
      <c r="I12" s="711"/>
      <c r="J12" s="698" t="s">
        <v>1063</v>
      </c>
      <c r="K12" s="287"/>
      <c r="L12" s="699"/>
      <c r="M12" s="246"/>
      <c r="N12" s="246"/>
      <c r="O12" s="689"/>
      <c r="P12" s="251"/>
      <c r="Q12" s="246"/>
      <c r="R12" s="245"/>
      <c r="S12" s="705"/>
      <c r="T12" s="287"/>
      <c r="U12" s="699"/>
      <c r="V12" s="246">
        <v>20</v>
      </c>
      <c r="W12" s="246">
        <v>12</v>
      </c>
      <c r="X12" s="689"/>
      <c r="Y12" s="296"/>
      <c r="Z12" s="682" t="s">
        <v>1064</v>
      </c>
      <c r="AA12" s="701" t="s">
        <v>27</v>
      </c>
      <c r="AB12" s="705"/>
      <c r="AC12" s="287"/>
      <c r="AD12" s="699"/>
      <c r="AE12" s="246"/>
      <c r="AF12" s="246"/>
      <c r="AG12" s="689"/>
      <c r="AH12" s="251"/>
      <c r="AI12" s="245"/>
      <c r="AJ12" s="245"/>
      <c r="AK12" s="705"/>
      <c r="AL12" s="255"/>
      <c r="AM12" s="699"/>
      <c r="AN12" s="246"/>
      <c r="AO12" s="246"/>
      <c r="AP12" s="689"/>
      <c r="AQ12" s="251"/>
      <c r="AR12" s="246"/>
      <c r="AS12" s="245"/>
      <c r="AT12" s="705"/>
    </row>
    <row r="13" spans="1:46" ht="34.950000000000003" customHeight="1" x14ac:dyDescent="0.45">
      <c r="A13" s="1351">
        <v>45722</v>
      </c>
      <c r="B13" s="692">
        <v>1</v>
      </c>
      <c r="C13" s="693"/>
      <c r="D13" s="694"/>
      <c r="E13" s="694"/>
      <c r="F13" s="695"/>
      <c r="G13" s="696"/>
      <c r="H13" s="681"/>
      <c r="I13" s="697"/>
      <c r="J13" s="705"/>
      <c r="K13" s="287"/>
      <c r="L13" s="699"/>
      <c r="M13" s="246"/>
      <c r="N13" s="246"/>
      <c r="O13" s="695"/>
      <c r="P13" s="251"/>
      <c r="Q13" s="246"/>
      <c r="R13" s="246"/>
      <c r="S13" s="705"/>
      <c r="T13" s="287"/>
      <c r="U13" s="699"/>
      <c r="V13" s="246"/>
      <c r="W13" s="246"/>
      <c r="X13" s="695"/>
      <c r="Y13" s="296"/>
      <c r="Z13" s="245"/>
      <c r="AA13" s="701"/>
      <c r="AB13" s="705"/>
      <c r="AC13" s="287"/>
      <c r="AD13" s="699"/>
      <c r="AE13" s="246"/>
      <c r="AF13" s="246"/>
      <c r="AG13" s="695"/>
      <c r="AH13" s="251"/>
      <c r="AI13" s="246"/>
      <c r="AJ13" s="701"/>
      <c r="AK13" s="705"/>
      <c r="AL13" s="255"/>
      <c r="AM13" s="699"/>
      <c r="AN13" s="246"/>
      <c r="AO13" s="246"/>
      <c r="AP13" s="695"/>
      <c r="AQ13" s="251"/>
      <c r="AR13" s="246"/>
      <c r="AS13" s="682"/>
      <c r="AT13" s="705"/>
    </row>
    <row r="14" spans="1:46" ht="49.2" customHeight="1" x14ac:dyDescent="0.45">
      <c r="A14" s="1352"/>
      <c r="B14" s="692">
        <v>2</v>
      </c>
      <c r="C14" s="693"/>
      <c r="D14" s="694"/>
      <c r="E14" s="694"/>
      <c r="F14" s="695"/>
      <c r="G14" s="696"/>
      <c r="H14" s="682"/>
      <c r="I14" s="697"/>
      <c r="J14" s="705"/>
      <c r="K14" s="287"/>
      <c r="L14" s="699"/>
      <c r="M14" s="246"/>
      <c r="N14" s="246"/>
      <c r="O14" s="695"/>
      <c r="P14" s="296"/>
      <c r="Q14" s="246"/>
      <c r="R14" s="246"/>
      <c r="S14" s="705"/>
      <c r="T14" s="287"/>
      <c r="U14" s="699"/>
      <c r="V14" s="246"/>
      <c r="W14" s="246"/>
      <c r="X14" s="695"/>
      <c r="Y14" s="296"/>
      <c r="Z14" s="245"/>
      <c r="AA14" s="701"/>
      <c r="AB14" s="705"/>
      <c r="AC14" s="287"/>
      <c r="AD14" s="699"/>
      <c r="AE14" s="246"/>
      <c r="AF14" s="246"/>
      <c r="AG14" s="695"/>
      <c r="AH14" s="1514"/>
      <c r="AI14" s="1462"/>
      <c r="AJ14" s="1515"/>
      <c r="AK14" s="705"/>
      <c r="AL14" s="255"/>
      <c r="AM14" s="699"/>
      <c r="AN14" s="246"/>
      <c r="AO14" s="806"/>
      <c r="AP14" s="813"/>
      <c r="AQ14" s="296"/>
      <c r="AR14" s="246"/>
      <c r="AS14" s="701"/>
      <c r="AT14" s="705"/>
    </row>
    <row r="15" spans="1:46" ht="48" customHeight="1" x14ac:dyDescent="0.45">
      <c r="A15" s="1351">
        <v>45723</v>
      </c>
      <c r="B15" s="692">
        <v>1</v>
      </c>
      <c r="C15" s="693"/>
      <c r="D15" s="727"/>
      <c r="E15" s="306"/>
      <c r="F15" s="739"/>
      <c r="G15" s="731"/>
      <c r="H15" s="723"/>
      <c r="I15" s="764"/>
      <c r="J15" s="739"/>
      <c r="K15" s="287"/>
      <c r="L15" s="765"/>
      <c r="M15" s="306"/>
      <c r="N15" s="306"/>
      <c r="O15" s="728"/>
      <c r="P15" s="766"/>
      <c r="Q15" s="723"/>
      <c r="R15" s="682"/>
      <c r="S15" s="705"/>
      <c r="T15" s="287"/>
      <c r="U15" s="699"/>
      <c r="V15" s="246"/>
      <c r="W15" s="246"/>
      <c r="X15" s="695"/>
      <c r="Y15" s="696"/>
      <c r="Z15" s="682"/>
      <c r="AA15" s="701"/>
      <c r="AB15" s="705"/>
      <c r="AC15" s="287"/>
      <c r="AD15" s="699"/>
      <c r="AE15" s="246"/>
      <c r="AF15" s="287"/>
      <c r="AG15" s="695"/>
      <c r="AH15" s="680"/>
      <c r="AI15" s="682"/>
      <c r="AJ15" s="245"/>
      <c r="AK15" s="705"/>
      <c r="AL15" s="255"/>
      <c r="AM15" s="699"/>
      <c r="AN15" s="246"/>
      <c r="AO15" s="814"/>
      <c r="AP15" s="820"/>
      <c r="AQ15" s="711"/>
      <c r="AR15" s="682"/>
      <c r="AS15" s="682"/>
      <c r="AT15" s="705"/>
    </row>
    <row r="16" spans="1:46" ht="63" customHeight="1" x14ac:dyDescent="0.45">
      <c r="A16" s="1352"/>
      <c r="B16" s="692">
        <v>2</v>
      </c>
      <c r="C16" s="763"/>
      <c r="D16" s="785"/>
      <c r="E16" s="783">
        <v>28</v>
      </c>
      <c r="F16" s="774">
        <v>15</v>
      </c>
      <c r="G16" s="829"/>
      <c r="H16" s="776"/>
      <c r="I16" s="697" t="s">
        <v>328</v>
      </c>
      <c r="J16" s="778" t="s">
        <v>1065</v>
      </c>
      <c r="K16" s="779"/>
      <c r="L16" s="780">
        <v>135</v>
      </c>
      <c r="M16" s="781"/>
      <c r="N16" s="781"/>
      <c r="O16" s="774"/>
      <c r="P16" s="829" t="s">
        <v>1066</v>
      </c>
      <c r="Q16" s="782"/>
      <c r="R16" s="714"/>
      <c r="S16" s="705"/>
      <c r="T16" s="287"/>
      <c r="U16" s="699"/>
      <c r="V16" s="246"/>
      <c r="W16" s="246"/>
      <c r="X16" s="695">
        <v>6</v>
      </c>
      <c r="Y16" s="760"/>
      <c r="Z16" s="710"/>
      <c r="AA16" s="715"/>
      <c r="AB16" s="705" t="s">
        <v>743</v>
      </c>
      <c r="AC16" s="287"/>
      <c r="AD16" s="699"/>
      <c r="AE16" s="246"/>
      <c r="AF16" s="246"/>
      <c r="AG16" s="695"/>
      <c r="AH16" s="716"/>
      <c r="AI16" s="710"/>
      <c r="AJ16" s="714"/>
      <c r="AK16" s="705"/>
      <c r="AL16" s="255"/>
      <c r="AM16" s="699"/>
      <c r="AN16" s="246"/>
      <c r="AO16" s="246"/>
      <c r="AP16" s="695"/>
      <c r="AQ16" s="819"/>
      <c r="AR16" s="710"/>
      <c r="AS16" s="714"/>
      <c r="AT16" s="705"/>
    </row>
    <row r="17" spans="1:46" ht="66" customHeight="1" x14ac:dyDescent="0.45">
      <c r="A17" s="1351">
        <v>45724</v>
      </c>
      <c r="B17" s="717">
        <v>1</v>
      </c>
      <c r="C17" s="693"/>
      <c r="D17" s="786"/>
      <c r="E17" s="784"/>
      <c r="F17" s="768"/>
      <c r="G17" s="769"/>
      <c r="H17" s="770"/>
      <c r="I17" s="771"/>
      <c r="J17" s="772"/>
      <c r="K17" s="287"/>
      <c r="L17" s="773"/>
      <c r="M17" s="226"/>
      <c r="N17" s="226"/>
      <c r="O17" s="768"/>
      <c r="P17" s="769"/>
      <c r="Q17" s="770"/>
      <c r="R17" s="682"/>
      <c r="S17" s="705"/>
      <c r="T17" s="287"/>
      <c r="U17" s="699"/>
      <c r="V17" s="246"/>
      <c r="W17" s="246"/>
      <c r="X17" s="695"/>
      <c r="Y17" s="696"/>
      <c r="Z17" s="681"/>
      <c r="AA17" s="715"/>
      <c r="AB17" s="705"/>
      <c r="AC17" s="287"/>
      <c r="AD17" s="699"/>
      <c r="AE17" s="246"/>
      <c r="AF17" s="246"/>
      <c r="AG17" s="695"/>
      <c r="AH17" s="680"/>
      <c r="AI17" s="681"/>
      <c r="AJ17" s="682"/>
      <c r="AK17" s="705"/>
      <c r="AL17" s="255"/>
      <c r="AM17" s="699"/>
      <c r="AN17" s="246"/>
      <c r="AO17" s="806"/>
      <c r="AP17" s="820"/>
      <c r="AQ17" s="715"/>
      <c r="AR17" s="682"/>
      <c r="AS17" s="701"/>
      <c r="AT17" s="705"/>
    </row>
    <row r="18" spans="1:46" ht="49.5" customHeight="1" x14ac:dyDescent="0.45">
      <c r="A18" s="1352"/>
      <c r="B18" s="692">
        <v>2</v>
      </c>
      <c r="C18" s="693"/>
      <c r="D18" s="694"/>
      <c r="E18" s="694">
        <v>18</v>
      </c>
      <c r="F18" s="695"/>
      <c r="G18" s="696"/>
      <c r="H18" s="718"/>
      <c r="I18" s="711" t="s">
        <v>325</v>
      </c>
      <c r="J18" s="705"/>
      <c r="K18" s="287"/>
      <c r="L18" s="699"/>
      <c r="M18" s="246"/>
      <c r="N18" s="246"/>
      <c r="O18" s="695"/>
      <c r="P18" s="696"/>
      <c r="Q18" s="682"/>
      <c r="R18" s="697"/>
      <c r="S18" s="705"/>
      <c r="T18" s="287"/>
      <c r="U18" s="699"/>
      <c r="V18" s="246"/>
      <c r="W18" s="694">
        <v>10</v>
      </c>
      <c r="X18" s="695"/>
      <c r="Y18" s="696"/>
      <c r="Z18" s="682"/>
      <c r="AA18" s="701" t="s">
        <v>388</v>
      </c>
      <c r="AB18" s="705"/>
      <c r="AC18" s="287"/>
      <c r="AD18" s="699">
        <v>34</v>
      </c>
      <c r="AE18" s="246"/>
      <c r="AF18" s="246"/>
      <c r="AG18" s="695"/>
      <c r="AH18" s="696" t="s">
        <v>1068</v>
      </c>
      <c r="AI18" s="682"/>
      <c r="AJ18" s="681"/>
      <c r="AK18" s="705"/>
      <c r="AL18" s="255"/>
      <c r="AM18" s="699"/>
      <c r="AN18" s="246"/>
      <c r="AO18" s="806"/>
      <c r="AP18" s="813"/>
      <c r="AQ18" s="828"/>
      <c r="AR18" s="710"/>
      <c r="AS18" s="830"/>
      <c r="AT18" s="705"/>
    </row>
    <row r="19" spans="1:46" ht="50.25" customHeight="1" x14ac:dyDescent="0.45">
      <c r="A19" s="1351">
        <v>45725</v>
      </c>
      <c r="B19" s="692">
        <v>1</v>
      </c>
      <c r="C19" s="287"/>
      <c r="D19" s="694"/>
      <c r="E19" s="697" t="s">
        <v>1067</v>
      </c>
      <c r="F19" s="695"/>
      <c r="G19" s="719"/>
      <c r="H19" s="246"/>
      <c r="I19" s="711" t="s">
        <v>325</v>
      </c>
      <c r="J19" s="705"/>
      <c r="K19" s="287"/>
      <c r="L19" s="699"/>
      <c r="M19" s="246"/>
      <c r="N19" s="246"/>
      <c r="O19" s="695"/>
      <c r="P19" s="699"/>
      <c r="Q19" s="246"/>
      <c r="R19" s="246"/>
      <c r="S19" s="705"/>
      <c r="T19" s="287"/>
      <c r="U19" s="699"/>
      <c r="V19" s="246"/>
      <c r="W19" s="246"/>
      <c r="X19" s="695"/>
      <c r="Y19" s="699"/>
      <c r="Z19" s="245"/>
      <c r="AA19" s="715"/>
      <c r="AB19" s="705"/>
      <c r="AC19" s="287"/>
      <c r="AD19" s="699"/>
      <c r="AE19" s="246"/>
      <c r="AF19" s="246"/>
      <c r="AG19" s="695"/>
      <c r="AH19" s="699"/>
      <c r="AI19" s="246"/>
      <c r="AJ19" s="701"/>
      <c r="AK19" s="705"/>
      <c r="AL19" s="255"/>
      <c r="AM19" s="699"/>
      <c r="AN19" s="246"/>
      <c r="AO19" s="246"/>
      <c r="AP19" s="695"/>
      <c r="AQ19" s="699"/>
      <c r="AR19" s="246"/>
      <c r="AS19" s="682"/>
      <c r="AT19" s="705"/>
    </row>
    <row r="20" spans="1:46" ht="54.75" customHeight="1" x14ac:dyDescent="0.45">
      <c r="A20" s="1352"/>
      <c r="B20" s="692">
        <v>2</v>
      </c>
      <c r="C20" s="693"/>
      <c r="D20" s="694"/>
      <c r="E20" s="694">
        <v>57</v>
      </c>
      <c r="F20" s="695"/>
      <c r="G20" s="719"/>
      <c r="H20" s="245"/>
      <c r="I20" s="711" t="s">
        <v>152</v>
      </c>
      <c r="J20" s="705"/>
      <c r="K20" s="287"/>
      <c r="L20" s="699"/>
      <c r="M20" s="246"/>
      <c r="N20" s="246"/>
      <c r="O20" s="695"/>
      <c r="P20" s="719"/>
      <c r="Q20" s="245"/>
      <c r="R20" s="697"/>
      <c r="S20" s="705"/>
      <c r="T20" s="287"/>
      <c r="U20" s="699"/>
      <c r="V20" s="246"/>
      <c r="W20" s="246">
        <v>50</v>
      </c>
      <c r="X20" s="695"/>
      <c r="Y20" s="719"/>
      <c r="Z20" s="245"/>
      <c r="AA20" s="682" t="s">
        <v>152</v>
      </c>
      <c r="AB20" s="705"/>
      <c r="AC20" s="287"/>
      <c r="AD20" s="699"/>
      <c r="AE20" s="246"/>
      <c r="AF20" s="246"/>
      <c r="AG20" s="695"/>
      <c r="AH20" s="719"/>
      <c r="AI20" s="245"/>
      <c r="AJ20" s="697"/>
      <c r="AK20" s="705"/>
      <c r="AL20" s="255"/>
      <c r="AM20" s="699"/>
      <c r="AN20" s="246"/>
      <c r="AO20" s="246"/>
      <c r="AP20" s="695"/>
      <c r="AQ20" s="719"/>
      <c r="AR20" s="245"/>
      <c r="AS20" s="697"/>
      <c r="AT20" s="705"/>
    </row>
    <row r="21" spans="1:46" ht="39" customHeight="1" x14ac:dyDescent="0.45">
      <c r="A21" s="1351">
        <v>45726</v>
      </c>
      <c r="B21" s="692">
        <v>1</v>
      </c>
      <c r="C21" s="693"/>
      <c r="D21" s="694"/>
      <c r="E21" s="694">
        <v>9</v>
      </c>
      <c r="F21" s="695"/>
      <c r="G21" s="720"/>
      <c r="H21" s="681"/>
      <c r="I21" s="711" t="s">
        <v>325</v>
      </c>
      <c r="J21" s="721"/>
      <c r="K21" s="287"/>
      <c r="L21" s="699"/>
      <c r="M21" s="246"/>
      <c r="N21" s="246"/>
      <c r="O21" s="695"/>
      <c r="P21" s="699"/>
      <c r="Q21" s="245"/>
      <c r="R21" s="246"/>
      <c r="S21" s="721"/>
      <c r="T21" s="287"/>
      <c r="U21" s="699"/>
      <c r="V21" s="246"/>
      <c r="W21" s="246"/>
      <c r="X21" s="695"/>
      <c r="Y21" s="719"/>
      <c r="Z21" s="246"/>
      <c r="AA21" s="715"/>
      <c r="AB21" s="721"/>
      <c r="AC21" s="287"/>
      <c r="AD21" s="699"/>
      <c r="AE21" s="246"/>
      <c r="AF21" s="246"/>
      <c r="AG21" s="695"/>
      <c r="AH21" s="699"/>
      <c r="AI21" s="246"/>
      <c r="AJ21" s="701"/>
      <c r="AK21" s="721"/>
      <c r="AL21" s="255"/>
      <c r="AM21" s="699"/>
      <c r="AN21" s="246"/>
      <c r="AO21" s="246"/>
      <c r="AP21" s="695"/>
      <c r="AQ21" s="699"/>
      <c r="AR21" s="245"/>
      <c r="AS21" s="701"/>
      <c r="AT21" s="721"/>
    </row>
    <row r="22" spans="1:46" ht="49.95" customHeight="1" x14ac:dyDescent="0.45">
      <c r="A22" s="1352"/>
      <c r="B22" s="692">
        <v>2</v>
      </c>
      <c r="C22" s="693"/>
      <c r="D22" s="694"/>
      <c r="E22" s="694">
        <v>81</v>
      </c>
      <c r="F22" s="695"/>
      <c r="G22" s="722"/>
      <c r="H22" s="682"/>
      <c r="I22" s="697" t="s">
        <v>328</v>
      </c>
      <c r="J22" s="705"/>
      <c r="K22" s="287"/>
      <c r="L22" s="699"/>
      <c r="M22" s="246"/>
      <c r="N22" s="246"/>
      <c r="O22" s="695"/>
      <c r="P22" s="296"/>
      <c r="Q22" s="682"/>
      <c r="R22" s="246"/>
      <c r="S22" s="705"/>
      <c r="T22" s="287"/>
      <c r="U22" s="699"/>
      <c r="V22" s="246"/>
      <c r="W22" s="246">
        <v>33</v>
      </c>
      <c r="X22" s="695"/>
      <c r="Y22" s="719"/>
      <c r="Z22" s="682"/>
      <c r="AA22" s="701" t="s">
        <v>328</v>
      </c>
      <c r="AB22" s="705"/>
      <c r="AC22" s="287"/>
      <c r="AD22" s="699"/>
      <c r="AE22" s="246"/>
      <c r="AF22" s="246"/>
      <c r="AG22" s="695"/>
      <c r="AH22" s="699"/>
      <c r="AI22" s="246"/>
      <c r="AJ22" s="794"/>
      <c r="AK22" s="797"/>
      <c r="AL22" s="255"/>
      <c r="AM22" s="699"/>
      <c r="AN22" s="246"/>
      <c r="AO22" s="246"/>
      <c r="AP22" s="695"/>
      <c r="AQ22" s="699"/>
      <c r="AR22" s="682"/>
      <c r="AS22" s="302"/>
      <c r="AT22" s="705"/>
    </row>
    <row r="23" spans="1:46" ht="47.5" customHeight="1" x14ac:dyDescent="0.45">
      <c r="A23" s="1351">
        <v>45727</v>
      </c>
      <c r="B23" s="717">
        <v>1</v>
      </c>
      <c r="C23" s="693"/>
      <c r="D23" s="694"/>
      <c r="E23" s="694"/>
      <c r="F23" s="695"/>
      <c r="G23" s="680"/>
      <c r="H23" s="681"/>
      <c r="I23" s="711"/>
      <c r="J23" s="705"/>
      <c r="K23" s="287"/>
      <c r="L23" s="699"/>
      <c r="M23" s="246"/>
      <c r="N23" s="246"/>
      <c r="O23" s="695"/>
      <c r="P23" s="680"/>
      <c r="Q23" s="681"/>
      <c r="R23" s="682"/>
      <c r="S23" s="705"/>
      <c r="T23" s="287"/>
      <c r="U23" s="699"/>
      <c r="V23" s="246"/>
      <c r="W23" s="246"/>
      <c r="X23" s="695"/>
      <c r="Y23" s="719"/>
      <c r="Z23" s="697"/>
      <c r="AA23" s="715"/>
      <c r="AB23" s="705"/>
      <c r="AC23" s="287"/>
      <c r="AD23" s="699"/>
      <c r="AE23" s="246"/>
      <c r="AF23" s="251"/>
      <c r="AG23" s="695"/>
      <c r="AH23" s="699"/>
      <c r="AI23" s="681"/>
      <c r="AJ23" s="807"/>
      <c r="AK23" s="797"/>
      <c r="AL23" s="255"/>
      <c r="AM23" s="699"/>
      <c r="AN23" s="246"/>
      <c r="AO23" s="246"/>
      <c r="AP23" s="695"/>
      <c r="AQ23" s="246"/>
      <c r="AR23" s="681"/>
      <c r="AS23" s="707"/>
      <c r="AT23" s="705"/>
    </row>
    <row r="24" spans="1:46" ht="49.95" customHeight="1" x14ac:dyDescent="0.45">
      <c r="A24" s="1352"/>
      <c r="B24" s="692">
        <v>2</v>
      </c>
      <c r="C24" s="693"/>
      <c r="D24" s="694"/>
      <c r="E24" s="694">
        <v>16</v>
      </c>
      <c r="F24" s="695"/>
      <c r="G24" s="680"/>
      <c r="H24" s="682"/>
      <c r="I24" s="711" t="s">
        <v>328</v>
      </c>
      <c r="J24" s="705"/>
      <c r="K24" s="287"/>
      <c r="L24" s="699"/>
      <c r="M24" s="246"/>
      <c r="N24" s="246"/>
      <c r="O24" s="695"/>
      <c r="P24" s="680"/>
      <c r="Q24" s="681"/>
      <c r="R24" s="682"/>
      <c r="S24" s="705"/>
      <c r="T24" s="762"/>
      <c r="U24" s="251"/>
      <c r="V24" s="761"/>
      <c r="W24" s="715" t="s">
        <v>1023</v>
      </c>
      <c r="X24" s="695"/>
      <c r="Y24" s="697"/>
      <c r="Z24" s="681"/>
      <c r="AA24" s="701" t="s">
        <v>388</v>
      </c>
      <c r="AB24" s="705"/>
      <c r="AC24" s="287"/>
      <c r="AD24" s="699"/>
      <c r="AE24" s="246"/>
      <c r="AF24" s="251"/>
      <c r="AG24" s="695"/>
      <c r="AH24" s="697"/>
      <c r="AI24" s="681"/>
      <c r="AJ24" s="682"/>
      <c r="AK24" s="705"/>
      <c r="AL24" s="255"/>
      <c r="AM24" s="699"/>
      <c r="AN24" s="246"/>
      <c r="AO24" s="246">
        <v>8</v>
      </c>
      <c r="AP24" s="695"/>
      <c r="AQ24" s="681"/>
      <c r="AR24" s="681"/>
      <c r="AS24" s="705" t="s">
        <v>388</v>
      </c>
      <c r="AT24" s="705"/>
    </row>
    <row r="25" spans="1:46" ht="53.5" customHeight="1" x14ac:dyDescent="0.45">
      <c r="A25" s="1351">
        <v>45728</v>
      </c>
      <c r="B25" s="692">
        <v>1</v>
      </c>
      <c r="C25" s="693"/>
      <c r="D25" s="694"/>
      <c r="E25" s="694">
        <v>36</v>
      </c>
      <c r="F25" s="695"/>
      <c r="G25" s="680"/>
      <c r="H25" s="681"/>
      <c r="I25" s="697" t="s">
        <v>325</v>
      </c>
      <c r="J25" s="705"/>
      <c r="K25" s="287"/>
      <c r="L25" s="699"/>
      <c r="M25" s="246"/>
      <c r="N25" s="246"/>
      <c r="O25" s="695"/>
      <c r="P25" s="699"/>
      <c r="Q25" s="681"/>
      <c r="R25" s="246"/>
      <c r="S25" s="705"/>
      <c r="T25" s="287"/>
      <c r="U25" s="699"/>
      <c r="V25" s="246"/>
      <c r="W25" s="246">
        <v>42</v>
      </c>
      <c r="X25" s="695"/>
      <c r="Y25" s="719"/>
      <c r="Z25" s="245"/>
      <c r="AA25" s="682" t="s">
        <v>328</v>
      </c>
      <c r="AB25" s="705"/>
      <c r="AC25" s="287"/>
      <c r="AD25" s="699"/>
      <c r="AE25" s="246"/>
      <c r="AF25" s="246"/>
      <c r="AG25" s="695"/>
      <c r="AH25" s="246"/>
      <c r="AI25" s="245"/>
      <c r="AJ25" s="682"/>
      <c r="AK25" s="705"/>
      <c r="AL25" s="255"/>
      <c r="AM25" s="699"/>
      <c r="AN25" s="246"/>
      <c r="AO25" s="246"/>
      <c r="AP25" s="695"/>
      <c r="AQ25" s="246"/>
      <c r="AR25" s="246"/>
      <c r="AS25" s="682"/>
      <c r="AT25" s="705"/>
    </row>
    <row r="26" spans="1:46" ht="42" customHeight="1" x14ac:dyDescent="0.45">
      <c r="A26" s="1352"/>
      <c r="B26" s="692">
        <v>2</v>
      </c>
      <c r="C26" s="693"/>
      <c r="D26" s="694"/>
      <c r="E26" s="694">
        <v>42</v>
      </c>
      <c r="F26" s="695"/>
      <c r="G26" s="680"/>
      <c r="H26" s="682"/>
      <c r="I26" s="697" t="s">
        <v>325</v>
      </c>
      <c r="J26" s="705"/>
      <c r="K26" s="287"/>
      <c r="L26" s="699"/>
      <c r="M26" s="246"/>
      <c r="N26" s="246"/>
      <c r="O26" s="695"/>
      <c r="P26" s="680"/>
      <c r="Q26" s="682"/>
      <c r="R26" s="707"/>
      <c r="S26" s="705"/>
      <c r="T26" s="287"/>
      <c r="U26" s="699"/>
      <c r="V26" s="694"/>
      <c r="W26" s="246">
        <v>35</v>
      </c>
      <c r="X26" s="695"/>
      <c r="Y26" s="697"/>
      <c r="Z26" s="682"/>
      <c r="AA26" s="701" t="s">
        <v>1070</v>
      </c>
      <c r="AB26" s="705"/>
      <c r="AC26" s="287"/>
      <c r="AD26" s="699"/>
      <c r="AE26" s="694"/>
      <c r="AF26" s="246"/>
      <c r="AG26" s="695"/>
      <c r="AH26" s="697"/>
      <c r="AI26" s="682"/>
      <c r="AJ26" s="682"/>
      <c r="AK26" s="705"/>
      <c r="AL26" s="255"/>
      <c r="AM26" s="699"/>
      <c r="AN26" s="694"/>
      <c r="AO26" s="246">
        <v>15</v>
      </c>
      <c r="AP26" s="695"/>
      <c r="AQ26" s="680"/>
      <c r="AR26" s="682"/>
      <c r="AS26" s="682" t="s">
        <v>388</v>
      </c>
      <c r="AT26" s="705"/>
    </row>
    <row r="27" spans="1:46" ht="49.95" customHeight="1" x14ac:dyDescent="0.45">
      <c r="A27" s="1351">
        <v>45729</v>
      </c>
      <c r="B27" s="717">
        <v>1</v>
      </c>
      <c r="C27" s="693"/>
      <c r="D27" s="694"/>
      <c r="E27" s="694">
        <v>6</v>
      </c>
      <c r="F27" s="695"/>
      <c r="G27" s="680"/>
      <c r="H27" s="681"/>
      <c r="I27" s="711" t="s">
        <v>152</v>
      </c>
      <c r="J27" s="705"/>
      <c r="K27" s="287"/>
      <c r="L27" s="699"/>
      <c r="M27" s="246"/>
      <c r="N27" s="246"/>
      <c r="O27" s="695"/>
      <c r="P27" s="680"/>
      <c r="Q27" s="681"/>
      <c r="R27" s="682"/>
      <c r="S27" s="705"/>
      <c r="T27" s="287"/>
      <c r="U27" s="699"/>
      <c r="V27" s="246"/>
      <c r="W27" s="246">
        <v>17</v>
      </c>
      <c r="X27" s="695"/>
      <c r="Y27" s="680"/>
      <c r="Z27" s="682"/>
      <c r="AA27" s="715" t="s">
        <v>328</v>
      </c>
      <c r="AB27" s="705"/>
      <c r="AC27" s="287"/>
      <c r="AD27" s="699"/>
      <c r="AE27" s="246"/>
      <c r="AF27" s="246"/>
      <c r="AG27" s="695"/>
      <c r="AH27" s="680"/>
      <c r="AI27" s="245"/>
      <c r="AJ27" s="682"/>
      <c r="AK27" s="705"/>
      <c r="AL27" s="255"/>
      <c r="AM27" s="699"/>
      <c r="AN27" s="246"/>
      <c r="AO27" s="246"/>
      <c r="AP27" s="695"/>
      <c r="AQ27" s="245"/>
      <c r="AR27" s="246"/>
      <c r="AS27" s="682"/>
      <c r="AT27" s="705"/>
    </row>
    <row r="28" spans="1:46" ht="72" customHeight="1" x14ac:dyDescent="0.45">
      <c r="A28" s="1352"/>
      <c r="B28" s="692">
        <v>2</v>
      </c>
      <c r="C28" s="693"/>
      <c r="D28" s="694">
        <v>23</v>
      </c>
      <c r="E28" s="694">
        <v>13</v>
      </c>
      <c r="F28" s="695"/>
      <c r="G28" s="682"/>
      <c r="H28" s="682" t="s">
        <v>317</v>
      </c>
      <c r="I28" s="707" t="s">
        <v>152</v>
      </c>
      <c r="J28" s="705"/>
      <c r="K28" s="287"/>
      <c r="L28" s="699"/>
      <c r="M28" s="246">
        <v>20</v>
      </c>
      <c r="N28" s="246"/>
      <c r="O28" s="695"/>
      <c r="P28" s="682"/>
      <c r="Q28" s="682" t="s">
        <v>317</v>
      </c>
      <c r="R28" s="682"/>
      <c r="S28" s="705"/>
      <c r="T28" s="287"/>
      <c r="U28" s="699"/>
      <c r="V28" s="246"/>
      <c r="W28" s="287">
        <v>7</v>
      </c>
      <c r="X28" s="695"/>
      <c r="Y28" s="682"/>
      <c r="Z28" s="246"/>
      <c r="AA28" s="701" t="s">
        <v>336</v>
      </c>
      <c r="AB28" s="705"/>
      <c r="AC28" s="287"/>
      <c r="AD28" s="699"/>
      <c r="AE28" s="246"/>
      <c r="AF28" s="246"/>
      <c r="AG28" s="695"/>
      <c r="AH28" s="680"/>
      <c r="AI28" s="245"/>
      <c r="AJ28" s="701"/>
      <c r="AK28" s="705"/>
      <c r="AL28" s="255"/>
      <c r="AM28" s="699"/>
      <c r="AN28" s="246"/>
      <c r="AO28" s="246"/>
      <c r="AP28" s="695"/>
      <c r="AQ28" s="245"/>
      <c r="AR28" s="246"/>
      <c r="AS28" s="682"/>
      <c r="AT28" s="705"/>
    </row>
    <row r="29" spans="1:46" ht="66" customHeight="1" x14ac:dyDescent="0.45">
      <c r="A29" s="1351">
        <v>45730</v>
      </c>
      <c r="B29" s="692">
        <v>1</v>
      </c>
      <c r="C29" s="693"/>
      <c r="D29" s="694"/>
      <c r="E29" s="694"/>
      <c r="F29" s="695"/>
      <c r="G29" s="682"/>
      <c r="H29" s="681"/>
      <c r="I29" s="707"/>
      <c r="J29" s="705"/>
      <c r="K29" s="287"/>
      <c r="L29" s="699"/>
      <c r="M29" s="246"/>
      <c r="N29" s="246"/>
      <c r="O29" s="695"/>
      <c r="P29" s="680"/>
      <c r="Q29" s="682"/>
      <c r="R29" s="682"/>
      <c r="S29" s="705"/>
      <c r="T29" s="287"/>
      <c r="U29" s="699"/>
      <c r="V29" s="246"/>
      <c r="W29" s="246"/>
      <c r="X29" s="695"/>
      <c r="Y29" s="682"/>
      <c r="Z29" s="681"/>
      <c r="AA29" s="701"/>
      <c r="AB29" s="705"/>
      <c r="AC29" s="287"/>
      <c r="AD29" s="699"/>
      <c r="AE29" s="246"/>
      <c r="AF29" s="246"/>
      <c r="AG29" s="695"/>
      <c r="AH29" s="680"/>
      <c r="AI29" s="681"/>
      <c r="AJ29" s="246"/>
      <c r="AK29" s="705"/>
      <c r="AL29" s="255"/>
      <c r="AM29" s="699"/>
      <c r="AN29" s="246"/>
      <c r="AO29" s="246"/>
      <c r="AP29" s="246"/>
      <c r="AQ29" s="245"/>
      <c r="AR29" s="681"/>
      <c r="AS29" s="302"/>
      <c r="AT29" s="705"/>
    </row>
    <row r="30" spans="1:46" ht="39.65" customHeight="1" x14ac:dyDescent="0.45">
      <c r="A30" s="1352"/>
      <c r="B30" s="717">
        <v>2</v>
      </c>
      <c r="C30" s="693"/>
      <c r="D30" s="694"/>
      <c r="E30" s="694"/>
      <c r="F30" s="695"/>
      <c r="G30" s="682"/>
      <c r="H30" s="681"/>
      <c r="I30" s="701"/>
      <c r="J30" s="705"/>
      <c r="K30" s="287"/>
      <c r="L30" s="699"/>
      <c r="M30" s="246"/>
      <c r="N30" s="246"/>
      <c r="O30" s="695"/>
      <c r="P30" s="680"/>
      <c r="Q30" s="682"/>
      <c r="R30" s="682"/>
      <c r="S30" s="705"/>
      <c r="T30" s="287"/>
      <c r="U30" s="699"/>
      <c r="V30" s="246"/>
      <c r="W30" s="246"/>
      <c r="X30" s="695"/>
      <c r="Y30" s="682"/>
      <c r="Z30" s="798"/>
      <c r="AA30" s="799"/>
      <c r="AB30" s="705"/>
      <c r="AC30" s="287"/>
      <c r="AD30" s="699"/>
      <c r="AE30" s="246"/>
      <c r="AF30" s="246"/>
      <c r="AG30" s="695"/>
      <c r="AH30" s="680"/>
      <c r="AI30" s="682"/>
      <c r="AJ30" s="246"/>
      <c r="AK30" s="705"/>
      <c r="AL30" s="255"/>
      <c r="AM30" s="699"/>
      <c r="AN30" s="246"/>
      <c r="AO30" s="246"/>
      <c r="AP30" s="246"/>
      <c r="AQ30" s="296"/>
      <c r="AR30" s="681"/>
      <c r="AS30" s="302"/>
      <c r="AT30" s="704"/>
    </row>
    <row r="31" spans="1:46" ht="39.65" customHeight="1" x14ac:dyDescent="0.45">
      <c r="A31" s="1351">
        <v>45731</v>
      </c>
      <c r="B31" s="692">
        <v>1</v>
      </c>
      <c r="C31" s="693"/>
      <c r="D31" s="694"/>
      <c r="E31" s="694"/>
      <c r="F31" s="695"/>
      <c r="G31" s="680"/>
      <c r="H31" s="794"/>
      <c r="I31" s="793"/>
      <c r="J31" s="705"/>
      <c r="K31" s="287"/>
      <c r="L31" s="699"/>
      <c r="M31" s="246"/>
      <c r="N31" s="246"/>
      <c r="O31" s="695"/>
      <c r="P31" s="251"/>
      <c r="Q31" s="246"/>
      <c r="R31" s="246"/>
      <c r="S31" s="705"/>
      <c r="T31" s="287"/>
      <c r="U31" s="699"/>
      <c r="V31" s="246"/>
      <c r="W31" s="246"/>
      <c r="X31" s="695"/>
      <c r="Y31" s="301"/>
      <c r="Z31" s="800"/>
      <c r="AA31" s="801"/>
      <c r="AB31" s="797"/>
      <c r="AC31" s="287"/>
      <c r="AD31" s="699"/>
      <c r="AE31" s="246"/>
      <c r="AF31" s="246"/>
      <c r="AG31" s="695"/>
      <c r="AH31" s="680"/>
      <c r="AI31" s="246"/>
      <c r="AJ31" s="246"/>
      <c r="AK31" s="705"/>
      <c r="AL31" s="255"/>
      <c r="AM31" s="699"/>
      <c r="AN31" s="246"/>
      <c r="AO31" s="246"/>
      <c r="AP31" s="246"/>
      <c r="AQ31" s="251"/>
      <c r="AR31" s="681"/>
      <c r="AS31" s="246"/>
      <c r="AT31" s="704"/>
    </row>
    <row r="32" spans="1:46" ht="63" customHeight="1" x14ac:dyDescent="0.45">
      <c r="A32" s="1352"/>
      <c r="B32" s="692">
        <v>2</v>
      </c>
      <c r="C32" s="792"/>
      <c r="D32" s="787"/>
      <c r="E32" s="761">
        <v>8</v>
      </c>
      <c r="F32" s="787"/>
      <c r="G32" s="680"/>
      <c r="H32" s="794"/>
      <c r="I32" s="793" t="s">
        <v>325</v>
      </c>
      <c r="J32" s="705"/>
      <c r="K32" s="287"/>
      <c r="L32" s="699"/>
      <c r="M32" s="246"/>
      <c r="N32" s="246"/>
      <c r="O32" s="246"/>
      <c r="P32" s="251"/>
      <c r="Q32" s="794"/>
      <c r="R32" s="251"/>
      <c r="S32" s="705"/>
      <c r="T32" s="287"/>
      <c r="U32" s="699">
        <v>2.48</v>
      </c>
      <c r="V32" s="246"/>
      <c r="W32" s="694"/>
      <c r="X32" s="246"/>
      <c r="Y32" s="716" t="s">
        <v>1069</v>
      </c>
      <c r="Z32" s="804"/>
      <c r="AA32" s="803"/>
      <c r="AB32" s="797"/>
      <c r="AC32" s="287"/>
      <c r="AD32" s="699"/>
      <c r="AE32" s="246"/>
      <c r="AF32" s="694"/>
      <c r="AG32" s="246"/>
      <c r="AH32" s="680"/>
      <c r="AI32" s="794"/>
      <c r="AJ32" s="793"/>
      <c r="AK32" s="705"/>
      <c r="AL32" s="255"/>
      <c r="AM32" s="699"/>
      <c r="AN32" s="246"/>
      <c r="AO32" s="246"/>
      <c r="AP32" s="246"/>
      <c r="AQ32" s="251"/>
      <c r="AR32" s="681"/>
      <c r="AS32" s="711"/>
      <c r="AT32" s="704"/>
    </row>
    <row r="33" spans="1:46" ht="43.2" customHeight="1" x14ac:dyDescent="0.45">
      <c r="A33" s="1351">
        <v>45732</v>
      </c>
      <c r="B33" s="692">
        <v>1</v>
      </c>
      <c r="C33" s="693"/>
      <c r="D33" s="694">
        <v>17</v>
      </c>
      <c r="E33" s="694"/>
      <c r="F33" s="695"/>
      <c r="G33" s="680"/>
      <c r="H33" s="794" t="s">
        <v>317</v>
      </c>
      <c r="I33" s="793"/>
      <c r="J33" s="705"/>
      <c r="K33" s="287"/>
      <c r="L33" s="699"/>
      <c r="M33" s="246"/>
      <c r="N33" s="246"/>
      <c r="O33" s="695"/>
      <c r="P33" s="251"/>
      <c r="Q33" s="246"/>
      <c r="R33" s="246"/>
      <c r="S33" s="705"/>
      <c r="T33" s="287"/>
      <c r="U33" s="699"/>
      <c r="V33" s="246"/>
      <c r="W33" s="246"/>
      <c r="X33" s="695"/>
      <c r="Y33" s="251"/>
      <c r="Z33" s="226"/>
      <c r="AA33" s="803"/>
      <c r="AB33" s="705"/>
      <c r="AC33" s="287"/>
      <c r="AD33" s="699"/>
      <c r="AE33" s="246"/>
      <c r="AF33" s="246"/>
      <c r="AG33" s="695"/>
      <c r="AH33" s="251"/>
      <c r="AI33" s="805"/>
      <c r="AJ33" s="793"/>
      <c r="AK33" s="705"/>
      <c r="AL33" s="255"/>
      <c r="AM33" s="699"/>
      <c r="AN33" s="246"/>
      <c r="AO33" s="246"/>
      <c r="AP33" s="246"/>
      <c r="AQ33" s="251"/>
      <c r="AR33" s="805"/>
      <c r="AS33" s="251"/>
      <c r="AT33" s="705"/>
    </row>
    <row r="34" spans="1:46" ht="67.95" customHeight="1" x14ac:dyDescent="0.45">
      <c r="A34" s="1352"/>
      <c r="B34" s="717">
        <v>2</v>
      </c>
      <c r="C34" s="694"/>
      <c r="D34" s="694">
        <v>5</v>
      </c>
      <c r="E34" s="694"/>
      <c r="F34" s="695"/>
      <c r="G34" s="696"/>
      <c r="H34" s="682"/>
      <c r="I34" s="701" t="s">
        <v>304</v>
      </c>
      <c r="J34" s="705"/>
      <c r="K34" s="287"/>
      <c r="L34" s="699"/>
      <c r="M34" s="246"/>
      <c r="N34" s="246"/>
      <c r="O34" s="695"/>
      <c r="P34" s="251"/>
      <c r="Q34" s="682"/>
      <c r="R34" s="246"/>
      <c r="S34" s="705"/>
      <c r="T34" s="287"/>
      <c r="U34" s="699"/>
      <c r="V34" s="246">
        <v>41</v>
      </c>
      <c r="W34" s="246"/>
      <c r="X34" s="695"/>
      <c r="Y34" s="245"/>
      <c r="Z34" s="245" t="s">
        <v>317</v>
      </c>
      <c r="AA34" s="803"/>
      <c r="AB34" s="705"/>
      <c r="AC34" s="287"/>
      <c r="AD34" s="699"/>
      <c r="AE34" s="246"/>
      <c r="AF34" s="246"/>
      <c r="AG34" s="695"/>
      <c r="AH34" s="251"/>
      <c r="AI34" s="246"/>
      <c r="AJ34" s="245"/>
      <c r="AK34" s="705"/>
      <c r="AL34" s="255"/>
      <c r="AM34" s="699"/>
      <c r="AN34" s="246"/>
      <c r="AO34" s="246"/>
      <c r="AP34" s="246"/>
      <c r="AQ34" s="251"/>
      <c r="AR34" s="805"/>
      <c r="AS34" s="682"/>
      <c r="AT34" s="705"/>
    </row>
    <row r="35" spans="1:46" ht="51" customHeight="1" x14ac:dyDescent="0.45">
      <c r="A35" s="1351">
        <v>45733</v>
      </c>
      <c r="B35" s="692">
        <v>1</v>
      </c>
      <c r="C35" s="694"/>
      <c r="D35" s="694"/>
      <c r="E35" s="302">
        <v>21</v>
      </c>
      <c r="F35" s="695"/>
      <c r="G35" s="719"/>
      <c r="H35" s="251"/>
      <c r="I35" s="701" t="s">
        <v>328</v>
      </c>
      <c r="J35" s="705"/>
      <c r="K35" s="287"/>
      <c r="L35" s="699"/>
      <c r="M35" s="246"/>
      <c r="N35" s="246"/>
      <c r="O35" s="695"/>
      <c r="P35" s="719"/>
      <c r="Q35" s="682"/>
      <c r="R35" s="682"/>
      <c r="S35" s="705"/>
      <c r="T35" s="287"/>
      <c r="U35" s="699"/>
      <c r="V35" s="246"/>
      <c r="W35" s="302">
        <v>16</v>
      </c>
      <c r="X35" s="695"/>
      <c r="Y35" s="719"/>
      <c r="Z35" s="245"/>
      <c r="AA35" s="701" t="s">
        <v>328</v>
      </c>
      <c r="AB35" s="705"/>
      <c r="AC35" s="287"/>
      <c r="AD35" s="699"/>
      <c r="AE35" s="246"/>
      <c r="AF35" s="246">
        <v>7</v>
      </c>
      <c r="AG35" s="695"/>
      <c r="AH35" s="719"/>
      <c r="AI35" s="806"/>
      <c r="AJ35" s="711" t="s">
        <v>328</v>
      </c>
      <c r="AK35" s="705"/>
      <c r="AL35" s="255"/>
      <c r="AM35" s="699"/>
      <c r="AN35" s="246"/>
      <c r="AO35" s="246"/>
      <c r="AP35" s="246"/>
      <c r="AQ35" s="251"/>
      <c r="AR35" s="805"/>
      <c r="AS35" s="301"/>
      <c r="AT35" s="705"/>
    </row>
    <row r="36" spans="1:46" ht="46.95" customHeight="1" x14ac:dyDescent="0.45">
      <c r="A36" s="1352"/>
      <c r="B36" s="692">
        <v>2</v>
      </c>
      <c r="C36" s="302"/>
      <c r="D36" s="246"/>
      <c r="E36" s="302"/>
      <c r="F36" s="695"/>
      <c r="G36" s="707"/>
      <c r="H36" s="682"/>
      <c r="I36" s="707"/>
      <c r="J36" s="705"/>
      <c r="K36" s="287"/>
      <c r="L36" s="719"/>
      <c r="M36" s="246"/>
      <c r="N36" s="246"/>
      <c r="O36" s="695"/>
      <c r="P36" s="719"/>
      <c r="Q36" s="682"/>
      <c r="R36" s="245"/>
      <c r="S36" s="705"/>
      <c r="T36" s="287"/>
      <c r="U36" s="699"/>
      <c r="V36" s="246"/>
      <c r="W36" s="246">
        <v>5</v>
      </c>
      <c r="X36" s="695"/>
      <c r="Y36" s="719"/>
      <c r="Z36" s="682"/>
      <c r="AA36" s="701" t="s">
        <v>328</v>
      </c>
      <c r="AB36" s="705"/>
      <c r="AC36" s="287"/>
      <c r="AD36" s="699"/>
      <c r="AE36" s="246"/>
      <c r="AF36" s="302">
        <v>10</v>
      </c>
      <c r="AG36" s="695"/>
      <c r="AH36" s="719"/>
      <c r="AI36" s="805"/>
      <c r="AJ36" s="793" t="s">
        <v>336</v>
      </c>
      <c r="AK36" s="705"/>
      <c r="AL36" s="255"/>
      <c r="AM36" s="699"/>
      <c r="AN36" s="246"/>
      <c r="AO36" s="246">
        <v>25</v>
      </c>
      <c r="AP36" s="246"/>
      <c r="AQ36" s="251"/>
      <c r="AR36" s="805"/>
      <c r="AS36" s="296" t="s">
        <v>328</v>
      </c>
      <c r="AT36" s="705"/>
    </row>
    <row r="37" spans="1:46" ht="59.5" customHeight="1" x14ac:dyDescent="0.45">
      <c r="A37" s="1351">
        <v>45734</v>
      </c>
      <c r="B37" s="717">
        <v>1</v>
      </c>
      <c r="C37" s="302"/>
      <c r="D37" s="694"/>
      <c r="E37" s="302">
        <v>10</v>
      </c>
      <c r="F37" s="695"/>
      <c r="G37" s="707"/>
      <c r="H37" s="296"/>
      <c r="I37" s="697" t="s">
        <v>325</v>
      </c>
      <c r="J37" s="705"/>
      <c r="K37" s="287"/>
      <c r="L37" s="699"/>
      <c r="M37" s="246"/>
      <c r="N37" s="246"/>
      <c r="O37" s="695"/>
      <c r="P37" s="251"/>
      <c r="Q37" s="682"/>
      <c r="R37" s="246"/>
      <c r="S37" s="705"/>
      <c r="T37" s="287"/>
      <c r="U37" s="699"/>
      <c r="V37" s="246"/>
      <c r="W37" s="246">
        <v>7</v>
      </c>
      <c r="X37" s="695"/>
      <c r="Y37" s="251"/>
      <c r="Z37" s="245"/>
      <c r="AA37" s="701" t="s">
        <v>336</v>
      </c>
      <c r="AB37" s="705"/>
      <c r="AC37" s="287"/>
      <c r="AD37" s="699"/>
      <c r="AE37" s="246"/>
      <c r="AF37" s="246">
        <v>7</v>
      </c>
      <c r="AG37" s="695"/>
      <c r="AH37" s="296"/>
      <c r="AI37" s="246"/>
      <c r="AJ37" s="701" t="s">
        <v>1060</v>
      </c>
      <c r="AK37" s="705"/>
      <c r="AL37" s="255"/>
      <c r="AM37" s="699"/>
      <c r="AN37" s="246"/>
      <c r="AO37" s="246"/>
      <c r="AP37" s="246"/>
      <c r="AQ37" s="251"/>
      <c r="AR37" s="805"/>
      <c r="AS37" s="251"/>
      <c r="AT37" s="705"/>
    </row>
    <row r="38" spans="1:46" ht="55.95" customHeight="1" x14ac:dyDescent="0.45">
      <c r="A38" s="1352"/>
      <c r="B38" s="692">
        <v>2</v>
      </c>
      <c r="C38" s="302"/>
      <c r="D38" s="694">
        <v>220</v>
      </c>
      <c r="E38" s="302">
        <v>37</v>
      </c>
      <c r="F38" s="695"/>
      <c r="G38" s="707"/>
      <c r="H38" s="296" t="s">
        <v>1071</v>
      </c>
      <c r="I38" s="697" t="s">
        <v>152</v>
      </c>
      <c r="J38" s="705"/>
      <c r="K38" s="287"/>
      <c r="L38" s="699"/>
      <c r="M38" s="246">
        <v>218</v>
      </c>
      <c r="N38" s="246"/>
      <c r="O38" s="695"/>
      <c r="P38" s="296"/>
      <c r="Q38" s="296" t="s">
        <v>1071</v>
      </c>
      <c r="R38" s="246"/>
      <c r="S38" s="705"/>
      <c r="T38" s="287"/>
      <c r="U38" s="699"/>
      <c r="V38" s="246">
        <v>224</v>
      </c>
      <c r="W38" s="246">
        <v>30</v>
      </c>
      <c r="X38" s="695"/>
      <c r="Y38" s="296"/>
      <c r="Z38" s="245" t="s">
        <v>1071</v>
      </c>
      <c r="AA38" s="701" t="s">
        <v>152</v>
      </c>
      <c r="AB38" s="705"/>
      <c r="AC38" s="287"/>
      <c r="AD38" s="699"/>
      <c r="AE38" s="246">
        <v>180</v>
      </c>
      <c r="AF38" s="246"/>
      <c r="AG38" s="695"/>
      <c r="AH38" s="296"/>
      <c r="AI38" s="246" t="s">
        <v>1071</v>
      </c>
      <c r="AJ38" s="701"/>
      <c r="AK38" s="705"/>
      <c r="AL38" s="255"/>
      <c r="AM38" s="699"/>
      <c r="AN38" s="246">
        <v>186</v>
      </c>
      <c r="AO38" s="246"/>
      <c r="AP38" s="246"/>
      <c r="AQ38" s="251"/>
      <c r="AR38" s="805" t="s">
        <v>1071</v>
      </c>
      <c r="AS38" s="296"/>
      <c r="AT38" s="705"/>
    </row>
    <row r="39" spans="1:46" ht="70.95" customHeight="1" x14ac:dyDescent="0.45">
      <c r="A39" s="1351">
        <v>45735</v>
      </c>
      <c r="B39" s="692">
        <v>1</v>
      </c>
      <c r="C39" s="302"/>
      <c r="D39" s="694">
        <v>5</v>
      </c>
      <c r="E39" s="694">
        <v>22</v>
      </c>
      <c r="F39" s="695"/>
      <c r="G39" s="707"/>
      <c r="H39" s="296" t="s">
        <v>866</v>
      </c>
      <c r="I39" s="697" t="s">
        <v>328</v>
      </c>
      <c r="J39" s="705"/>
      <c r="K39" s="287"/>
      <c r="L39" s="699"/>
      <c r="M39" s="246"/>
      <c r="N39" s="246"/>
      <c r="O39" s="695"/>
      <c r="P39" s="707"/>
      <c r="Q39" s="682"/>
      <c r="R39" s="246"/>
      <c r="S39" s="705"/>
      <c r="T39" s="287"/>
      <c r="U39" s="699"/>
      <c r="V39" s="246"/>
      <c r="W39" s="246">
        <v>13</v>
      </c>
      <c r="X39" s="695"/>
      <c r="Y39" s="251"/>
      <c r="Z39" s="682"/>
      <c r="AA39" s="701" t="s">
        <v>328</v>
      </c>
      <c r="AB39" s="705"/>
      <c r="AC39" s="287"/>
      <c r="AD39" s="699"/>
      <c r="AE39" s="246"/>
      <c r="AF39" s="246"/>
      <c r="AG39" s="695"/>
      <c r="AH39" s="707"/>
      <c r="AI39" s="681"/>
      <c r="AJ39" s="701"/>
      <c r="AK39" s="705"/>
      <c r="AL39" s="255"/>
      <c r="AM39" s="699"/>
      <c r="AN39" s="246"/>
      <c r="AO39" s="246"/>
      <c r="AP39" s="246"/>
      <c r="AQ39" s="251"/>
      <c r="AR39" s="805"/>
      <c r="AS39" s="793"/>
      <c r="AT39" s="705"/>
    </row>
    <row r="40" spans="1:46" ht="72.650000000000006" customHeight="1" x14ac:dyDescent="0.45">
      <c r="A40" s="1352"/>
      <c r="B40" s="692">
        <v>2</v>
      </c>
      <c r="C40" s="694"/>
      <c r="D40" s="694"/>
      <c r="E40" s="694">
        <v>5</v>
      </c>
      <c r="F40" s="695"/>
      <c r="G40" s="707"/>
      <c r="H40" s="296"/>
      <c r="I40" s="697" t="s">
        <v>152</v>
      </c>
      <c r="J40" s="705"/>
      <c r="K40" s="287"/>
      <c r="L40" s="699"/>
      <c r="M40" s="246"/>
      <c r="N40" s="246"/>
      <c r="O40" s="695"/>
      <c r="P40" s="680"/>
      <c r="Q40" s="681"/>
      <c r="R40" s="707"/>
      <c r="S40" s="705"/>
      <c r="T40" s="287"/>
      <c r="U40" s="699"/>
      <c r="V40" s="246"/>
      <c r="W40" s="246">
        <v>12</v>
      </c>
      <c r="X40" s="695"/>
      <c r="Y40" s="296"/>
      <c r="Z40" s="246"/>
      <c r="AA40" s="701" t="s">
        <v>328</v>
      </c>
      <c r="AB40" s="705"/>
      <c r="AC40" s="287"/>
      <c r="AD40" s="699"/>
      <c r="AE40" s="246"/>
      <c r="AF40" s="246"/>
      <c r="AG40" s="695"/>
      <c r="AH40" s="719"/>
      <c r="AI40" s="682"/>
      <c r="AJ40" s="701"/>
      <c r="AK40" s="705"/>
      <c r="AL40" s="255"/>
      <c r="AM40" s="719"/>
      <c r="AN40" s="246"/>
      <c r="AO40" s="246"/>
      <c r="AP40" s="246"/>
      <c r="AQ40" s="251"/>
      <c r="AR40" s="805"/>
      <c r="AS40" s="707"/>
      <c r="AT40" s="705"/>
    </row>
    <row r="41" spans="1:46" ht="39.65" customHeight="1" x14ac:dyDescent="0.45">
      <c r="A41" s="1351">
        <v>45736</v>
      </c>
      <c r="B41" s="692">
        <v>1</v>
      </c>
      <c r="C41" s="693"/>
      <c r="D41" s="694"/>
      <c r="E41" s="694"/>
      <c r="F41" s="695"/>
      <c r="G41" s="680"/>
      <c r="H41" s="682"/>
      <c r="I41" s="697"/>
      <c r="J41" s="705"/>
      <c r="K41" s="287"/>
      <c r="L41" s="699"/>
      <c r="M41" s="246"/>
      <c r="N41" s="246"/>
      <c r="O41" s="695"/>
      <c r="P41" s="251"/>
      <c r="Q41" s="246"/>
      <c r="R41" s="707"/>
      <c r="S41" s="705"/>
      <c r="T41" s="287"/>
      <c r="U41" s="699"/>
      <c r="V41" s="246"/>
      <c r="W41" s="246">
        <v>5</v>
      </c>
      <c r="X41" s="695"/>
      <c r="Y41" s="251"/>
      <c r="Z41" s="245"/>
      <c r="AA41" s="701" t="s">
        <v>152</v>
      </c>
      <c r="AB41" s="705"/>
      <c r="AC41" s="287"/>
      <c r="AD41" s="699"/>
      <c r="AE41" s="246"/>
      <c r="AF41" s="246"/>
      <c r="AG41" s="695"/>
      <c r="AH41" s="719"/>
      <c r="AI41" s="245"/>
      <c r="AJ41" s="246"/>
      <c r="AK41" s="705"/>
      <c r="AL41" s="255"/>
      <c r="AM41" s="699"/>
      <c r="AN41" s="246"/>
      <c r="AO41" s="246"/>
      <c r="AP41" s="246"/>
      <c r="AQ41" s="251"/>
      <c r="AR41" s="805"/>
      <c r="AS41" s="707"/>
      <c r="AT41" s="705"/>
    </row>
    <row r="42" spans="1:46" ht="52.95" customHeight="1" x14ac:dyDescent="0.45">
      <c r="A42" s="1352"/>
      <c r="B42" s="692">
        <v>2</v>
      </c>
      <c r="C42" s="694"/>
      <c r="D42" s="694"/>
      <c r="E42" s="694">
        <v>12</v>
      </c>
      <c r="F42" s="695"/>
      <c r="G42" s="680"/>
      <c r="H42" s="682"/>
      <c r="I42" s="707" t="s">
        <v>328</v>
      </c>
      <c r="J42" s="705"/>
      <c r="K42" s="287"/>
      <c r="L42" s="699"/>
      <c r="M42" s="246"/>
      <c r="N42" s="246"/>
      <c r="O42" s="695"/>
      <c r="P42" s="251"/>
      <c r="Q42" s="245"/>
      <c r="R42" s="246"/>
      <c r="S42" s="705"/>
      <c r="T42" s="287"/>
      <c r="U42" s="699"/>
      <c r="V42" s="246"/>
      <c r="W42" s="246"/>
      <c r="X42" s="695"/>
      <c r="Y42" s="296"/>
      <c r="Z42" s="246"/>
      <c r="AA42" s="701"/>
      <c r="AB42" s="705"/>
      <c r="AC42" s="287"/>
      <c r="AD42" s="699"/>
      <c r="AE42" s="246"/>
      <c r="AF42" s="246"/>
      <c r="AG42" s="695"/>
      <c r="AH42" s="251"/>
      <c r="AI42" s="245"/>
      <c r="AJ42" s="246"/>
      <c r="AK42" s="705"/>
      <c r="AL42" s="255"/>
      <c r="AM42" s="699"/>
      <c r="AN42" s="246"/>
      <c r="AO42" s="246"/>
      <c r="AP42" s="246"/>
      <c r="AQ42" s="251"/>
      <c r="AR42" s="805"/>
      <c r="AS42" s="246"/>
      <c r="AT42" s="705"/>
    </row>
    <row r="43" spans="1:46" ht="65.5" customHeight="1" x14ac:dyDescent="0.45">
      <c r="A43" s="1351">
        <v>45737</v>
      </c>
      <c r="B43" s="692">
        <v>1</v>
      </c>
      <c r="C43" s="694"/>
      <c r="D43" s="694"/>
      <c r="E43" s="694"/>
      <c r="F43" s="695"/>
      <c r="G43" s="681"/>
      <c r="H43" s="681"/>
      <c r="I43" s="707"/>
      <c r="J43" s="705"/>
      <c r="K43" s="287"/>
      <c r="L43" s="699"/>
      <c r="M43" s="246"/>
      <c r="N43" s="246"/>
      <c r="O43" s="695"/>
      <c r="P43" s="251"/>
      <c r="Q43" s="246"/>
      <c r="R43" s="246"/>
      <c r="S43" s="705"/>
      <c r="T43" s="287"/>
      <c r="U43" s="699"/>
      <c r="V43" s="246"/>
      <c r="W43" s="246">
        <v>5</v>
      </c>
      <c r="X43" s="695"/>
      <c r="Y43" s="251"/>
      <c r="Z43" s="246"/>
      <c r="AA43" s="701" t="s">
        <v>1060</v>
      </c>
      <c r="AB43" s="705"/>
      <c r="AC43" s="287"/>
      <c r="AD43" s="699"/>
      <c r="AE43" s="246"/>
      <c r="AF43" s="246"/>
      <c r="AG43" s="695"/>
      <c r="AH43" s="245"/>
      <c r="AI43" s="682"/>
      <c r="AJ43" s="246"/>
      <c r="AK43" s="705"/>
      <c r="AL43" s="255"/>
      <c r="AM43" s="699"/>
      <c r="AN43" s="246"/>
      <c r="AO43" s="246"/>
      <c r="AP43" s="246"/>
      <c r="AQ43" s="245"/>
      <c r="AR43" s="805"/>
      <c r="AS43" s="246"/>
      <c r="AT43" s="705"/>
    </row>
    <row r="44" spans="1:46" ht="69" customHeight="1" x14ac:dyDescent="0.45">
      <c r="A44" s="1352"/>
      <c r="B44" s="692">
        <v>2</v>
      </c>
      <c r="C44" s="694"/>
      <c r="D44" s="694"/>
      <c r="E44" s="694">
        <v>16</v>
      </c>
      <c r="F44" s="695"/>
      <c r="G44" s="681"/>
      <c r="H44" s="296"/>
      <c r="I44" s="707" t="s">
        <v>328</v>
      </c>
      <c r="J44" s="705"/>
      <c r="K44" s="287"/>
      <c r="L44" s="699"/>
      <c r="M44" s="246"/>
      <c r="N44" s="246"/>
      <c r="O44" s="689"/>
      <c r="P44" s="296"/>
      <c r="Q44" s="246"/>
      <c r="R44" s="245"/>
      <c r="S44" s="705"/>
      <c r="T44" s="287"/>
      <c r="U44" s="699"/>
      <c r="V44" s="246"/>
      <c r="W44" s="694">
        <v>20</v>
      </c>
      <c r="X44" s="695"/>
      <c r="Y44" s="681"/>
      <c r="Z44" s="682"/>
      <c r="AA44" s="701" t="s">
        <v>328</v>
      </c>
      <c r="AB44" s="705"/>
      <c r="AC44" s="287"/>
      <c r="AD44" s="699"/>
      <c r="AE44" s="246"/>
      <c r="AF44" s="246"/>
      <c r="AG44" s="689"/>
      <c r="AH44" s="251"/>
      <c r="AI44" s="245"/>
      <c r="AJ44" s="701"/>
      <c r="AK44" s="705"/>
      <c r="AL44" s="255"/>
      <c r="AM44" s="699"/>
      <c r="AN44" s="246"/>
      <c r="AO44" s="246"/>
      <c r="AP44" s="246"/>
      <c r="AQ44" s="251"/>
      <c r="AR44" s="245"/>
      <c r="AS44" s="245"/>
      <c r="AT44" s="705"/>
    </row>
    <row r="45" spans="1:46" ht="69" customHeight="1" x14ac:dyDescent="0.45">
      <c r="A45" s="1351">
        <v>45738</v>
      </c>
      <c r="B45" s="692">
        <v>1</v>
      </c>
      <c r="C45" s="694"/>
      <c r="D45" s="694"/>
      <c r="E45" s="694">
        <v>15</v>
      </c>
      <c r="F45" s="695"/>
      <c r="G45" s="681"/>
      <c r="H45" s="681"/>
      <c r="I45" s="707" t="s">
        <v>328</v>
      </c>
      <c r="J45" s="705"/>
      <c r="K45" s="287"/>
      <c r="L45" s="699"/>
      <c r="M45" s="246"/>
      <c r="N45" s="246"/>
      <c r="O45" s="689"/>
      <c r="P45" s="251"/>
      <c r="Q45" s="245"/>
      <c r="R45" s="246"/>
      <c r="S45" s="705"/>
      <c r="T45" s="287"/>
      <c r="U45" s="699"/>
      <c r="V45" s="245"/>
      <c r="W45" s="246">
        <v>13</v>
      </c>
      <c r="X45" s="695"/>
      <c r="Y45" s="251"/>
      <c r="Z45" s="245"/>
      <c r="AA45" s="701" t="s">
        <v>336</v>
      </c>
      <c r="AB45" s="705"/>
      <c r="AC45" s="287"/>
      <c r="AD45" s="699"/>
      <c r="AE45" s="246"/>
      <c r="AF45" s="246"/>
      <c r="AG45" s="689"/>
      <c r="AH45" s="251"/>
      <c r="AI45" s="245"/>
      <c r="AJ45" s="245"/>
      <c r="AK45" s="705"/>
      <c r="AL45" s="255"/>
      <c r="AM45" s="699"/>
      <c r="AN45" s="246"/>
      <c r="AO45" s="246"/>
      <c r="AP45" s="246"/>
      <c r="AQ45" s="251"/>
      <c r="AR45" s="245"/>
      <c r="AS45" s="246"/>
      <c r="AT45" s="705"/>
    </row>
    <row r="46" spans="1:46" ht="48.65" customHeight="1" x14ac:dyDescent="0.45">
      <c r="A46" s="1352"/>
      <c r="B46" s="692">
        <v>2</v>
      </c>
      <c r="C46" s="694"/>
      <c r="D46" s="694"/>
      <c r="E46" s="694">
        <v>10</v>
      </c>
      <c r="F46" s="695"/>
      <c r="G46" s="681"/>
      <c r="H46" s="681"/>
      <c r="I46" s="707" t="s">
        <v>328</v>
      </c>
      <c r="J46" s="705"/>
      <c r="K46" s="287"/>
      <c r="L46" s="699"/>
      <c r="M46" s="246"/>
      <c r="N46" s="246"/>
      <c r="O46" s="724"/>
      <c r="P46" s="251"/>
      <c r="Q46" s="682"/>
      <c r="R46" s="245"/>
      <c r="S46" s="705"/>
      <c r="T46" s="287"/>
      <c r="U46" s="699"/>
      <c r="V46" s="246"/>
      <c r="W46" s="246">
        <v>10</v>
      </c>
      <c r="X46" s="689"/>
      <c r="Y46" s="246"/>
      <c r="Z46" s="246"/>
      <c r="AA46" s="245" t="s">
        <v>328</v>
      </c>
      <c r="AB46" s="705"/>
      <c r="AC46" s="287"/>
      <c r="AD46" s="699"/>
      <c r="AE46" s="246"/>
      <c r="AF46" s="246"/>
      <c r="AG46" s="689"/>
      <c r="AH46" s="296"/>
      <c r="AI46" s="245"/>
      <c r="AJ46" s="701"/>
      <c r="AK46" s="705"/>
      <c r="AL46" s="255"/>
      <c r="AM46" s="699"/>
      <c r="AN46" s="246"/>
      <c r="AO46" s="246"/>
      <c r="AP46" s="246"/>
      <c r="AQ46" s="251"/>
      <c r="AR46" s="682"/>
      <c r="AS46" s="245"/>
      <c r="AT46" s="705"/>
    </row>
    <row r="47" spans="1:46" ht="58.95" customHeight="1" x14ac:dyDescent="0.45">
      <c r="A47" s="1351">
        <v>45739</v>
      </c>
      <c r="B47" s="692">
        <v>1</v>
      </c>
      <c r="C47" s="694"/>
      <c r="D47" s="694"/>
      <c r="E47" s="694"/>
      <c r="F47" s="695"/>
      <c r="G47" s="681"/>
      <c r="H47" s="682"/>
      <c r="I47" s="707"/>
      <c r="J47" s="698"/>
      <c r="K47" s="287"/>
      <c r="L47" s="699"/>
      <c r="M47" s="246"/>
      <c r="N47" s="246"/>
      <c r="O47" s="689"/>
      <c r="P47" s="251"/>
      <c r="Q47" s="246"/>
      <c r="R47" s="246"/>
      <c r="S47" s="705"/>
      <c r="T47" s="287"/>
      <c r="U47" s="699"/>
      <c r="V47" s="246"/>
      <c r="W47" s="246"/>
      <c r="X47" s="689"/>
      <c r="Y47" s="681"/>
      <c r="Z47" s="245"/>
      <c r="AA47" s="245"/>
      <c r="AB47" s="705"/>
      <c r="AC47" s="287"/>
      <c r="AD47" s="699"/>
      <c r="AE47" s="246"/>
      <c r="AF47" s="246"/>
      <c r="AG47" s="246"/>
      <c r="AH47" s="296"/>
      <c r="AI47" s="682"/>
      <c r="AJ47" s="701"/>
      <c r="AK47" s="730"/>
      <c r="AL47" s="255"/>
      <c r="AM47" s="699"/>
      <c r="AN47" s="246"/>
      <c r="AO47" s="246"/>
      <c r="AP47" s="246"/>
      <c r="AQ47" s="251"/>
      <c r="AR47" s="682"/>
      <c r="AS47" s="245"/>
      <c r="AT47" s="730"/>
    </row>
    <row r="48" spans="1:46" ht="34.950000000000003" customHeight="1" x14ac:dyDescent="0.45">
      <c r="A48" s="1352"/>
      <c r="B48" s="692">
        <v>2</v>
      </c>
      <c r="C48" s="694"/>
      <c r="D48" s="694"/>
      <c r="E48" s="694"/>
      <c r="F48" s="695"/>
      <c r="G48" s="682"/>
      <c r="H48" s="682"/>
      <c r="I48" s="707"/>
      <c r="J48" s="705"/>
      <c r="K48" s="287"/>
      <c r="L48" s="699"/>
      <c r="M48" s="246"/>
      <c r="N48" s="246"/>
      <c r="O48" s="695"/>
      <c r="P48" s="682"/>
      <c r="Q48" s="682"/>
      <c r="R48" s="707"/>
      <c r="S48" s="705"/>
      <c r="T48" s="287"/>
      <c r="U48" s="699"/>
      <c r="V48" s="246"/>
      <c r="W48" s="246"/>
      <c r="X48" s="695"/>
      <c r="Y48" s="682"/>
      <c r="Z48" s="682"/>
      <c r="AA48" s="707"/>
      <c r="AB48" s="705"/>
      <c r="AC48" s="287"/>
      <c r="AD48" s="699"/>
      <c r="AE48" s="246"/>
      <c r="AF48" s="246"/>
      <c r="AG48" s="246"/>
      <c r="AH48" s="296"/>
      <c r="AI48" s="682"/>
      <c r="AJ48" s="701"/>
      <c r="AK48" s="730"/>
      <c r="AL48" s="255"/>
      <c r="AM48" s="699"/>
      <c r="AN48" s="806"/>
      <c r="AO48" s="251"/>
      <c r="AP48" s="806"/>
      <c r="AQ48" s="813"/>
      <c r="AR48" s="682"/>
      <c r="AS48" s="245"/>
      <c r="AT48" s="730"/>
    </row>
    <row r="49" spans="1:46" ht="43.2" customHeight="1" x14ac:dyDescent="0.45">
      <c r="A49" s="1351">
        <v>45740</v>
      </c>
      <c r="B49" s="692">
        <v>1</v>
      </c>
      <c r="C49" s="694"/>
      <c r="D49" s="694"/>
      <c r="E49" s="694"/>
      <c r="F49" s="695"/>
      <c r="G49" s="682"/>
      <c r="H49" s="681"/>
      <c r="I49" s="707"/>
      <c r="J49" s="705"/>
      <c r="K49" s="287"/>
      <c r="L49" s="699"/>
      <c r="M49" s="246"/>
      <c r="N49" s="246"/>
      <c r="O49" s="695"/>
      <c r="P49" s="682"/>
      <c r="Q49" s="681"/>
      <c r="R49" s="707"/>
      <c r="S49" s="705"/>
      <c r="T49" s="287"/>
      <c r="U49" s="699"/>
      <c r="V49" s="246"/>
      <c r="W49" s="246"/>
      <c r="X49" s="695"/>
      <c r="Y49" s="682"/>
      <c r="Z49" s="245"/>
      <c r="AA49" s="245"/>
      <c r="AB49" s="705"/>
      <c r="AC49" s="287"/>
      <c r="AD49" s="699"/>
      <c r="AE49" s="246"/>
      <c r="AF49" s="246"/>
      <c r="AG49" s="246"/>
      <c r="AH49" s="296"/>
      <c r="AI49" s="681"/>
      <c r="AJ49" s="701"/>
      <c r="AK49" s="730"/>
      <c r="AL49" s="255"/>
      <c r="AM49" s="699"/>
      <c r="AN49" s="806"/>
      <c r="AO49" s="251"/>
      <c r="AP49" s="806"/>
      <c r="AQ49" s="715"/>
      <c r="AR49" s="682"/>
      <c r="AS49" s="707"/>
      <c r="AT49" s="815"/>
    </row>
    <row r="50" spans="1:46" ht="51.65" customHeight="1" x14ac:dyDescent="0.45">
      <c r="A50" s="1352"/>
      <c r="B50" s="692">
        <v>2</v>
      </c>
      <c r="C50" s="694"/>
      <c r="D50" s="694">
        <v>210</v>
      </c>
      <c r="E50" s="694">
        <v>15</v>
      </c>
      <c r="F50" s="695"/>
      <c r="G50" s="681"/>
      <c r="H50" s="681" t="s">
        <v>1072</v>
      </c>
      <c r="I50" s="707" t="s">
        <v>152</v>
      </c>
      <c r="J50" s="705"/>
      <c r="K50" s="287"/>
      <c r="L50" s="699"/>
      <c r="M50" s="246">
        <v>203</v>
      </c>
      <c r="N50" s="246"/>
      <c r="O50" s="695"/>
      <c r="P50" s="681"/>
      <c r="Q50" s="681" t="s">
        <v>1072</v>
      </c>
      <c r="R50" s="707"/>
      <c r="S50" s="705"/>
      <c r="T50" s="287"/>
      <c r="U50" s="699"/>
      <c r="V50" s="246">
        <v>521</v>
      </c>
      <c r="W50" s="246"/>
      <c r="X50" s="695"/>
      <c r="Y50" s="681"/>
      <c r="Z50" s="681" t="s">
        <v>1073</v>
      </c>
      <c r="AA50" s="707"/>
      <c r="AB50" s="705"/>
      <c r="AC50" s="287"/>
      <c r="AD50" s="699"/>
      <c r="AE50" s="246">
        <v>207</v>
      </c>
      <c r="AF50" s="246"/>
      <c r="AG50" s="246"/>
      <c r="AH50" s="296"/>
      <c r="AI50" s="681" t="s">
        <v>1072</v>
      </c>
      <c r="AJ50" s="701"/>
      <c r="AK50" s="730"/>
      <c r="AL50" s="255"/>
      <c r="AM50" s="699"/>
      <c r="AN50" s="806">
        <v>212</v>
      </c>
      <c r="AO50" s="246"/>
      <c r="AP50" s="806"/>
      <c r="AQ50" s="715"/>
      <c r="AR50" s="682" t="s">
        <v>1072</v>
      </c>
      <c r="AS50" s="707"/>
      <c r="AT50" s="816"/>
    </row>
    <row r="51" spans="1:46" ht="34.950000000000003" customHeight="1" x14ac:dyDescent="0.45">
      <c r="A51" s="1351">
        <v>45741</v>
      </c>
      <c r="B51" s="692">
        <v>1</v>
      </c>
      <c r="C51" s="694"/>
      <c r="D51" s="694"/>
      <c r="E51" s="694"/>
      <c r="F51" s="695"/>
      <c r="G51" s="681"/>
      <c r="H51" s="681"/>
      <c r="I51" s="707"/>
      <c r="J51" s="705"/>
      <c r="K51" s="287"/>
      <c r="L51" s="699"/>
      <c r="M51" s="246"/>
      <c r="N51" s="246"/>
      <c r="O51" s="695"/>
      <c r="P51" s="681"/>
      <c r="Q51" s="681"/>
      <c r="R51" s="707"/>
      <c r="S51" s="705"/>
      <c r="T51" s="287"/>
      <c r="U51" s="699"/>
      <c r="V51" s="246"/>
      <c r="W51" s="246">
        <v>18</v>
      </c>
      <c r="X51" s="695"/>
      <c r="Y51" s="681"/>
      <c r="Z51" s="681"/>
      <c r="AA51" s="707"/>
      <c r="AB51" s="705"/>
      <c r="AC51" s="287"/>
      <c r="AD51" s="699"/>
      <c r="AE51" s="246"/>
      <c r="AF51" s="246"/>
      <c r="AG51" s="695"/>
      <c r="AH51" s="681"/>
      <c r="AI51" s="681"/>
      <c r="AJ51" s="707"/>
      <c r="AK51" s="705"/>
      <c r="AL51" s="255"/>
      <c r="AM51" s="699"/>
      <c r="AN51" s="806"/>
      <c r="AO51" s="306"/>
      <c r="AP51" s="806"/>
      <c r="AQ51" s="715"/>
      <c r="AR51" s="682"/>
      <c r="AS51" s="707"/>
      <c r="AT51" s="816"/>
    </row>
    <row r="52" spans="1:46" ht="49.2" customHeight="1" x14ac:dyDescent="0.45">
      <c r="A52" s="1352"/>
      <c r="B52" s="692">
        <v>2</v>
      </c>
      <c r="C52" s="694"/>
      <c r="D52" s="694">
        <v>140</v>
      </c>
      <c r="E52" s="694"/>
      <c r="F52" s="695"/>
      <c r="G52" s="682"/>
      <c r="H52" s="682"/>
      <c r="I52" s="707" t="s">
        <v>1075</v>
      </c>
      <c r="J52" s="705"/>
      <c r="K52" s="287"/>
      <c r="L52" s="699"/>
      <c r="M52" s="246">
        <v>135</v>
      </c>
      <c r="N52" s="246"/>
      <c r="O52" s="695"/>
      <c r="P52" s="682"/>
      <c r="Q52" s="682" t="s">
        <v>1075</v>
      </c>
      <c r="R52" s="707"/>
      <c r="S52" s="705"/>
      <c r="T52" s="287"/>
      <c r="U52" s="699"/>
      <c r="V52" s="246">
        <v>143</v>
      </c>
      <c r="W52" s="246"/>
      <c r="X52" s="695"/>
      <c r="Y52" s="682"/>
      <c r="Z52" s="682" t="s">
        <v>1075</v>
      </c>
      <c r="AA52" s="707" t="s">
        <v>328</v>
      </c>
      <c r="AB52" s="705"/>
      <c r="AC52" s="287"/>
      <c r="AD52" s="699"/>
      <c r="AE52" s="246">
        <v>143</v>
      </c>
      <c r="AF52" s="246"/>
      <c r="AG52" s="695"/>
      <c r="AH52" s="682"/>
      <c r="AI52" s="682" t="s">
        <v>1075</v>
      </c>
      <c r="AJ52" s="707"/>
      <c r="AK52" s="705"/>
      <c r="AL52" s="255"/>
      <c r="AM52" s="699"/>
      <c r="AN52" s="302">
        <v>146</v>
      </c>
      <c r="AO52" s="810">
        <v>14</v>
      </c>
      <c r="AP52" s="302"/>
      <c r="AQ52" s="251"/>
      <c r="AR52" s="682" t="s">
        <v>1075</v>
      </c>
      <c r="AS52" s="707" t="s">
        <v>336</v>
      </c>
      <c r="AT52" s="802"/>
    </row>
    <row r="53" spans="1:46" ht="48" customHeight="1" x14ac:dyDescent="0.45">
      <c r="A53" s="1351">
        <v>45742</v>
      </c>
      <c r="B53" s="692">
        <v>1</v>
      </c>
      <c r="C53" s="694"/>
      <c r="D53" s="694"/>
      <c r="E53" s="694">
        <v>46</v>
      </c>
      <c r="F53" s="695"/>
      <c r="G53" s="681"/>
      <c r="H53" s="681"/>
      <c r="I53" s="697" t="s">
        <v>328</v>
      </c>
      <c r="J53" s="705"/>
      <c r="K53" s="287"/>
      <c r="L53" s="699"/>
      <c r="M53" s="246"/>
      <c r="N53" s="246"/>
      <c r="O53" s="689"/>
      <c r="P53" s="296"/>
      <c r="Q53" s="682"/>
      <c r="R53" s="246"/>
      <c r="S53" s="705"/>
      <c r="T53" s="287"/>
      <c r="U53" s="699"/>
      <c r="V53" s="246"/>
      <c r="W53" s="246"/>
      <c r="X53" s="689"/>
      <c r="Y53" s="296"/>
      <c r="Z53" s="246"/>
      <c r="AA53" s="701"/>
      <c r="AB53" s="689"/>
      <c r="AC53" s="287"/>
      <c r="AD53" s="699"/>
      <c r="AE53" s="245"/>
      <c r="AF53" s="246">
        <v>10</v>
      </c>
      <c r="AG53" s="689"/>
      <c r="AH53" s="251"/>
      <c r="AI53" s="246" t="s">
        <v>328</v>
      </c>
      <c r="AJ53" s="245"/>
      <c r="AK53" s="689"/>
      <c r="AL53" s="255"/>
      <c r="AM53" s="699"/>
      <c r="AN53" s="708"/>
      <c r="AO53" s="812"/>
      <c r="AP53" s="708"/>
      <c r="AQ53" s="296"/>
      <c r="AR53" s="682"/>
      <c r="AS53" s="302"/>
      <c r="AT53" s="817"/>
    </row>
    <row r="54" spans="1:46" ht="45.65" customHeight="1" x14ac:dyDescent="0.45">
      <c r="A54" s="1352"/>
      <c r="B54" s="725">
        <v>2</v>
      </c>
      <c r="C54" s="694"/>
      <c r="D54" s="694"/>
      <c r="E54" s="694"/>
      <c r="F54" s="695"/>
      <c r="G54" s="681"/>
      <c r="H54" s="682"/>
      <c r="I54" s="697"/>
      <c r="J54" s="705"/>
      <c r="K54" s="287"/>
      <c r="L54" s="699"/>
      <c r="M54" s="246"/>
      <c r="N54" s="246"/>
      <c r="O54" s="695"/>
      <c r="P54" s="681"/>
      <c r="Q54" s="682"/>
      <c r="R54" s="681"/>
      <c r="S54" s="705"/>
      <c r="T54" s="287"/>
      <c r="U54" s="699"/>
      <c r="V54" s="246"/>
      <c r="W54" s="246"/>
      <c r="X54" s="695"/>
      <c r="Y54" s="682"/>
      <c r="Z54" s="682"/>
      <c r="AA54" s="701"/>
      <c r="AB54" s="705"/>
      <c r="AC54" s="287"/>
      <c r="AD54" s="699"/>
      <c r="AE54" s="246"/>
      <c r="AF54" s="246">
        <v>10</v>
      </c>
      <c r="AG54" s="689"/>
      <c r="AH54" s="251"/>
      <c r="AI54" s="682" t="s">
        <v>328</v>
      </c>
      <c r="AJ54" s="246"/>
      <c r="AK54" s="705"/>
      <c r="AL54" s="255"/>
      <c r="AM54" s="699"/>
      <c r="AN54" s="708"/>
      <c r="AO54" s="226"/>
      <c r="AP54" s="708"/>
      <c r="AQ54" s="296"/>
      <c r="AR54" s="682"/>
      <c r="AS54" s="707"/>
      <c r="AT54" s="816"/>
    </row>
    <row r="55" spans="1:46" ht="39.65" customHeight="1" x14ac:dyDescent="0.45">
      <c r="A55" s="1351">
        <v>45743</v>
      </c>
      <c r="B55" s="692">
        <v>1</v>
      </c>
      <c r="C55" s="693"/>
      <c r="D55" s="694"/>
      <c r="E55" s="694">
        <v>32</v>
      </c>
      <c r="F55" s="695"/>
      <c r="G55" s="681"/>
      <c r="H55" s="681"/>
      <c r="I55" s="697" t="s">
        <v>328</v>
      </c>
      <c r="J55" s="689"/>
      <c r="K55" s="287"/>
      <c r="L55" s="699"/>
      <c r="M55" s="246"/>
      <c r="N55" s="246"/>
      <c r="O55" s="689"/>
      <c r="P55" s="251"/>
      <c r="Q55" s="682"/>
      <c r="R55" s="246"/>
      <c r="S55" s="689"/>
      <c r="T55" s="287"/>
      <c r="U55" s="699"/>
      <c r="V55" s="246"/>
      <c r="W55" s="246">
        <v>30</v>
      </c>
      <c r="X55" s="689"/>
      <c r="Y55" s="251"/>
      <c r="Z55" s="681"/>
      <c r="AA55" s="701" t="s">
        <v>328</v>
      </c>
      <c r="AB55" s="689"/>
      <c r="AC55" s="287"/>
      <c r="AD55" s="699"/>
      <c r="AE55" s="246"/>
      <c r="AF55" s="246">
        <v>10</v>
      </c>
      <c r="AG55" s="689"/>
      <c r="AH55" s="251"/>
      <c r="AI55" s="682" t="s">
        <v>1074</v>
      </c>
      <c r="AJ55" s="245"/>
      <c r="AK55" s="689"/>
      <c r="AL55" s="255"/>
      <c r="AM55" s="699"/>
      <c r="AN55" s="708"/>
      <c r="AO55" s="246"/>
      <c r="AP55" s="708"/>
      <c r="AQ55" s="251"/>
      <c r="AR55" s="682"/>
      <c r="AS55" s="707"/>
      <c r="AT55" s="818"/>
    </row>
    <row r="56" spans="1:46" ht="52.5" customHeight="1" x14ac:dyDescent="0.45">
      <c r="A56" s="1352"/>
      <c r="B56" s="725">
        <v>2</v>
      </c>
      <c r="C56" s="693"/>
      <c r="D56" s="694"/>
      <c r="E56" s="694">
        <v>36</v>
      </c>
      <c r="F56" s="695"/>
      <c r="G56" s="682"/>
      <c r="H56" s="682"/>
      <c r="I56" s="697" t="s">
        <v>328</v>
      </c>
      <c r="J56" s="705"/>
      <c r="K56" s="287"/>
      <c r="L56" s="699"/>
      <c r="M56" s="246"/>
      <c r="N56" s="246"/>
      <c r="O56" s="695"/>
      <c r="P56" s="682"/>
      <c r="Q56" s="681"/>
      <c r="R56" s="682"/>
      <c r="S56" s="705"/>
      <c r="T56" s="287"/>
      <c r="U56" s="699"/>
      <c r="V56" s="246"/>
      <c r="W56" s="246">
        <v>15</v>
      </c>
      <c r="X56" s="695"/>
      <c r="Y56" s="296"/>
      <c r="Z56" s="681"/>
      <c r="AA56" s="701" t="s">
        <v>152</v>
      </c>
      <c r="AB56" s="705"/>
      <c r="AC56" s="287"/>
      <c r="AD56" s="699"/>
      <c r="AE56" s="246"/>
      <c r="AF56" s="246">
        <v>8</v>
      </c>
      <c r="AG56" s="695"/>
      <c r="AH56" s="682"/>
      <c r="AI56" s="681" t="s">
        <v>336</v>
      </c>
      <c r="AJ56" s="682"/>
      <c r="AK56" s="705"/>
      <c r="AL56" s="255"/>
      <c r="AM56" s="699"/>
      <c r="AN56" s="708"/>
      <c r="AO56" s="246"/>
      <c r="AP56" s="708"/>
      <c r="AQ56" s="682"/>
      <c r="AR56" s="682"/>
      <c r="AS56" s="246"/>
      <c r="AT56" s="772"/>
    </row>
    <row r="57" spans="1:46" ht="52.2" customHeight="1" x14ac:dyDescent="0.45">
      <c r="A57" s="1351">
        <v>45744</v>
      </c>
      <c r="B57" s="692">
        <v>1</v>
      </c>
      <c r="C57" s="693"/>
      <c r="D57" s="694"/>
      <c r="E57" s="694">
        <v>10</v>
      </c>
      <c r="F57" s="695"/>
      <c r="G57" s="682"/>
      <c r="H57" s="682"/>
      <c r="I57" s="707" t="s">
        <v>152</v>
      </c>
      <c r="J57" s="705"/>
      <c r="K57" s="287"/>
      <c r="L57" s="699"/>
      <c r="M57" s="246"/>
      <c r="N57" s="246"/>
      <c r="O57" s="695"/>
      <c r="P57" s="682"/>
      <c r="Q57" s="681"/>
      <c r="R57" s="682"/>
      <c r="S57" s="705"/>
      <c r="T57" s="287"/>
      <c r="U57" s="699"/>
      <c r="V57" s="246"/>
      <c r="W57" s="246"/>
      <c r="X57" s="695"/>
      <c r="Y57" s="682"/>
      <c r="Z57" s="681"/>
      <c r="AA57" s="245"/>
      <c r="AB57" s="705"/>
      <c r="AC57" s="287"/>
      <c r="AD57" s="699"/>
      <c r="AE57" s="246"/>
      <c r="AF57" s="246"/>
      <c r="AG57" s="695"/>
      <c r="AH57" s="682"/>
      <c r="AI57" s="681"/>
      <c r="AJ57" s="682"/>
      <c r="AK57" s="705"/>
      <c r="AL57" s="255"/>
      <c r="AM57" s="699"/>
      <c r="AN57" s="708"/>
      <c r="AO57" s="246"/>
      <c r="AP57" s="708"/>
      <c r="AQ57" s="682"/>
      <c r="AR57" s="682"/>
      <c r="AS57" s="246"/>
      <c r="AT57" s="705"/>
    </row>
    <row r="58" spans="1:46" ht="45" customHeight="1" x14ac:dyDescent="0.45">
      <c r="A58" s="1352"/>
      <c r="B58" s="725">
        <v>2</v>
      </c>
      <c r="C58" s="693"/>
      <c r="D58" s="694"/>
      <c r="E58" s="694"/>
      <c r="F58" s="695"/>
      <c r="G58" s="682"/>
      <c r="H58" s="682"/>
      <c r="I58" s="697"/>
      <c r="J58" s="705"/>
      <c r="K58" s="287"/>
      <c r="L58" s="699"/>
      <c r="M58" s="246"/>
      <c r="N58" s="246"/>
      <c r="O58" s="695"/>
      <c r="P58" s="682"/>
      <c r="Q58" s="681"/>
      <c r="R58" s="682"/>
      <c r="S58" s="705"/>
      <c r="T58" s="287"/>
      <c r="U58" s="699"/>
      <c r="V58" s="246"/>
      <c r="W58" s="246"/>
      <c r="X58" s="695"/>
      <c r="Y58" s="682"/>
      <c r="Z58" s="681"/>
      <c r="AA58" s="245"/>
      <c r="AB58" s="705"/>
      <c r="AC58" s="287"/>
      <c r="AD58" s="699"/>
      <c r="AE58" s="246"/>
      <c r="AF58" s="246"/>
      <c r="AG58" s="246"/>
      <c r="AH58" s="682"/>
      <c r="AI58" s="681"/>
      <c r="AJ58" s="246"/>
      <c r="AK58" s="705"/>
      <c r="AL58" s="255"/>
      <c r="AM58" s="699"/>
      <c r="AN58" s="246"/>
      <c r="AO58" s="246"/>
      <c r="AP58" s="699"/>
      <c r="AQ58" s="682"/>
      <c r="AR58" s="681"/>
      <c r="AS58" s="246"/>
      <c r="AT58" s="705"/>
    </row>
    <row r="59" spans="1:46" ht="48" customHeight="1" x14ac:dyDescent="0.45">
      <c r="A59" s="1351">
        <v>45745</v>
      </c>
      <c r="B59" s="692">
        <v>1</v>
      </c>
      <c r="C59" s="693"/>
      <c r="D59" s="694"/>
      <c r="E59" s="694"/>
      <c r="F59" s="695"/>
      <c r="G59" s="682"/>
      <c r="H59" s="681"/>
      <c r="I59" s="697"/>
      <c r="J59" s="705"/>
      <c r="K59" s="287"/>
      <c r="L59" s="699"/>
      <c r="M59" s="246"/>
      <c r="N59" s="246"/>
      <c r="O59" s="689"/>
      <c r="P59" s="251"/>
      <c r="Q59" s="245"/>
      <c r="R59" s="246"/>
      <c r="S59" s="705"/>
      <c r="T59" s="287"/>
      <c r="U59" s="699"/>
      <c r="V59" s="246"/>
      <c r="W59" s="246"/>
      <c r="X59" s="689"/>
      <c r="Y59" s="682"/>
      <c r="Z59" s="681"/>
      <c r="AA59" s="697"/>
      <c r="AB59" s="705"/>
      <c r="AC59" s="287"/>
      <c r="AD59" s="699"/>
      <c r="AE59" s="246"/>
      <c r="AF59" s="246"/>
      <c r="AG59" s="689"/>
      <c r="AH59" s="699"/>
      <c r="AI59" s="246"/>
      <c r="AJ59" s="682"/>
      <c r="AK59" s="705"/>
      <c r="AL59" s="255"/>
      <c r="AM59" s="699"/>
      <c r="AN59" s="246"/>
      <c r="AO59" s="246"/>
      <c r="AP59" s="246"/>
      <c r="AQ59" s="296"/>
      <c r="AR59" s="246"/>
      <c r="AS59" s="245"/>
      <c r="AT59" s="705"/>
    </row>
    <row r="60" spans="1:46" ht="44.25" customHeight="1" x14ac:dyDescent="0.45">
      <c r="A60" s="1352"/>
      <c r="B60" s="725">
        <v>2</v>
      </c>
      <c r="C60" s="693"/>
      <c r="D60" s="694"/>
      <c r="E60" s="694">
        <v>3</v>
      </c>
      <c r="F60" s="695"/>
      <c r="G60" s="681"/>
      <c r="H60" s="682"/>
      <c r="I60" s="697" t="s">
        <v>328</v>
      </c>
      <c r="J60" s="705"/>
      <c r="K60" s="287"/>
      <c r="L60" s="699"/>
      <c r="M60" s="246"/>
      <c r="N60" s="246"/>
      <c r="O60" s="689"/>
      <c r="P60" s="251"/>
      <c r="Q60" s="682"/>
      <c r="R60" s="246"/>
      <c r="S60" s="705"/>
      <c r="T60" s="287"/>
      <c r="U60" s="699"/>
      <c r="V60" s="246"/>
      <c r="W60" s="246">
        <v>8</v>
      </c>
      <c r="X60" s="689"/>
      <c r="Y60" s="296"/>
      <c r="Z60" s="682"/>
      <c r="AA60" s="697" t="s">
        <v>328</v>
      </c>
      <c r="AB60" s="705"/>
      <c r="AC60" s="287"/>
      <c r="AD60" s="699"/>
      <c r="AE60" s="699"/>
      <c r="AF60" s="699"/>
      <c r="AG60" s="699"/>
      <c r="AH60" s="765"/>
      <c r="AI60" s="723"/>
      <c r="AJ60" s="732"/>
      <c r="AK60" s="705"/>
      <c r="AL60" s="255"/>
      <c r="AM60" s="699"/>
      <c r="AN60" s="246"/>
      <c r="AO60" s="246"/>
      <c r="AP60" s="246"/>
      <c r="AQ60" s="251"/>
      <c r="AR60" s="682"/>
      <c r="AS60" s="245"/>
      <c r="AT60" s="705"/>
    </row>
    <row r="61" spans="1:46" ht="56.25" customHeight="1" x14ac:dyDescent="0.45">
      <c r="A61" s="1351">
        <v>45746</v>
      </c>
      <c r="B61" s="692">
        <v>1</v>
      </c>
      <c r="C61" s="726"/>
      <c r="D61" s="727"/>
      <c r="E61" s="694">
        <v>20</v>
      </c>
      <c r="F61" s="728"/>
      <c r="G61" s="681"/>
      <c r="H61" s="723"/>
      <c r="I61" s="697" t="s">
        <v>1060</v>
      </c>
      <c r="J61" s="698"/>
      <c r="K61" s="287"/>
      <c r="L61" s="699"/>
      <c r="M61" s="699"/>
      <c r="N61" s="246"/>
      <c r="O61" s="689"/>
      <c r="P61" s="729"/>
      <c r="Q61" s="682"/>
      <c r="R61" s="306"/>
      <c r="S61" s="730"/>
      <c r="T61" s="287"/>
      <c r="U61" s="699"/>
      <c r="V61" s="246"/>
      <c r="W61" s="246">
        <v>24</v>
      </c>
      <c r="X61" s="689"/>
      <c r="Y61" s="296"/>
      <c r="Z61" s="245"/>
      <c r="AA61" s="697" t="s">
        <v>1060</v>
      </c>
      <c r="AB61" s="730"/>
      <c r="AC61" s="287"/>
      <c r="AD61" s="699"/>
      <c r="AE61" s="246"/>
      <c r="AF61" s="246"/>
      <c r="AG61" s="689"/>
      <c r="AH61" s="838"/>
      <c r="AI61" s="839"/>
      <c r="AJ61" s="836"/>
      <c r="AK61" s="831"/>
      <c r="AL61" s="255"/>
      <c r="AM61" s="699"/>
      <c r="AN61" s="246"/>
      <c r="AO61" s="246"/>
      <c r="AP61" s="246"/>
      <c r="AQ61" s="296"/>
      <c r="AR61" s="246"/>
      <c r="AS61" s="245"/>
      <c r="AT61" s="730"/>
    </row>
    <row r="62" spans="1:46" ht="53.25" customHeight="1" x14ac:dyDescent="0.45">
      <c r="A62" s="1352"/>
      <c r="B62" s="725">
        <v>2</v>
      </c>
      <c r="C62" s="726"/>
      <c r="D62" s="727"/>
      <c r="E62" s="727">
        <v>11</v>
      </c>
      <c r="F62" s="728"/>
      <c r="G62" s="731"/>
      <c r="H62" s="723"/>
      <c r="I62" s="697" t="s">
        <v>1060</v>
      </c>
      <c r="J62" s="698"/>
      <c r="K62" s="287"/>
      <c r="L62" s="699"/>
      <c r="M62" s="246"/>
      <c r="N62" s="246"/>
      <c r="O62" s="689"/>
      <c r="P62" s="729"/>
      <c r="Q62" s="732"/>
      <c r="R62" s="306"/>
      <c r="S62" s="730"/>
      <c r="T62" s="287"/>
      <c r="U62" s="699"/>
      <c r="V62" s="246"/>
      <c r="W62" s="246">
        <v>14</v>
      </c>
      <c r="X62" s="689"/>
      <c r="Y62" s="296"/>
      <c r="Z62" s="732"/>
      <c r="AA62" s="697" t="s">
        <v>1060</v>
      </c>
      <c r="AB62" s="730"/>
      <c r="AC62" s="287"/>
      <c r="AD62" s="699"/>
      <c r="AE62" s="246"/>
      <c r="AF62" s="246">
        <v>12</v>
      </c>
      <c r="AG62" s="302"/>
      <c r="AH62" s="838"/>
      <c r="AI62" s="839" t="s">
        <v>1060</v>
      </c>
      <c r="AJ62" s="836"/>
      <c r="AK62" s="831"/>
      <c r="AL62" s="255"/>
      <c r="AM62" s="699"/>
      <c r="AN62" s="246"/>
      <c r="AO62" s="246"/>
      <c r="AP62" s="246"/>
      <c r="AQ62" s="251"/>
      <c r="AR62" s="246"/>
      <c r="AS62" s="245"/>
      <c r="AT62" s="730"/>
    </row>
    <row r="63" spans="1:46" ht="35.25" customHeight="1" x14ac:dyDescent="0.45">
      <c r="A63" s="1519">
        <v>45747</v>
      </c>
      <c r="B63" s="725">
        <v>1</v>
      </c>
      <c r="C63" s="726"/>
      <c r="D63" s="727"/>
      <c r="E63" s="727">
        <v>38</v>
      </c>
      <c r="F63" s="728"/>
      <c r="G63" s="731"/>
      <c r="H63" s="723"/>
      <c r="I63" s="697" t="s">
        <v>328</v>
      </c>
      <c r="J63" s="698"/>
      <c r="K63" s="287"/>
      <c r="L63" s="699"/>
      <c r="M63" s="246">
        <v>101</v>
      </c>
      <c r="N63" s="246"/>
      <c r="O63" s="689"/>
      <c r="P63" s="729"/>
      <c r="Q63" s="732" t="s">
        <v>1076</v>
      </c>
      <c r="R63" s="306"/>
      <c r="S63" s="730"/>
      <c r="T63" s="287"/>
      <c r="U63" s="699"/>
      <c r="V63" s="246"/>
      <c r="W63" s="246">
        <v>30</v>
      </c>
      <c r="X63" s="689"/>
      <c r="Y63" s="301"/>
      <c r="Z63" s="823"/>
      <c r="AA63" s="697" t="s">
        <v>328</v>
      </c>
      <c r="AB63" s="827"/>
      <c r="AC63" s="287"/>
      <c r="AD63" s="699"/>
      <c r="AE63" s="246"/>
      <c r="AF63" s="246"/>
      <c r="AG63" s="689"/>
      <c r="AH63" s="420"/>
      <c r="AI63" s="420"/>
      <c r="AJ63" s="837"/>
      <c r="AK63" s="831"/>
      <c r="AL63" s="255"/>
      <c r="AM63" s="699"/>
      <c r="AN63" s="246"/>
      <c r="AO63" s="246"/>
      <c r="AP63" s="246"/>
      <c r="AQ63" s="251"/>
      <c r="AR63" s="246"/>
      <c r="AS63" s="245"/>
      <c r="AT63" s="730"/>
    </row>
    <row r="64" spans="1:46" ht="64.2" hidden="1" customHeight="1" x14ac:dyDescent="0.45">
      <c r="A64" s="1520"/>
      <c r="B64" s="692">
        <v>1</v>
      </c>
      <c r="C64" s="733"/>
      <c r="D64" s="734"/>
      <c r="E64" s="734"/>
      <c r="F64" s="735"/>
      <c r="G64" s="736"/>
      <c r="H64" s="737"/>
      <c r="I64" s="697"/>
      <c r="J64" s="698"/>
      <c r="K64" s="287"/>
      <c r="L64" s="699"/>
      <c r="M64" s="246"/>
      <c r="N64" s="246"/>
      <c r="O64" s="695"/>
      <c r="P64" s="736"/>
      <c r="Q64" s="737"/>
      <c r="R64" s="737"/>
      <c r="S64" s="738"/>
      <c r="T64" s="287"/>
      <c r="U64" s="699"/>
      <c r="V64" s="246"/>
      <c r="W64" s="246"/>
      <c r="X64" s="695"/>
      <c r="Y64" s="716"/>
      <c r="Z64" s="824"/>
      <c r="AA64" s="697"/>
      <c r="AB64" s="826"/>
      <c r="AC64" s="287"/>
      <c r="AD64" s="699"/>
      <c r="AE64" s="246"/>
      <c r="AF64" s="246"/>
      <c r="AG64" s="695"/>
      <c r="AH64" s="769"/>
      <c r="AI64" s="770"/>
      <c r="AJ64" s="833"/>
      <c r="AK64" s="740"/>
      <c r="AL64" s="255"/>
      <c r="AM64" s="699"/>
      <c r="AN64" s="246"/>
      <c r="AO64" s="246"/>
      <c r="AP64" s="246"/>
      <c r="AQ64" s="680"/>
      <c r="AR64" s="681"/>
      <c r="AS64" s="681"/>
      <c r="AT64" s="740"/>
    </row>
    <row r="65" spans="1:46" ht="36" customHeight="1" x14ac:dyDescent="0.45">
      <c r="A65" s="1351"/>
      <c r="B65" s="324">
        <v>2</v>
      </c>
      <c r="C65" s="741"/>
      <c r="D65" s="742"/>
      <c r="E65" s="742">
        <v>8</v>
      </c>
      <c r="F65" s="743"/>
      <c r="G65" s="744"/>
      <c r="H65" s="745"/>
      <c r="I65" s="697" t="s">
        <v>328</v>
      </c>
      <c r="J65" s="747"/>
      <c r="K65" s="287"/>
      <c r="L65" s="748"/>
      <c r="M65" s="749"/>
      <c r="N65" s="749"/>
      <c r="O65" s="750"/>
      <c r="P65" s="751"/>
      <c r="Q65" s="752"/>
      <c r="R65" s="752"/>
      <c r="S65" s="753"/>
      <c r="T65" s="287"/>
      <c r="U65" s="748"/>
      <c r="V65" s="749"/>
      <c r="W65" s="749"/>
      <c r="X65" s="750"/>
      <c r="Y65" s="822"/>
      <c r="Z65" s="825"/>
      <c r="AA65" s="697"/>
      <c r="AB65" s="821"/>
      <c r="AC65" s="287"/>
      <c r="AD65" s="748"/>
      <c r="AE65" s="749"/>
      <c r="AF65" s="749"/>
      <c r="AG65" s="750"/>
      <c r="AH65" s="251"/>
      <c r="AI65" s="749"/>
      <c r="AJ65" s="707"/>
      <c r="AK65" s="756"/>
      <c r="AL65" s="255"/>
      <c r="AM65" s="748"/>
      <c r="AN65" s="749"/>
      <c r="AO65" s="749">
        <v>5</v>
      </c>
      <c r="AP65" s="749"/>
      <c r="AQ65" s="754"/>
      <c r="AR65" s="749"/>
      <c r="AS65" s="749" t="s">
        <v>1060</v>
      </c>
      <c r="AT65" s="756"/>
    </row>
    <row r="66" spans="1:46" ht="18" x14ac:dyDescent="0.45">
      <c r="A66" s="255" t="s">
        <v>225</v>
      </c>
      <c r="B66" s="354"/>
      <c r="C66" s="757">
        <f>SUM(C3:C65)</f>
        <v>923</v>
      </c>
      <c r="D66" s="354">
        <f>SUM(D3:D65)</f>
        <v>790</v>
      </c>
      <c r="E66" s="757">
        <f>SUM(E3:E65)</f>
        <v>815</v>
      </c>
      <c r="F66" s="354">
        <f>SUM(F3:F65)</f>
        <v>439</v>
      </c>
      <c r="G66" s="255"/>
      <c r="H66" s="255"/>
      <c r="I66" s="255"/>
      <c r="J66" s="255"/>
      <c r="K66" s="255"/>
      <c r="L66" s="354">
        <f>SUM(L3:L65)</f>
        <v>676</v>
      </c>
      <c r="M66" s="354">
        <f>SUM(M3:M65)</f>
        <v>677</v>
      </c>
      <c r="N66" s="354">
        <f>SUM(N3:N65)</f>
        <v>0</v>
      </c>
      <c r="O66" s="354">
        <f>SUM(O3:O65)</f>
        <v>0</v>
      </c>
      <c r="P66" s="255"/>
      <c r="Q66" s="255"/>
      <c r="R66" s="255"/>
      <c r="S66" s="255"/>
      <c r="T66" s="255"/>
      <c r="U66" s="354">
        <f>SUM(U3:U65)</f>
        <v>769.48</v>
      </c>
      <c r="V66" s="354">
        <f>SUM(V3:V65)</f>
        <v>949</v>
      </c>
      <c r="W66" s="354">
        <f>SUM(W3:W65)</f>
        <v>566</v>
      </c>
      <c r="X66" s="354">
        <f>SUM(X3:X65)</f>
        <v>6</v>
      </c>
      <c r="Y66" s="255"/>
      <c r="Z66" s="255"/>
      <c r="AA66" s="255"/>
      <c r="AB66" s="255"/>
      <c r="AC66" s="255"/>
      <c r="AD66" s="354">
        <f>SUM(AD3:AD65)</f>
        <v>34</v>
      </c>
      <c r="AE66" s="354">
        <f>SUM(AE3:AE65)</f>
        <v>530</v>
      </c>
      <c r="AF66" s="354">
        <f>SUM(AF3:AF65)</f>
        <v>159</v>
      </c>
      <c r="AG66" s="354">
        <f>SUM(AG3:AG65)</f>
        <v>0</v>
      </c>
      <c r="AH66" s="255"/>
      <c r="AI66" s="255"/>
      <c r="AJ66" s="255"/>
      <c r="AK66" s="255"/>
      <c r="AL66" s="255"/>
      <c r="AM66" s="354">
        <f>SUM(AM3:AM65)</f>
        <v>0</v>
      </c>
      <c r="AN66" s="354">
        <f>SUM(AN3:AN65)</f>
        <v>544</v>
      </c>
      <c r="AO66" s="354">
        <f>SUM(AO3:AO65)</f>
        <v>67</v>
      </c>
      <c r="AP66" s="354">
        <f>SUM(AP3:AP65)</f>
        <v>205</v>
      </c>
      <c r="AQ66" s="255"/>
      <c r="AR66" s="255"/>
      <c r="AS66" s="255"/>
      <c r="AT66" s="255"/>
    </row>
    <row r="74" spans="1:46" ht="14.6" thickBot="1" x14ac:dyDescent="0.4"/>
    <row r="75" spans="1:46" ht="18.45" thickBot="1" x14ac:dyDescent="0.5">
      <c r="B75" s="354"/>
      <c r="C75" s="1349" t="s">
        <v>199</v>
      </c>
      <c r="D75" s="1350"/>
      <c r="E75" s="1347" t="s">
        <v>200</v>
      </c>
      <c r="F75" s="1348"/>
      <c r="G75" s="1349" t="s">
        <v>201</v>
      </c>
      <c r="H75" s="1350"/>
      <c r="I75" s="1349" t="s">
        <v>204</v>
      </c>
      <c r="J75" s="1350"/>
    </row>
    <row r="76" spans="1:46" ht="18.45" thickBot="1" x14ac:dyDescent="0.5">
      <c r="B76" s="354"/>
      <c r="C76" s="552" t="s">
        <v>222</v>
      </c>
      <c r="D76" s="553" t="s">
        <v>223</v>
      </c>
      <c r="E76" s="554" t="s">
        <v>222</v>
      </c>
      <c r="F76" s="555" t="s">
        <v>223</v>
      </c>
      <c r="G76" s="552" t="s">
        <v>222</v>
      </c>
      <c r="H76" s="553" t="s">
        <v>223</v>
      </c>
      <c r="I76" s="552" t="s">
        <v>222</v>
      </c>
      <c r="J76" s="553" t="s">
        <v>223</v>
      </c>
    </row>
    <row r="77" spans="1:46" ht="18" x14ac:dyDescent="0.4">
      <c r="B77" s="541" t="s">
        <v>218</v>
      </c>
      <c r="C77" s="542">
        <f>C66</f>
        <v>923</v>
      </c>
      <c r="D77" s="543">
        <f>C77/60</f>
        <v>15.383333333333333</v>
      </c>
      <c r="E77" s="542">
        <f>D66</f>
        <v>790</v>
      </c>
      <c r="F77" s="544">
        <f>E77/60</f>
        <v>13.166666666666666</v>
      </c>
      <c r="G77" s="542">
        <f>E66</f>
        <v>815</v>
      </c>
      <c r="H77" s="543">
        <f>G77/60</f>
        <v>13.583333333333334</v>
      </c>
      <c r="I77" s="542">
        <f>F66</f>
        <v>439</v>
      </c>
      <c r="J77" s="543">
        <f>I77/60</f>
        <v>7.3166666666666664</v>
      </c>
    </row>
    <row r="78" spans="1:46" ht="18" x14ac:dyDescent="0.4">
      <c r="B78" s="541" t="s">
        <v>219</v>
      </c>
      <c r="C78" s="545">
        <f>L66</f>
        <v>676</v>
      </c>
      <c r="D78" s="546">
        <f>C78/60</f>
        <v>11.266666666666667</v>
      </c>
      <c r="E78" s="545">
        <f>M66</f>
        <v>677</v>
      </c>
      <c r="F78" s="547">
        <f>E78/60</f>
        <v>11.283333333333333</v>
      </c>
      <c r="G78" s="545">
        <f>N66</f>
        <v>0</v>
      </c>
      <c r="H78" s="546">
        <f>G78/60</f>
        <v>0</v>
      </c>
      <c r="I78" s="545">
        <f>O66</f>
        <v>0</v>
      </c>
      <c r="J78" s="546">
        <f>I78/60</f>
        <v>0</v>
      </c>
    </row>
    <row r="79" spans="1:46" ht="18" x14ac:dyDescent="0.4">
      <c r="B79" s="541" t="s">
        <v>220</v>
      </c>
      <c r="C79" s="545">
        <f>U66</f>
        <v>769.48</v>
      </c>
      <c r="D79" s="546">
        <f>C79/60</f>
        <v>12.824666666666667</v>
      </c>
      <c r="E79" s="545">
        <f>V66</f>
        <v>949</v>
      </c>
      <c r="F79" s="547">
        <f>E79/60</f>
        <v>15.816666666666666</v>
      </c>
      <c r="G79" s="545">
        <f>W66</f>
        <v>566</v>
      </c>
      <c r="H79" s="546">
        <f>G79/60</f>
        <v>9.4333333333333336</v>
      </c>
      <c r="I79" s="545">
        <f>X66</f>
        <v>6</v>
      </c>
      <c r="J79" s="546">
        <f>I79/60</f>
        <v>0.1</v>
      </c>
    </row>
    <row r="80" spans="1:46" ht="18.45" thickBot="1" x14ac:dyDescent="0.45">
      <c r="B80" s="541" t="s">
        <v>221</v>
      </c>
      <c r="C80" s="548">
        <f>AD66</f>
        <v>34</v>
      </c>
      <c r="D80" s="549">
        <f>C80/60</f>
        <v>0.56666666666666665</v>
      </c>
      <c r="E80" s="548">
        <f>AE66</f>
        <v>530</v>
      </c>
      <c r="F80" s="550">
        <f>E80/60</f>
        <v>8.8333333333333339</v>
      </c>
      <c r="G80" s="548">
        <f>AF66</f>
        <v>159</v>
      </c>
      <c r="H80" s="549">
        <f>G80/60</f>
        <v>2.65</v>
      </c>
      <c r="I80" s="548">
        <f>AG66</f>
        <v>0</v>
      </c>
      <c r="J80" s="549">
        <f>I80/60</f>
        <v>0</v>
      </c>
    </row>
    <row r="81" spans="2:10" ht="18.45" thickBot="1" x14ac:dyDescent="0.45">
      <c r="B81" s="541" t="s">
        <v>488</v>
      </c>
      <c r="C81" s="643">
        <f>AM66</f>
        <v>0</v>
      </c>
      <c r="D81" s="642">
        <f>C81/60</f>
        <v>0</v>
      </c>
      <c r="E81" s="643">
        <f>AN66</f>
        <v>544</v>
      </c>
      <c r="F81" s="644">
        <f>E81/60</f>
        <v>9.0666666666666664</v>
      </c>
      <c r="G81" s="643">
        <f>AO66</f>
        <v>67</v>
      </c>
      <c r="H81" s="642">
        <f>G81/60</f>
        <v>1.1166666666666667</v>
      </c>
      <c r="I81" s="643">
        <f>AP66</f>
        <v>205</v>
      </c>
      <c r="J81" s="642">
        <f>I81/60</f>
        <v>3.4166666666666665</v>
      </c>
    </row>
    <row r="82" spans="2:10" ht="18.45" thickBot="1" x14ac:dyDescent="0.5">
      <c r="B82" s="354"/>
      <c r="C82" s="255"/>
      <c r="D82" s="255"/>
      <c r="E82" s="255"/>
      <c r="F82" s="255"/>
      <c r="G82" s="255"/>
      <c r="H82" s="255"/>
      <c r="I82" s="255"/>
      <c r="J82" s="255"/>
    </row>
    <row r="83" spans="2:10" ht="18.45" thickBot="1" x14ac:dyDescent="0.5">
      <c r="B83" s="551" t="s">
        <v>217</v>
      </c>
      <c r="C83" s="556"/>
      <c r="D83" s="557">
        <f>SUM(D77:D81)</f>
        <v>40.041333333333334</v>
      </c>
      <c r="E83" s="556"/>
      <c r="F83" s="557">
        <f>SUM(F77:F81)</f>
        <v>58.166666666666671</v>
      </c>
      <c r="G83" s="556"/>
      <c r="H83" s="557">
        <f>SUM(H77:H81)</f>
        <v>26.783333333333331</v>
      </c>
      <c r="I83" s="556"/>
      <c r="J83" s="558">
        <f>AVERAGE(J77:J81)</f>
        <v>2.1666666666666665</v>
      </c>
    </row>
  </sheetData>
  <mergeCells count="46">
    <mergeCell ref="A7:A8"/>
    <mergeCell ref="A9:A10"/>
    <mergeCell ref="A11:A12"/>
    <mergeCell ref="A5:A6"/>
    <mergeCell ref="C1:F1"/>
    <mergeCell ref="AM1:AP1"/>
    <mergeCell ref="AQ1:AT1"/>
    <mergeCell ref="A3:A4"/>
    <mergeCell ref="U1:X1"/>
    <mergeCell ref="Y1:AB1"/>
    <mergeCell ref="G1:J1"/>
    <mergeCell ref="L1:O1"/>
    <mergeCell ref="P1:S1"/>
    <mergeCell ref="AD1:AG1"/>
    <mergeCell ref="AH1:AK1"/>
    <mergeCell ref="A61:A62"/>
    <mergeCell ref="A13:A14"/>
    <mergeCell ref="AH14:AJ14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51:A52"/>
    <mergeCell ref="A53:A54"/>
    <mergeCell ref="A55:A56"/>
    <mergeCell ref="A57:A58"/>
    <mergeCell ref="A59:A60"/>
    <mergeCell ref="A41:A42"/>
    <mergeCell ref="A43:A44"/>
    <mergeCell ref="A45:A46"/>
    <mergeCell ref="A47:A48"/>
    <mergeCell ref="A49:A50"/>
    <mergeCell ref="A63:A65"/>
    <mergeCell ref="C75:D75"/>
    <mergeCell ref="E75:F75"/>
    <mergeCell ref="G75:H75"/>
    <mergeCell ref="I75:J75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T80"/>
  <sheetViews>
    <sheetView zoomScale="70" zoomScaleNormal="70"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R8" sqref="AR8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2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36.382812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6" style="423" bestFit="1" customWidth="1"/>
    <col min="17" max="17" width="42.15234375" style="423" bestFit="1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6.15234375" style="423" bestFit="1" customWidth="1"/>
    <col min="28" max="28" width="27" style="423" customWidth="1"/>
    <col min="29" max="33" width="10.69140625" style="423" customWidth="1"/>
    <col min="34" max="34" width="31.3046875" style="423" customWidth="1"/>
    <col min="35" max="35" width="23.304687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53515625" style="423" customWidth="1"/>
    <col min="45" max="45" width="31.152343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7" t="s">
        <v>199</v>
      </c>
      <c r="AR2" s="655" t="s">
        <v>200</v>
      </c>
      <c r="AS2" s="655" t="s">
        <v>201</v>
      </c>
      <c r="AT2" s="655" t="s">
        <v>204</v>
      </c>
    </row>
    <row r="3" spans="1:46" ht="78" customHeight="1" x14ac:dyDescent="0.45">
      <c r="A3" s="1351">
        <v>45748</v>
      </c>
      <c r="B3" s="676">
        <v>1</v>
      </c>
      <c r="C3" s="677"/>
      <c r="D3" s="678"/>
      <c r="E3" s="246">
        <v>84</v>
      </c>
      <c r="F3" s="679"/>
      <c r="G3" s="680"/>
      <c r="H3" s="681"/>
      <c r="I3" s="697" t="s">
        <v>152</v>
      </c>
      <c r="J3" s="683"/>
      <c r="K3" s="287"/>
      <c r="L3" s="684"/>
      <c r="M3" s="685"/>
      <c r="N3" s="685"/>
      <c r="O3" s="686"/>
      <c r="P3" s="687"/>
      <c r="Q3" s="688"/>
      <c r="R3" s="688"/>
      <c r="S3" s="686"/>
      <c r="T3" s="287"/>
      <c r="U3" s="684"/>
      <c r="V3" s="685"/>
      <c r="W3" s="246">
        <v>20</v>
      </c>
      <c r="X3" s="689"/>
      <c r="Y3" s="296"/>
      <c r="Z3" s="687"/>
      <c r="AA3" s="682" t="s">
        <v>152</v>
      </c>
      <c r="AB3" s="690"/>
      <c r="AC3" s="287"/>
      <c r="AD3" s="684"/>
      <c r="AE3" s="685"/>
      <c r="AF3" s="246"/>
      <c r="AG3" s="686"/>
      <c r="AH3" s="687"/>
      <c r="AI3" s="687"/>
      <c r="AJ3" s="245"/>
      <c r="AK3" s="686"/>
      <c r="AL3" s="255"/>
      <c r="AM3" s="684"/>
      <c r="AN3" s="685"/>
      <c r="AO3" s="246"/>
      <c r="AP3" s="686"/>
      <c r="AQ3" s="687"/>
      <c r="AR3" s="691"/>
      <c r="AS3" s="245"/>
      <c r="AT3" s="686"/>
    </row>
    <row r="4" spans="1:46" ht="69.75" customHeight="1" x14ac:dyDescent="0.45">
      <c r="A4" s="1352"/>
      <c r="B4" s="692">
        <v>2</v>
      </c>
      <c r="C4" s="693"/>
      <c r="D4" s="694">
        <v>7</v>
      </c>
      <c r="E4" s="694">
        <v>42</v>
      </c>
      <c r="F4" s="695"/>
      <c r="G4" s="696"/>
      <c r="H4" s="681"/>
      <c r="I4" s="697" t="s">
        <v>152</v>
      </c>
      <c r="J4" s="698"/>
      <c r="K4" s="287"/>
      <c r="L4" s="699"/>
      <c r="M4" s="246"/>
      <c r="N4" s="246"/>
      <c r="O4" s="689"/>
      <c r="P4" s="251"/>
      <c r="Q4" s="681"/>
      <c r="R4" s="226"/>
      <c r="S4" s="689"/>
      <c r="T4" s="287"/>
      <c r="U4" s="699"/>
      <c r="V4" s="245"/>
      <c r="W4" s="246">
        <v>6</v>
      </c>
      <c r="X4" s="689"/>
      <c r="Y4" s="696"/>
      <c r="Z4" s="682"/>
      <c r="AA4" s="682" t="s">
        <v>152</v>
      </c>
      <c r="AB4" s="700"/>
      <c r="AC4" s="287"/>
      <c r="AD4" s="699"/>
      <c r="AE4" s="246"/>
      <c r="AF4" s="246"/>
      <c r="AG4" s="689"/>
      <c r="AH4" s="251"/>
      <c r="AI4" s="682"/>
      <c r="AJ4" s="246"/>
      <c r="AK4" s="689"/>
      <c r="AL4" s="255"/>
      <c r="AM4" s="699"/>
      <c r="AN4" s="246"/>
      <c r="AO4" s="246"/>
      <c r="AP4" s="689"/>
      <c r="AQ4" s="251"/>
      <c r="AR4" s="682"/>
      <c r="AS4" s="246"/>
      <c r="AT4" s="689"/>
    </row>
    <row r="5" spans="1:46" ht="60" customHeight="1" x14ac:dyDescent="0.45">
      <c r="A5" s="1351">
        <v>45749</v>
      </c>
      <c r="B5" s="692">
        <v>1</v>
      </c>
      <c r="C5" s="693"/>
      <c r="D5" s="694"/>
      <c r="E5" s="694">
        <v>8</v>
      </c>
      <c r="F5" s="695"/>
      <c r="G5" s="791"/>
      <c r="H5" s="711"/>
      <c r="I5" s="697" t="s">
        <v>152</v>
      </c>
      <c r="J5" s="698"/>
      <c r="K5" s="287"/>
      <c r="L5" s="699"/>
      <c r="M5" s="246"/>
      <c r="N5" s="246"/>
      <c r="O5" s="689"/>
      <c r="P5" s="251"/>
      <c r="Q5" s="246"/>
      <c r="R5" s="246"/>
      <c r="S5" s="689"/>
      <c r="T5" s="287"/>
      <c r="U5" s="699"/>
      <c r="V5" s="246"/>
      <c r="W5" s="246">
        <v>8</v>
      </c>
      <c r="X5" s="689"/>
      <c r="Y5" s="296"/>
      <c r="Z5" s="681"/>
      <c r="AA5" s="701" t="s">
        <v>152</v>
      </c>
      <c r="AB5" s="702"/>
      <c r="AC5" s="287"/>
      <c r="AD5" s="699"/>
      <c r="AE5" s="246"/>
      <c r="AF5" s="246"/>
      <c r="AG5" s="689"/>
      <c r="AH5" s="251"/>
      <c r="AI5" s="246"/>
      <c r="AJ5" s="703"/>
      <c r="AK5" s="689"/>
      <c r="AL5" s="255"/>
      <c r="AM5" s="699"/>
      <c r="AN5" s="246"/>
      <c r="AO5" s="246"/>
      <c r="AP5" s="689"/>
      <c r="AQ5" s="251"/>
      <c r="AR5" s="306"/>
      <c r="AS5" s="245"/>
      <c r="AT5" s="704"/>
    </row>
    <row r="6" spans="1:46" ht="80.5" customHeight="1" x14ac:dyDescent="0.45">
      <c r="A6" s="1352"/>
      <c r="B6" s="692">
        <v>2</v>
      </c>
      <c r="C6" s="693">
        <v>20</v>
      </c>
      <c r="D6" s="694"/>
      <c r="E6" s="694">
        <v>29</v>
      </c>
      <c r="F6" s="695"/>
      <c r="G6" s="680" t="s">
        <v>743</v>
      </c>
      <c r="H6" s="682"/>
      <c r="I6" s="697" t="s">
        <v>152</v>
      </c>
      <c r="J6" s="705"/>
      <c r="K6" s="287"/>
      <c r="L6" s="699"/>
      <c r="M6" s="246"/>
      <c r="N6" s="246"/>
      <c r="O6" s="689"/>
      <c r="P6" s="251"/>
      <c r="Q6" s="681"/>
      <c r="R6" s="246"/>
      <c r="S6" s="705"/>
      <c r="T6" s="287"/>
      <c r="U6" s="699"/>
      <c r="V6" s="246"/>
      <c r="W6" s="246">
        <v>32</v>
      </c>
      <c r="X6" s="689"/>
      <c r="Y6" s="296"/>
      <c r="Z6" s="681"/>
      <c r="AA6" s="682" t="s">
        <v>1078</v>
      </c>
      <c r="AB6" s="705"/>
      <c r="AC6" s="287"/>
      <c r="AD6" s="699"/>
      <c r="AE6" s="246"/>
      <c r="AF6" s="246"/>
      <c r="AG6" s="689"/>
      <c r="AH6" s="251"/>
      <c r="AI6" s="246"/>
      <c r="AJ6" s="794"/>
      <c r="AK6" s="705"/>
      <c r="AL6" s="255"/>
      <c r="AM6" s="699"/>
      <c r="AN6" s="246"/>
      <c r="AO6" s="246"/>
      <c r="AP6" s="689"/>
      <c r="AQ6" s="301"/>
      <c r="AR6" s="810"/>
      <c r="AS6" s="296"/>
      <c r="AT6" s="705"/>
    </row>
    <row r="7" spans="1:46" ht="71.5" customHeight="1" x14ac:dyDescent="0.45">
      <c r="A7" s="1351">
        <v>45750</v>
      </c>
      <c r="B7" s="692">
        <v>1</v>
      </c>
      <c r="C7" s="693"/>
      <c r="D7" s="694"/>
      <c r="E7" s="694">
        <v>22</v>
      </c>
      <c r="F7" s="695"/>
      <c r="G7" s="680"/>
      <c r="H7" s="682"/>
      <c r="I7" s="697" t="s">
        <v>152</v>
      </c>
      <c r="J7" s="705"/>
      <c r="K7" s="287"/>
      <c r="L7" s="699"/>
      <c r="M7" s="251"/>
      <c r="N7" s="246"/>
      <c r="O7" s="689"/>
      <c r="P7" s="251"/>
      <c r="Q7" s="706"/>
      <c r="R7" s="246"/>
      <c r="S7" s="704"/>
      <c r="T7" s="287"/>
      <c r="U7" s="699">
        <v>132</v>
      </c>
      <c r="V7" s="246"/>
      <c r="W7" s="246">
        <v>10</v>
      </c>
      <c r="X7" s="689"/>
      <c r="Y7" s="296" t="s">
        <v>1077</v>
      </c>
      <c r="Z7" s="681"/>
      <c r="AA7" s="701" t="s">
        <v>152</v>
      </c>
      <c r="AB7" s="704"/>
      <c r="AC7" s="287"/>
      <c r="AD7" s="699"/>
      <c r="AE7" s="246"/>
      <c r="AF7" s="246"/>
      <c r="AG7" s="689"/>
      <c r="AH7" s="251"/>
      <c r="AI7" s="706"/>
      <c r="AJ7" s="794"/>
      <c r="AK7" s="808"/>
      <c r="AL7" s="255"/>
      <c r="AM7" s="699"/>
      <c r="AN7" s="246"/>
      <c r="AO7" s="246">
        <v>5</v>
      </c>
      <c r="AP7" s="689"/>
      <c r="AQ7" s="284"/>
      <c r="AR7" s="796"/>
      <c r="AS7" s="809" t="s">
        <v>325</v>
      </c>
      <c r="AT7" s="707"/>
    </row>
    <row r="8" spans="1:46" ht="69.650000000000006" customHeight="1" x14ac:dyDescent="0.45">
      <c r="A8" s="1352"/>
      <c r="B8" s="692">
        <v>2</v>
      </c>
      <c r="C8" s="693"/>
      <c r="D8" s="727"/>
      <c r="E8" s="694">
        <v>53</v>
      </c>
      <c r="F8" s="695"/>
      <c r="G8" s="696"/>
      <c r="H8" s="682"/>
      <c r="I8" s="697" t="s">
        <v>152</v>
      </c>
      <c r="J8" s="705"/>
      <c r="K8" s="287"/>
      <c r="L8" s="699"/>
      <c r="M8" s="246"/>
      <c r="N8" s="246"/>
      <c r="O8" s="689"/>
      <c r="P8" s="251"/>
      <c r="Q8" s="246"/>
      <c r="R8" s="245"/>
      <c r="S8" s="704"/>
      <c r="T8" s="287"/>
      <c r="U8" s="795">
        <v>720</v>
      </c>
      <c r="V8" s="796"/>
      <c r="W8" s="251"/>
      <c r="X8" s="689"/>
      <c r="Y8" s="296" t="s">
        <v>1077</v>
      </c>
      <c r="Z8" s="301"/>
      <c r="AA8" s="296"/>
      <c r="AB8" s="705"/>
      <c r="AC8" s="287"/>
      <c r="AD8" s="699"/>
      <c r="AE8" s="246"/>
      <c r="AF8" s="246"/>
      <c r="AG8" s="689"/>
      <c r="AH8" s="251"/>
      <c r="AI8" s="245"/>
      <c r="AJ8" s="794"/>
      <c r="AK8" s="797"/>
      <c r="AL8" s="255"/>
      <c r="AM8" s="699"/>
      <c r="AN8" s="246">
        <v>6</v>
      </c>
      <c r="AO8" s="246">
        <v>15</v>
      </c>
      <c r="AP8" s="689"/>
      <c r="AQ8" s="284"/>
      <c r="AR8" s="811" t="s">
        <v>317</v>
      </c>
      <c r="AS8" s="251" t="s">
        <v>388</v>
      </c>
      <c r="AT8" s="705"/>
    </row>
    <row r="9" spans="1:46" ht="76.95" customHeight="1" x14ac:dyDescent="0.45">
      <c r="A9" s="1351">
        <v>45751</v>
      </c>
      <c r="B9" s="692">
        <v>1</v>
      </c>
      <c r="C9" s="763"/>
      <c r="D9" s="790"/>
      <c r="E9" s="787">
        <v>15</v>
      </c>
      <c r="F9" s="695"/>
      <c r="G9" s="696"/>
      <c r="H9" s="681"/>
      <c r="I9" s="697" t="s">
        <v>152</v>
      </c>
      <c r="J9" s="705"/>
      <c r="K9" s="287"/>
      <c r="L9" s="699"/>
      <c r="M9" s="246"/>
      <c r="N9" s="246"/>
      <c r="O9" s="689"/>
      <c r="P9" s="251"/>
      <c r="Q9" s="246"/>
      <c r="R9" s="245"/>
      <c r="S9" s="705"/>
      <c r="T9" s="287"/>
      <c r="U9" s="795">
        <v>720</v>
      </c>
      <c r="V9" s="251"/>
      <c r="W9" s="246"/>
      <c r="X9" s="689"/>
      <c r="Y9" s="296" t="s">
        <v>1077</v>
      </c>
      <c r="Z9" s="246"/>
      <c r="AA9" s="701"/>
      <c r="AB9" s="705"/>
      <c r="AC9" s="287"/>
      <c r="AD9" s="699"/>
      <c r="AE9" s="246"/>
      <c r="AF9" s="246"/>
      <c r="AG9" s="689"/>
      <c r="AH9" s="251"/>
      <c r="AI9" s="246"/>
      <c r="AJ9" s="246"/>
      <c r="AK9" s="705"/>
      <c r="AL9" s="255"/>
      <c r="AM9" s="699"/>
      <c r="AN9" s="246"/>
      <c r="AO9" s="246"/>
      <c r="AP9" s="689"/>
      <c r="AQ9" s="284"/>
      <c r="AR9" s="796"/>
      <c r="AS9" s="251"/>
      <c r="AT9" s="708"/>
    </row>
    <row r="10" spans="1:46" ht="67.2" customHeight="1" x14ac:dyDescent="0.45">
      <c r="A10" s="1352"/>
      <c r="B10" s="692">
        <v>2</v>
      </c>
      <c r="C10" s="763"/>
      <c r="D10" s="788">
        <v>105</v>
      </c>
      <c r="E10" s="787">
        <v>20</v>
      </c>
      <c r="F10" s="695"/>
      <c r="G10" s="709"/>
      <c r="H10" s="710" t="s">
        <v>1079</v>
      </c>
      <c r="I10" s="711" t="s">
        <v>152</v>
      </c>
      <c r="J10" s="705"/>
      <c r="K10" s="287"/>
      <c r="L10" s="699"/>
      <c r="M10" s="246">
        <v>121</v>
      </c>
      <c r="N10" s="246"/>
      <c r="O10" s="689"/>
      <c r="P10" s="251"/>
      <c r="Q10" s="246" t="s">
        <v>1079</v>
      </c>
      <c r="R10" s="245"/>
      <c r="S10" s="705"/>
      <c r="T10" s="287"/>
      <c r="U10" s="699">
        <v>720</v>
      </c>
      <c r="V10" s="246"/>
      <c r="W10" s="246"/>
      <c r="X10" s="689"/>
      <c r="Y10" s="296" t="s">
        <v>1077</v>
      </c>
      <c r="Z10" s="296"/>
      <c r="AA10" s="287"/>
      <c r="AB10" s="705"/>
      <c r="AC10" s="287"/>
      <c r="AD10" s="699"/>
      <c r="AE10" s="246">
        <v>155</v>
      </c>
      <c r="AF10" s="246"/>
      <c r="AG10" s="689"/>
      <c r="AH10" s="296"/>
      <c r="AI10" s="245" t="s">
        <v>1079</v>
      </c>
      <c r="AJ10" s="682"/>
      <c r="AK10" s="705"/>
      <c r="AL10" s="255"/>
      <c r="AM10" s="699">
        <v>585</v>
      </c>
      <c r="AN10" s="246"/>
      <c r="AO10" s="246"/>
      <c r="AP10" s="689"/>
      <c r="AQ10" s="284" t="s">
        <v>1080</v>
      </c>
      <c r="AR10" s="812"/>
      <c r="AS10" s="251"/>
      <c r="AT10" s="705"/>
    </row>
    <row r="11" spans="1:46" ht="60" customHeight="1" x14ac:dyDescent="0.45">
      <c r="A11" s="1351">
        <v>45752</v>
      </c>
      <c r="B11" s="692">
        <v>1</v>
      </c>
      <c r="C11" s="763"/>
      <c r="D11" s="789"/>
      <c r="E11" s="787"/>
      <c r="F11" s="695"/>
      <c r="G11" s="712"/>
      <c r="H11" s="710"/>
      <c r="I11" s="711"/>
      <c r="J11" s="698"/>
      <c r="K11" s="287"/>
      <c r="L11" s="699"/>
      <c r="M11" s="246"/>
      <c r="N11" s="246"/>
      <c r="O11" s="689"/>
      <c r="P11" s="251"/>
      <c r="Q11" s="246"/>
      <c r="R11" s="245"/>
      <c r="S11" s="689"/>
      <c r="T11" s="287"/>
      <c r="U11" s="699">
        <v>720</v>
      </c>
      <c r="V11" s="246"/>
      <c r="W11" s="246"/>
      <c r="X11" s="689"/>
      <c r="Y11" s="296" t="s">
        <v>1077</v>
      </c>
      <c r="Z11" s="246"/>
      <c r="AA11" s="701"/>
      <c r="AB11" s="689"/>
      <c r="AC11" s="287"/>
      <c r="AD11" s="699"/>
      <c r="AE11" s="246"/>
      <c r="AF11" s="246"/>
      <c r="AG11" s="689"/>
      <c r="AH11" s="251"/>
      <c r="AI11" s="246"/>
      <c r="AJ11" s="701"/>
      <c r="AK11" s="689"/>
      <c r="AL11" s="255"/>
      <c r="AM11" s="699"/>
      <c r="AN11" s="246"/>
      <c r="AO11" s="246"/>
      <c r="AP11" s="689"/>
      <c r="AQ11" s="251"/>
      <c r="AR11" s="226"/>
      <c r="AS11" s="246"/>
      <c r="AT11" s="704"/>
    </row>
    <row r="12" spans="1:46" ht="55.2" customHeight="1" x14ac:dyDescent="0.45">
      <c r="A12" s="1352"/>
      <c r="B12" s="692">
        <v>2</v>
      </c>
      <c r="C12" s="693"/>
      <c r="D12" s="767"/>
      <c r="E12" s="694">
        <v>11</v>
      </c>
      <c r="F12" s="695"/>
      <c r="G12" s="696"/>
      <c r="H12" s="681"/>
      <c r="I12" s="711" t="s">
        <v>152</v>
      </c>
      <c r="J12" s="705"/>
      <c r="K12" s="287"/>
      <c r="L12" s="699"/>
      <c r="M12" s="246"/>
      <c r="N12" s="246"/>
      <c r="O12" s="689"/>
      <c r="P12" s="251"/>
      <c r="Q12" s="246"/>
      <c r="R12" s="245"/>
      <c r="S12" s="705"/>
      <c r="T12" s="287"/>
      <c r="U12" s="699">
        <v>84</v>
      </c>
      <c r="V12" s="246"/>
      <c r="W12" s="246"/>
      <c r="X12" s="689"/>
      <c r="Y12" s="296" t="s">
        <v>1077</v>
      </c>
      <c r="Z12" s="682"/>
      <c r="AA12" s="701"/>
      <c r="AB12" s="705"/>
      <c r="AC12" s="287"/>
      <c r="AD12" s="699">
        <v>105</v>
      </c>
      <c r="AE12" s="246"/>
      <c r="AF12" s="246"/>
      <c r="AG12" s="689"/>
      <c r="AH12" s="251" t="s">
        <v>583</v>
      </c>
      <c r="AI12" s="245"/>
      <c r="AJ12" s="245"/>
      <c r="AK12" s="705"/>
      <c r="AL12" s="255"/>
      <c r="AM12" s="699"/>
      <c r="AN12" s="246"/>
      <c r="AO12" s="246"/>
      <c r="AP12" s="689"/>
      <c r="AQ12" s="251"/>
      <c r="AR12" s="246"/>
      <c r="AS12" s="245"/>
      <c r="AT12" s="705"/>
    </row>
    <row r="13" spans="1:46" ht="34.950000000000003" customHeight="1" x14ac:dyDescent="0.45">
      <c r="A13" s="1351">
        <v>45753</v>
      </c>
      <c r="B13" s="692">
        <v>1</v>
      </c>
      <c r="C13" s="693"/>
      <c r="D13" s="694"/>
      <c r="E13" s="694"/>
      <c r="F13" s="695"/>
      <c r="G13" s="696"/>
      <c r="H13" s="681"/>
      <c r="I13" s="697"/>
      <c r="J13" s="705"/>
      <c r="K13" s="287"/>
      <c r="L13" s="699"/>
      <c r="M13" s="246"/>
      <c r="N13" s="246"/>
      <c r="O13" s="695"/>
      <c r="P13" s="251"/>
      <c r="Q13" s="246"/>
      <c r="R13" s="246"/>
      <c r="S13" s="705"/>
      <c r="T13" s="287"/>
      <c r="U13" s="699"/>
      <c r="V13" s="246"/>
      <c r="W13" s="246">
        <v>8</v>
      </c>
      <c r="X13" s="695"/>
      <c r="Y13" s="296"/>
      <c r="Z13" s="245"/>
      <c r="AA13" s="701" t="s">
        <v>1081</v>
      </c>
      <c r="AB13" s="705"/>
      <c r="AC13" s="287"/>
      <c r="AD13" s="699"/>
      <c r="AE13" s="246"/>
      <c r="AF13" s="246"/>
      <c r="AG13" s="695"/>
      <c r="AH13" s="251"/>
      <c r="AI13" s="246"/>
      <c r="AJ13" s="701"/>
      <c r="AK13" s="705"/>
      <c r="AL13" s="255"/>
      <c r="AM13" s="699"/>
      <c r="AN13" s="246"/>
      <c r="AO13" s="246"/>
      <c r="AP13" s="695"/>
      <c r="AQ13" s="251"/>
      <c r="AR13" s="246"/>
      <c r="AS13" s="682"/>
      <c r="AT13" s="705"/>
    </row>
    <row r="14" spans="1:46" ht="49.2" customHeight="1" x14ac:dyDescent="0.45">
      <c r="A14" s="1352"/>
      <c r="B14" s="692">
        <v>2</v>
      </c>
      <c r="C14" s="693">
        <v>583</v>
      </c>
      <c r="D14" s="694"/>
      <c r="E14" s="694"/>
      <c r="F14" s="695"/>
      <c r="G14" s="696" t="s">
        <v>583</v>
      </c>
      <c r="H14" s="682"/>
      <c r="I14" s="697"/>
      <c r="J14" s="705"/>
      <c r="K14" s="287"/>
      <c r="L14" s="699"/>
      <c r="M14" s="246"/>
      <c r="N14" s="246"/>
      <c r="O14" s="695"/>
      <c r="P14" s="296"/>
      <c r="Q14" s="246"/>
      <c r="R14" s="246"/>
      <c r="S14" s="705"/>
      <c r="T14" s="287"/>
      <c r="U14" s="699"/>
      <c r="V14" s="246"/>
      <c r="W14" s="246">
        <v>5</v>
      </c>
      <c r="X14" s="695"/>
      <c r="Y14" s="296"/>
      <c r="Z14" s="245"/>
      <c r="AA14" s="701" t="s">
        <v>1081</v>
      </c>
      <c r="AB14" s="705"/>
      <c r="AC14" s="287"/>
      <c r="AD14" s="699"/>
      <c r="AE14" s="246"/>
      <c r="AF14" s="246"/>
      <c r="AG14" s="695"/>
      <c r="AH14" s="1514"/>
      <c r="AI14" s="1462"/>
      <c r="AJ14" s="1515"/>
      <c r="AK14" s="705"/>
      <c r="AL14" s="255"/>
      <c r="AM14" s="699"/>
      <c r="AN14" s="246"/>
      <c r="AO14" s="806"/>
      <c r="AP14" s="813"/>
      <c r="AQ14" s="296"/>
      <c r="AR14" s="246"/>
      <c r="AS14" s="701"/>
      <c r="AT14" s="705"/>
    </row>
    <row r="15" spans="1:46" ht="48" customHeight="1" x14ac:dyDescent="0.45">
      <c r="A15" s="1351">
        <v>45754</v>
      </c>
      <c r="B15" s="692">
        <v>1</v>
      </c>
      <c r="C15" s="693"/>
      <c r="D15" s="727"/>
      <c r="E15" s="306"/>
      <c r="F15" s="739"/>
      <c r="G15" s="731"/>
      <c r="H15" s="723"/>
      <c r="I15" s="764"/>
      <c r="J15" s="739"/>
      <c r="K15" s="287"/>
      <c r="L15" s="765"/>
      <c r="M15" s="306"/>
      <c r="N15" s="306"/>
      <c r="O15" s="728"/>
      <c r="P15" s="766"/>
      <c r="Q15" s="723"/>
      <c r="R15" s="682"/>
      <c r="S15" s="705"/>
      <c r="T15" s="287"/>
      <c r="U15" s="699"/>
      <c r="V15" s="246"/>
      <c r="W15" s="246"/>
      <c r="X15" s="695"/>
      <c r="Y15" s="696"/>
      <c r="Z15" s="682"/>
      <c r="AA15" s="701"/>
      <c r="AB15" s="705"/>
      <c r="AC15" s="287"/>
      <c r="AD15" s="699"/>
      <c r="AE15" s="246"/>
      <c r="AF15" s="287"/>
      <c r="AG15" s="695"/>
      <c r="AH15" s="680"/>
      <c r="AI15" s="682"/>
      <c r="AJ15" s="245"/>
      <c r="AK15" s="705"/>
      <c r="AL15" s="255"/>
      <c r="AM15" s="699"/>
      <c r="AN15" s="246"/>
      <c r="AO15" s="814"/>
      <c r="AP15" s="820"/>
      <c r="AQ15" s="711"/>
      <c r="AR15" s="682"/>
      <c r="AS15" s="682"/>
      <c r="AT15" s="705"/>
    </row>
    <row r="16" spans="1:46" ht="63" customHeight="1" x14ac:dyDescent="0.45">
      <c r="A16" s="1352"/>
      <c r="B16" s="692">
        <v>2</v>
      </c>
      <c r="C16" s="763"/>
      <c r="D16" s="785"/>
      <c r="E16" s="783"/>
      <c r="F16" s="774"/>
      <c r="G16" s="829"/>
      <c r="H16" s="776"/>
      <c r="I16" s="777"/>
      <c r="J16" s="778"/>
      <c r="K16" s="779"/>
      <c r="L16" s="780"/>
      <c r="M16" s="781"/>
      <c r="N16" s="781"/>
      <c r="O16" s="774"/>
      <c r="P16" s="775"/>
      <c r="Q16" s="782"/>
      <c r="R16" s="714"/>
      <c r="S16" s="705"/>
      <c r="T16" s="287"/>
      <c r="U16" s="699"/>
      <c r="V16" s="246"/>
      <c r="W16" s="246">
        <v>7</v>
      </c>
      <c r="X16" s="695"/>
      <c r="Y16" s="760"/>
      <c r="Z16" s="710"/>
      <c r="AA16" s="715" t="s">
        <v>1081</v>
      </c>
      <c r="AB16" s="705"/>
      <c r="AC16" s="287"/>
      <c r="AD16" s="699"/>
      <c r="AE16" s="246"/>
      <c r="AF16" s="246"/>
      <c r="AG16" s="695"/>
      <c r="AH16" s="716"/>
      <c r="AI16" s="710"/>
      <c r="AJ16" s="714"/>
      <c r="AK16" s="705"/>
      <c r="AL16" s="255"/>
      <c r="AM16" s="699"/>
      <c r="AN16" s="246">
        <v>2</v>
      </c>
      <c r="AO16" s="246">
        <v>17</v>
      </c>
      <c r="AP16" s="695"/>
      <c r="AQ16" s="819"/>
      <c r="AR16" s="710" t="s">
        <v>922</v>
      </c>
      <c r="AS16" s="714" t="s">
        <v>388</v>
      </c>
      <c r="AT16" s="705"/>
    </row>
    <row r="17" spans="1:46" ht="66" customHeight="1" x14ac:dyDescent="0.45">
      <c r="A17" s="1351">
        <v>45755</v>
      </c>
      <c r="B17" s="717">
        <v>1</v>
      </c>
      <c r="C17" s="693"/>
      <c r="D17" s="786"/>
      <c r="E17" s="784"/>
      <c r="F17" s="768"/>
      <c r="G17" s="769"/>
      <c r="H17" s="770"/>
      <c r="I17" s="771"/>
      <c r="J17" s="772"/>
      <c r="K17" s="287"/>
      <c r="L17" s="773"/>
      <c r="M17" s="226"/>
      <c r="N17" s="226"/>
      <c r="O17" s="768"/>
      <c r="P17" s="769"/>
      <c r="Q17" s="770"/>
      <c r="R17" s="682"/>
      <c r="S17" s="705"/>
      <c r="T17" s="287"/>
      <c r="U17" s="699"/>
      <c r="V17" s="246"/>
      <c r="W17" s="246">
        <v>9</v>
      </c>
      <c r="X17" s="695"/>
      <c r="Y17" s="696"/>
      <c r="Z17" s="681"/>
      <c r="AA17" s="715" t="s">
        <v>1081</v>
      </c>
      <c r="AB17" s="705"/>
      <c r="AC17" s="287"/>
      <c r="AD17" s="699"/>
      <c r="AE17" s="246"/>
      <c r="AF17" s="246"/>
      <c r="AG17" s="695"/>
      <c r="AH17" s="680"/>
      <c r="AI17" s="681"/>
      <c r="AJ17" s="682"/>
      <c r="AK17" s="705"/>
      <c r="AL17" s="255"/>
      <c r="AM17" s="699"/>
      <c r="AN17" s="246"/>
      <c r="AO17" s="806"/>
      <c r="AP17" s="820"/>
      <c r="AQ17" s="715"/>
      <c r="AR17" s="682"/>
      <c r="AS17" s="701"/>
      <c r="AT17" s="705"/>
    </row>
    <row r="18" spans="1:46" ht="49.5" customHeight="1" x14ac:dyDescent="0.45">
      <c r="A18" s="1352"/>
      <c r="B18" s="692">
        <v>2</v>
      </c>
      <c r="C18" s="693"/>
      <c r="D18" s="694"/>
      <c r="E18" s="694"/>
      <c r="F18" s="695"/>
      <c r="G18" s="696"/>
      <c r="H18" s="718"/>
      <c r="I18" s="697"/>
      <c r="J18" s="705"/>
      <c r="K18" s="287"/>
      <c r="L18" s="699"/>
      <c r="M18" s="246"/>
      <c r="N18" s="246"/>
      <c r="O18" s="695"/>
      <c r="P18" s="696"/>
      <c r="Q18" s="682"/>
      <c r="R18" s="697"/>
      <c r="S18" s="705"/>
      <c r="T18" s="287"/>
      <c r="U18" s="699"/>
      <c r="V18" s="246"/>
      <c r="W18" s="694"/>
      <c r="X18" s="695"/>
      <c r="Y18" s="696"/>
      <c r="Z18" s="682"/>
      <c r="AA18" s="701"/>
      <c r="AB18" s="705"/>
      <c r="AC18" s="287"/>
      <c r="AD18" s="699"/>
      <c r="AE18" s="246"/>
      <c r="AF18" s="246"/>
      <c r="AG18" s="695"/>
      <c r="AH18" s="696"/>
      <c r="AI18" s="682"/>
      <c r="AJ18" s="681"/>
      <c r="AK18" s="705"/>
      <c r="AL18" s="255"/>
      <c r="AM18" s="699"/>
      <c r="AN18" s="246"/>
      <c r="AO18" s="806"/>
      <c r="AP18" s="813"/>
      <c r="AQ18" s="828"/>
      <c r="AR18" s="710"/>
      <c r="AS18" s="830"/>
      <c r="AT18" s="705"/>
    </row>
    <row r="19" spans="1:46" ht="33.65" customHeight="1" x14ac:dyDescent="0.45">
      <c r="A19" s="1351">
        <v>45756</v>
      </c>
      <c r="B19" s="692">
        <v>1</v>
      </c>
      <c r="C19" s="287"/>
      <c r="D19" s="694"/>
      <c r="E19" s="694"/>
      <c r="F19" s="695"/>
      <c r="G19" s="719"/>
      <c r="H19" s="246"/>
      <c r="I19" s="711"/>
      <c r="J19" s="705"/>
      <c r="K19" s="287"/>
      <c r="L19" s="699"/>
      <c r="M19" s="246"/>
      <c r="N19" s="246"/>
      <c r="O19" s="695"/>
      <c r="P19" s="699"/>
      <c r="Q19" s="246"/>
      <c r="R19" s="246"/>
      <c r="S19" s="705"/>
      <c r="T19" s="287"/>
      <c r="U19" s="699"/>
      <c r="V19" s="246"/>
      <c r="W19" s="246">
        <v>26</v>
      </c>
      <c r="X19" s="695"/>
      <c r="Y19" s="699"/>
      <c r="Z19" s="245"/>
      <c r="AA19" s="715" t="s">
        <v>1081</v>
      </c>
      <c r="AB19" s="705"/>
      <c r="AC19" s="287"/>
      <c r="AD19" s="699"/>
      <c r="AE19" s="246"/>
      <c r="AF19" s="246"/>
      <c r="AG19" s="695"/>
      <c r="AH19" s="699"/>
      <c r="AI19" s="246"/>
      <c r="AJ19" s="701"/>
      <c r="AK19" s="705"/>
      <c r="AL19" s="255"/>
      <c r="AM19" s="699"/>
      <c r="AN19" s="246"/>
      <c r="AO19" s="246"/>
      <c r="AP19" s="695"/>
      <c r="AQ19" s="699"/>
      <c r="AR19" s="246"/>
      <c r="AS19" s="682"/>
      <c r="AT19" s="705"/>
    </row>
    <row r="20" spans="1:46" ht="44.5" customHeight="1" x14ac:dyDescent="0.45">
      <c r="A20" s="1352"/>
      <c r="B20" s="692">
        <v>2</v>
      </c>
      <c r="C20" s="693"/>
      <c r="D20" s="694"/>
      <c r="E20" s="694"/>
      <c r="F20" s="695"/>
      <c r="G20" s="719"/>
      <c r="H20" s="245"/>
      <c r="I20" s="711"/>
      <c r="J20" s="705"/>
      <c r="K20" s="287"/>
      <c r="L20" s="699">
        <v>50</v>
      </c>
      <c r="M20" s="246"/>
      <c r="N20" s="246"/>
      <c r="O20" s="695"/>
      <c r="P20" s="719" t="s">
        <v>1082</v>
      </c>
      <c r="Q20" s="245"/>
      <c r="R20" s="697"/>
      <c r="S20" s="705"/>
      <c r="T20" s="287"/>
      <c r="U20" s="699"/>
      <c r="V20" s="246"/>
      <c r="W20" s="246">
        <v>8</v>
      </c>
      <c r="X20" s="695"/>
      <c r="Y20" s="719"/>
      <c r="Z20" s="245"/>
      <c r="AA20" s="682" t="s">
        <v>1081</v>
      </c>
      <c r="AB20" s="705"/>
      <c r="AC20" s="287"/>
      <c r="AD20" s="699"/>
      <c r="AE20" s="246"/>
      <c r="AF20" s="246"/>
      <c r="AG20" s="695"/>
      <c r="AH20" s="719"/>
      <c r="AI20" s="245"/>
      <c r="AJ20" s="697"/>
      <c r="AK20" s="705"/>
      <c r="AL20" s="255"/>
      <c r="AM20" s="699"/>
      <c r="AN20" s="246"/>
      <c r="AO20" s="246"/>
      <c r="AP20" s="695"/>
      <c r="AQ20" s="719"/>
      <c r="AR20" s="245"/>
      <c r="AS20" s="697"/>
      <c r="AT20" s="705"/>
    </row>
    <row r="21" spans="1:46" ht="39" customHeight="1" x14ac:dyDescent="0.45">
      <c r="A21" s="1351">
        <v>45757</v>
      </c>
      <c r="B21" s="692">
        <v>1</v>
      </c>
      <c r="C21" s="693"/>
      <c r="D21" s="694"/>
      <c r="E21" s="694"/>
      <c r="F21" s="695"/>
      <c r="G21" s="720"/>
      <c r="H21" s="681"/>
      <c r="I21" s="711"/>
      <c r="J21" s="721"/>
      <c r="K21" s="287"/>
      <c r="L21" s="699"/>
      <c r="M21" s="246"/>
      <c r="N21" s="246"/>
      <c r="O21" s="695"/>
      <c r="P21" s="699"/>
      <c r="Q21" s="245"/>
      <c r="R21" s="246"/>
      <c r="S21" s="721"/>
      <c r="T21" s="287"/>
      <c r="U21" s="699"/>
      <c r="V21" s="246"/>
      <c r="W21" s="246">
        <v>13</v>
      </c>
      <c r="X21" s="695"/>
      <c r="Y21" s="719"/>
      <c r="Z21" s="246"/>
      <c r="AA21" s="682" t="s">
        <v>1081</v>
      </c>
      <c r="AB21" s="721"/>
      <c r="AC21" s="287"/>
      <c r="AD21" s="699"/>
      <c r="AE21" s="246"/>
      <c r="AF21" s="246"/>
      <c r="AG21" s="695"/>
      <c r="AH21" s="699"/>
      <c r="AI21" s="246"/>
      <c r="AJ21" s="701"/>
      <c r="AK21" s="721"/>
      <c r="AL21" s="255"/>
      <c r="AM21" s="699"/>
      <c r="AN21" s="246"/>
      <c r="AO21" s="246"/>
      <c r="AP21" s="695"/>
      <c r="AQ21" s="699"/>
      <c r="AR21" s="245"/>
      <c r="AS21" s="701"/>
      <c r="AT21" s="721"/>
    </row>
    <row r="22" spans="1:46" ht="49.95" customHeight="1" x14ac:dyDescent="0.45">
      <c r="A22" s="1352"/>
      <c r="B22" s="692">
        <v>2</v>
      </c>
      <c r="C22" s="693"/>
      <c r="D22" s="694"/>
      <c r="E22" s="694"/>
      <c r="F22" s="695"/>
      <c r="G22" s="722"/>
      <c r="H22" s="682"/>
      <c r="I22" s="697"/>
      <c r="J22" s="705"/>
      <c r="K22" s="287"/>
      <c r="L22" s="699"/>
      <c r="M22" s="246"/>
      <c r="N22" s="246"/>
      <c r="O22" s="695"/>
      <c r="P22" s="296"/>
      <c r="Q22" s="682"/>
      <c r="R22" s="246"/>
      <c r="S22" s="705"/>
      <c r="T22" s="287"/>
      <c r="U22" s="699"/>
      <c r="V22" s="246"/>
      <c r="W22" s="246"/>
      <c r="X22" s="695"/>
      <c r="Y22" s="719"/>
      <c r="Z22" s="682"/>
      <c r="AA22" s="701"/>
      <c r="AB22" s="705"/>
      <c r="AC22" s="287"/>
      <c r="AD22" s="699"/>
      <c r="AE22" s="246"/>
      <c r="AF22" s="246"/>
      <c r="AG22" s="695"/>
      <c r="AH22" s="699"/>
      <c r="AI22" s="246"/>
      <c r="AJ22" s="794"/>
      <c r="AK22" s="797"/>
      <c r="AL22" s="255"/>
      <c r="AM22" s="699"/>
      <c r="AN22" s="246"/>
      <c r="AO22" s="246"/>
      <c r="AP22" s="695"/>
      <c r="AQ22" s="699"/>
      <c r="AR22" s="682"/>
      <c r="AS22" s="302"/>
      <c r="AT22" s="705"/>
    </row>
    <row r="23" spans="1:46" ht="47.5" customHeight="1" x14ac:dyDescent="0.45">
      <c r="A23" s="1351">
        <v>45758</v>
      </c>
      <c r="B23" s="717">
        <v>1</v>
      </c>
      <c r="C23" s="693"/>
      <c r="D23" s="694"/>
      <c r="E23" s="694"/>
      <c r="F23" s="695"/>
      <c r="G23" s="680"/>
      <c r="H23" s="681"/>
      <c r="I23" s="711"/>
      <c r="J23" s="705"/>
      <c r="K23" s="287"/>
      <c r="L23" s="699"/>
      <c r="M23" s="246"/>
      <c r="N23" s="246"/>
      <c r="O23" s="695"/>
      <c r="P23" s="680"/>
      <c r="Q23" s="681"/>
      <c r="R23" s="682"/>
      <c r="S23" s="705"/>
      <c r="T23" s="287"/>
      <c r="U23" s="699"/>
      <c r="V23" s="246"/>
      <c r="W23" s="246"/>
      <c r="X23" s="695"/>
      <c r="Y23" s="719"/>
      <c r="Z23" s="697"/>
      <c r="AA23" s="715"/>
      <c r="AB23" s="705"/>
      <c r="AC23" s="287"/>
      <c r="AD23" s="699"/>
      <c r="AE23" s="246"/>
      <c r="AF23" s="251"/>
      <c r="AG23" s="695"/>
      <c r="AH23" s="699"/>
      <c r="AI23" s="681"/>
      <c r="AJ23" s="807"/>
      <c r="AK23" s="797"/>
      <c r="AL23" s="255"/>
      <c r="AM23" s="699"/>
      <c r="AN23" s="246"/>
      <c r="AO23" s="246"/>
      <c r="AP23" s="695"/>
      <c r="AQ23" s="246"/>
      <c r="AR23" s="681"/>
      <c r="AS23" s="707"/>
      <c r="AT23" s="705"/>
    </row>
    <row r="24" spans="1:46" ht="49.95" customHeight="1" x14ac:dyDescent="0.45">
      <c r="A24" s="1352"/>
      <c r="B24" s="692">
        <v>2</v>
      </c>
      <c r="C24" s="693"/>
      <c r="D24" s="694"/>
      <c r="E24" s="694"/>
      <c r="F24" s="695"/>
      <c r="G24" s="680"/>
      <c r="H24" s="682"/>
      <c r="I24" s="711"/>
      <c r="J24" s="705"/>
      <c r="K24" s="287"/>
      <c r="L24" s="699"/>
      <c r="M24" s="246"/>
      <c r="N24" s="246"/>
      <c r="O24" s="695"/>
      <c r="P24" s="680"/>
      <c r="Q24" s="681"/>
      <c r="R24" s="682"/>
      <c r="S24" s="705"/>
      <c r="T24" s="762"/>
      <c r="U24" s="251">
        <v>36</v>
      </c>
      <c r="V24" s="761"/>
      <c r="W24" s="715"/>
      <c r="X24" s="695"/>
      <c r="Y24" s="697"/>
      <c r="Z24" s="681"/>
      <c r="AA24" s="701"/>
      <c r="AB24" s="705" t="s">
        <v>1035</v>
      </c>
      <c r="AC24" s="287"/>
      <c r="AD24" s="699"/>
      <c r="AE24" s="246"/>
      <c r="AF24" s="251"/>
      <c r="AG24" s="695"/>
      <c r="AH24" s="697"/>
      <c r="AI24" s="681"/>
      <c r="AJ24" s="682"/>
      <c r="AK24" s="705"/>
      <c r="AL24" s="255"/>
      <c r="AM24" s="699"/>
      <c r="AN24" s="246"/>
      <c r="AO24" s="246"/>
      <c r="AP24" s="695"/>
      <c r="AQ24" s="681"/>
      <c r="AR24" s="681"/>
      <c r="AS24" s="705"/>
      <c r="AT24" s="705"/>
    </row>
    <row r="25" spans="1:46" ht="53.5" customHeight="1" x14ac:dyDescent="0.45">
      <c r="A25" s="1351">
        <v>45759</v>
      </c>
      <c r="B25" s="692">
        <v>1</v>
      </c>
      <c r="C25" s="693"/>
      <c r="D25" s="694"/>
      <c r="E25" s="694"/>
      <c r="F25" s="695"/>
      <c r="G25" s="680"/>
      <c r="H25" s="681"/>
      <c r="I25" s="697"/>
      <c r="J25" s="705"/>
      <c r="K25" s="287"/>
      <c r="L25" s="699"/>
      <c r="M25" s="246"/>
      <c r="N25" s="246"/>
      <c r="O25" s="695"/>
      <c r="P25" s="699"/>
      <c r="Q25" s="681"/>
      <c r="R25" s="246"/>
      <c r="S25" s="705"/>
      <c r="T25" s="287"/>
      <c r="U25" s="699"/>
      <c r="V25" s="246"/>
      <c r="W25" s="246"/>
      <c r="X25" s="695"/>
      <c r="Y25" s="719"/>
      <c r="Z25" s="245"/>
      <c r="AA25" s="682"/>
      <c r="AB25" s="705"/>
      <c r="AC25" s="287"/>
      <c r="AD25" s="699"/>
      <c r="AE25" s="246"/>
      <c r="AF25" s="246"/>
      <c r="AG25" s="695"/>
      <c r="AH25" s="246"/>
      <c r="AI25" s="245"/>
      <c r="AJ25" s="682"/>
      <c r="AK25" s="705"/>
      <c r="AL25" s="255"/>
      <c r="AM25" s="699"/>
      <c r="AN25" s="246"/>
      <c r="AO25" s="246"/>
      <c r="AP25" s="695"/>
      <c r="AQ25" s="246"/>
      <c r="AR25" s="246"/>
      <c r="AS25" s="682"/>
      <c r="AT25" s="705"/>
    </row>
    <row r="26" spans="1:46" ht="42" customHeight="1" x14ac:dyDescent="0.45">
      <c r="A26" s="1352"/>
      <c r="B26" s="692">
        <v>2</v>
      </c>
      <c r="C26" s="693"/>
      <c r="D26" s="694"/>
      <c r="E26" s="694"/>
      <c r="F26" s="695"/>
      <c r="G26" s="680"/>
      <c r="H26" s="682"/>
      <c r="I26" s="697"/>
      <c r="J26" s="705"/>
      <c r="K26" s="287"/>
      <c r="L26" s="699">
        <v>43</v>
      </c>
      <c r="M26" s="246"/>
      <c r="N26" s="246"/>
      <c r="O26" s="695"/>
      <c r="P26" s="680" t="s">
        <v>1086</v>
      </c>
      <c r="Q26" s="682"/>
      <c r="R26" s="707"/>
      <c r="S26" s="705"/>
      <c r="T26" s="287"/>
      <c r="U26" s="699"/>
      <c r="V26" s="694"/>
      <c r="W26" s="246"/>
      <c r="X26" s="695"/>
      <c r="Y26" s="697"/>
      <c r="Z26" s="682"/>
      <c r="AA26" s="701"/>
      <c r="AB26" s="705"/>
      <c r="AC26" s="287"/>
      <c r="AD26" s="699"/>
      <c r="AE26" s="694"/>
      <c r="AF26" s="246"/>
      <c r="AG26" s="695"/>
      <c r="AH26" s="697"/>
      <c r="AI26" s="682"/>
      <c r="AJ26" s="682"/>
      <c r="AK26" s="705"/>
      <c r="AL26" s="255"/>
      <c r="AM26" s="699"/>
      <c r="AN26" s="694"/>
      <c r="AO26" s="246"/>
      <c r="AP26" s="695"/>
      <c r="AQ26" s="680"/>
      <c r="AR26" s="682"/>
      <c r="AS26" s="682"/>
      <c r="AT26" s="705"/>
    </row>
    <row r="27" spans="1:46" ht="49.95" customHeight="1" x14ac:dyDescent="0.45">
      <c r="A27" s="1351">
        <v>45760</v>
      </c>
      <c r="B27" s="717">
        <v>1</v>
      </c>
      <c r="C27" s="693"/>
      <c r="D27" s="694"/>
      <c r="E27" s="694"/>
      <c r="F27" s="695"/>
      <c r="G27" s="680"/>
      <c r="H27" s="681"/>
      <c r="I27" s="711"/>
      <c r="J27" s="705"/>
      <c r="K27" s="287"/>
      <c r="L27" s="699"/>
      <c r="M27" s="246"/>
      <c r="N27" s="246"/>
      <c r="O27" s="695"/>
      <c r="P27" s="680"/>
      <c r="Q27" s="681"/>
      <c r="R27" s="682"/>
      <c r="S27" s="705"/>
      <c r="T27" s="287"/>
      <c r="U27" s="699"/>
      <c r="V27" s="246"/>
      <c r="W27" s="246"/>
      <c r="X27" s="695"/>
      <c r="Y27" s="680"/>
      <c r="Z27" s="682"/>
      <c r="AA27" s="715"/>
      <c r="AB27" s="705"/>
      <c r="AC27" s="287"/>
      <c r="AD27" s="699"/>
      <c r="AE27" s="246"/>
      <c r="AF27" s="246"/>
      <c r="AG27" s="695"/>
      <c r="AH27" s="680"/>
      <c r="AI27" s="245"/>
      <c r="AJ27" s="682"/>
      <c r="AK27" s="705"/>
      <c r="AL27" s="255"/>
      <c r="AM27" s="699"/>
      <c r="AN27" s="246"/>
      <c r="AO27" s="246"/>
      <c r="AP27" s="695"/>
      <c r="AQ27" s="245"/>
      <c r="AR27" s="246"/>
      <c r="AS27" s="682"/>
      <c r="AT27" s="705"/>
    </row>
    <row r="28" spans="1:46" ht="72" customHeight="1" x14ac:dyDescent="0.45">
      <c r="A28" s="1352"/>
      <c r="B28" s="692">
        <v>2</v>
      </c>
      <c r="C28" s="693"/>
      <c r="D28" s="694"/>
      <c r="E28" s="694"/>
      <c r="F28" s="695"/>
      <c r="G28" s="682"/>
      <c r="H28" s="682"/>
      <c r="I28" s="707"/>
      <c r="J28" s="705"/>
      <c r="K28" s="287"/>
      <c r="L28" s="699"/>
      <c r="M28" s="246">
        <v>97</v>
      </c>
      <c r="N28" s="246"/>
      <c r="O28" s="695"/>
      <c r="P28" s="682"/>
      <c r="Q28" s="682" t="s">
        <v>664</v>
      </c>
      <c r="R28" s="682"/>
      <c r="S28" s="705"/>
      <c r="T28" s="287"/>
      <c r="U28" s="699"/>
      <c r="V28" s="246"/>
      <c r="W28" s="287">
        <v>10</v>
      </c>
      <c r="X28" s="695"/>
      <c r="Y28" s="682"/>
      <c r="Z28" s="246"/>
      <c r="AA28" s="701" t="s">
        <v>1085</v>
      </c>
      <c r="AB28" s="705"/>
      <c r="AC28" s="287"/>
      <c r="AD28" s="699"/>
      <c r="AE28" s="246"/>
      <c r="AF28" s="246"/>
      <c r="AG28" s="695"/>
      <c r="AH28" s="680"/>
      <c r="AI28" s="245"/>
      <c r="AJ28" s="701"/>
      <c r="AK28" s="705"/>
      <c r="AL28" s="255"/>
      <c r="AM28" s="699"/>
      <c r="AN28" s="246"/>
      <c r="AO28" s="246"/>
      <c r="AP28" s="695"/>
      <c r="AQ28" s="245"/>
      <c r="AR28" s="246"/>
      <c r="AS28" s="682"/>
      <c r="AT28" s="705"/>
    </row>
    <row r="29" spans="1:46" ht="66" customHeight="1" x14ac:dyDescent="0.45">
      <c r="A29" s="1351">
        <v>45761</v>
      </c>
      <c r="B29" s="692">
        <v>1</v>
      </c>
      <c r="C29" s="693"/>
      <c r="D29" s="694"/>
      <c r="E29" s="694"/>
      <c r="F29" s="695"/>
      <c r="G29" s="682"/>
      <c r="H29" s="681"/>
      <c r="I29" s="707"/>
      <c r="J29" s="705"/>
      <c r="K29" s="287"/>
      <c r="L29" s="699"/>
      <c r="M29" s="246"/>
      <c r="N29" s="246"/>
      <c r="O29" s="695"/>
      <c r="P29" s="680"/>
      <c r="Q29" s="682"/>
      <c r="R29" s="682"/>
      <c r="S29" s="705"/>
      <c r="T29" s="287"/>
      <c r="U29" s="699"/>
      <c r="V29" s="246"/>
      <c r="W29" s="246"/>
      <c r="X29" s="695"/>
      <c r="Y29" s="682"/>
      <c r="Z29" s="681"/>
      <c r="AA29" s="701"/>
      <c r="AB29" s="705"/>
      <c r="AC29" s="287"/>
      <c r="AD29" s="699"/>
      <c r="AE29" s="246"/>
      <c r="AF29" s="246"/>
      <c r="AG29" s="695"/>
      <c r="AH29" s="680"/>
      <c r="AI29" s="681"/>
      <c r="AJ29" s="246"/>
      <c r="AK29" s="705"/>
      <c r="AL29" s="255"/>
      <c r="AM29" s="699"/>
      <c r="AN29" s="246"/>
      <c r="AO29" s="246"/>
      <c r="AP29" s="246"/>
      <c r="AQ29" s="245"/>
      <c r="AR29" s="681"/>
      <c r="AS29" s="302"/>
      <c r="AT29" s="705"/>
    </row>
    <row r="30" spans="1:46" ht="39.65" customHeight="1" x14ac:dyDescent="0.45">
      <c r="A30" s="1352"/>
      <c r="B30" s="717">
        <v>2</v>
      </c>
      <c r="C30" s="693"/>
      <c r="D30" s="694"/>
      <c r="E30" s="694"/>
      <c r="F30" s="695"/>
      <c r="G30" s="682"/>
      <c r="H30" s="681"/>
      <c r="I30" s="701"/>
      <c r="J30" s="705"/>
      <c r="K30" s="287"/>
      <c r="L30" s="699"/>
      <c r="M30" s="246"/>
      <c r="N30" s="246"/>
      <c r="O30" s="695"/>
      <c r="P30" s="680"/>
      <c r="Q30" s="682"/>
      <c r="R30" s="682"/>
      <c r="S30" s="705"/>
      <c r="T30" s="287"/>
      <c r="U30" s="699"/>
      <c r="V30" s="246"/>
      <c r="W30" s="246">
        <v>18</v>
      </c>
      <c r="X30" s="695"/>
      <c r="Y30" s="682"/>
      <c r="Z30" s="798"/>
      <c r="AA30" s="801" t="s">
        <v>27</v>
      </c>
      <c r="AB30" s="705"/>
      <c r="AC30" s="287"/>
      <c r="AD30" s="699">
        <v>58</v>
      </c>
      <c r="AE30" s="246"/>
      <c r="AF30" s="246"/>
      <c r="AG30" s="695"/>
      <c r="AH30" s="680" t="s">
        <v>1084</v>
      </c>
      <c r="AI30" s="682"/>
      <c r="AJ30" s="246"/>
      <c r="AK30" s="705"/>
      <c r="AL30" s="255"/>
      <c r="AM30" s="699">
        <v>210</v>
      </c>
      <c r="AN30" s="246"/>
      <c r="AO30" s="246"/>
      <c r="AP30" s="246"/>
      <c r="AQ30" s="296" t="s">
        <v>513</v>
      </c>
      <c r="AR30" s="681"/>
      <c r="AS30" s="302"/>
      <c r="AT30" s="704"/>
    </row>
    <row r="31" spans="1:46" ht="39.65" customHeight="1" x14ac:dyDescent="0.45">
      <c r="A31" s="1351">
        <v>45762</v>
      </c>
      <c r="B31" s="692">
        <v>1</v>
      </c>
      <c r="C31" s="693"/>
      <c r="D31" s="694"/>
      <c r="E31" s="694"/>
      <c r="F31" s="695"/>
      <c r="G31" s="680"/>
      <c r="H31" s="794"/>
      <c r="I31" s="793"/>
      <c r="J31" s="705"/>
      <c r="K31" s="287"/>
      <c r="L31" s="699"/>
      <c r="M31" s="246"/>
      <c r="N31" s="246"/>
      <c r="O31" s="695"/>
      <c r="P31" s="251"/>
      <c r="Q31" s="246"/>
      <c r="R31" s="246"/>
      <c r="S31" s="705"/>
      <c r="T31" s="287"/>
      <c r="U31" s="699"/>
      <c r="V31" s="246"/>
      <c r="W31" s="246">
        <v>19</v>
      </c>
      <c r="X31" s="695"/>
      <c r="Y31" s="301"/>
      <c r="Z31" s="800"/>
      <c r="AA31" s="801" t="s">
        <v>27</v>
      </c>
      <c r="AB31" s="797"/>
      <c r="AC31" s="287"/>
      <c r="AD31" s="699"/>
      <c r="AE31" s="246"/>
      <c r="AF31" s="246"/>
      <c r="AG31" s="695"/>
      <c r="AH31" s="680"/>
      <c r="AI31" s="246"/>
      <c r="AJ31" s="246"/>
      <c r="AK31" s="705"/>
      <c r="AL31" s="255"/>
      <c r="AM31" s="699"/>
      <c r="AN31" s="246"/>
      <c r="AO31" s="246"/>
      <c r="AP31" s="246"/>
      <c r="AQ31" s="251"/>
      <c r="AR31" s="681"/>
      <c r="AS31" s="246"/>
      <c r="AT31" s="704"/>
    </row>
    <row r="32" spans="1:46" ht="63" customHeight="1" x14ac:dyDescent="0.45">
      <c r="A32" s="1352"/>
      <c r="B32" s="692">
        <v>2</v>
      </c>
      <c r="C32" s="792"/>
      <c r="D32" s="787"/>
      <c r="E32" s="761"/>
      <c r="F32" s="787"/>
      <c r="G32" s="680"/>
      <c r="H32" s="794"/>
      <c r="I32" s="793"/>
      <c r="J32" s="705"/>
      <c r="K32" s="287"/>
      <c r="L32" s="699"/>
      <c r="M32" s="246"/>
      <c r="N32" s="246"/>
      <c r="O32" s="246"/>
      <c r="P32" s="251"/>
      <c r="Q32" s="794"/>
      <c r="R32" s="251"/>
      <c r="S32" s="705"/>
      <c r="T32" s="287"/>
      <c r="U32" s="699"/>
      <c r="V32" s="246"/>
      <c r="W32" s="694">
        <v>21</v>
      </c>
      <c r="X32" s="246"/>
      <c r="Y32" s="716"/>
      <c r="Z32" s="804"/>
      <c r="AA32" s="803" t="s">
        <v>1083</v>
      </c>
      <c r="AB32" s="797"/>
      <c r="AC32" s="287"/>
      <c r="AD32" s="699"/>
      <c r="AE32" s="246"/>
      <c r="AF32" s="694"/>
      <c r="AG32" s="246"/>
      <c r="AH32" s="680"/>
      <c r="AI32" s="794"/>
      <c r="AJ32" s="793"/>
      <c r="AK32" s="705"/>
      <c r="AL32" s="255"/>
      <c r="AM32" s="699"/>
      <c r="AN32" s="246"/>
      <c r="AO32" s="246"/>
      <c r="AP32" s="246"/>
      <c r="AQ32" s="251"/>
      <c r="AR32" s="681"/>
      <c r="AS32" s="711"/>
      <c r="AT32" s="704"/>
    </row>
    <row r="33" spans="1:46" ht="43.2" customHeight="1" x14ac:dyDescent="0.45">
      <c r="A33" s="1351">
        <v>45763</v>
      </c>
      <c r="B33" s="692">
        <v>1</v>
      </c>
      <c r="C33" s="693"/>
      <c r="D33" s="694"/>
      <c r="E33" s="694"/>
      <c r="F33" s="695"/>
      <c r="G33" s="680"/>
      <c r="H33" s="794"/>
      <c r="I33" s="793"/>
      <c r="J33" s="705"/>
      <c r="K33" s="287"/>
      <c r="L33" s="699"/>
      <c r="M33" s="246"/>
      <c r="N33" s="246"/>
      <c r="O33" s="695"/>
      <c r="P33" s="251"/>
      <c r="Q33" s="246"/>
      <c r="R33" s="246"/>
      <c r="S33" s="705"/>
      <c r="T33" s="287"/>
      <c r="U33" s="699"/>
      <c r="V33" s="246"/>
      <c r="W33" s="246"/>
      <c r="X33" s="695"/>
      <c r="Y33" s="251"/>
      <c r="Z33" s="226"/>
      <c r="AA33" s="803"/>
      <c r="AB33" s="705"/>
      <c r="AC33" s="287"/>
      <c r="AD33" s="699"/>
      <c r="AE33" s="246"/>
      <c r="AF33" s="246"/>
      <c r="AG33" s="695"/>
      <c r="AH33" s="251"/>
      <c r="AI33" s="805"/>
      <c r="AJ33" s="793"/>
      <c r="AK33" s="705"/>
      <c r="AL33" s="255"/>
      <c r="AM33" s="699"/>
      <c r="AN33" s="246"/>
      <c r="AO33" s="246"/>
      <c r="AP33" s="246"/>
      <c r="AQ33" s="251"/>
      <c r="AR33" s="805"/>
      <c r="AS33" s="251"/>
      <c r="AT33" s="705"/>
    </row>
    <row r="34" spans="1:46" ht="67.95" customHeight="1" x14ac:dyDescent="0.45">
      <c r="A34" s="1352"/>
      <c r="B34" s="717">
        <v>2</v>
      </c>
      <c r="C34" s="694"/>
      <c r="D34" s="694"/>
      <c r="E34" s="694"/>
      <c r="F34" s="695"/>
      <c r="G34" s="696"/>
      <c r="H34" s="682"/>
      <c r="I34" s="701"/>
      <c r="J34" s="705"/>
      <c r="K34" s="287"/>
      <c r="L34" s="699"/>
      <c r="M34" s="246"/>
      <c r="N34" s="246"/>
      <c r="O34" s="695"/>
      <c r="P34" s="251"/>
      <c r="Q34" s="682"/>
      <c r="R34" s="246"/>
      <c r="S34" s="705"/>
      <c r="T34" s="287"/>
      <c r="U34" s="699"/>
      <c r="V34" s="246"/>
      <c r="W34" s="246"/>
      <c r="X34" s="695"/>
      <c r="Y34" s="245"/>
      <c r="Z34" s="245"/>
      <c r="AA34" s="803"/>
      <c r="AB34" s="705"/>
      <c r="AC34" s="287"/>
      <c r="AD34" s="699"/>
      <c r="AE34" s="246"/>
      <c r="AF34" s="246"/>
      <c r="AG34" s="695"/>
      <c r="AH34" s="251"/>
      <c r="AI34" s="246"/>
      <c r="AJ34" s="245"/>
      <c r="AK34" s="705"/>
      <c r="AL34" s="255"/>
      <c r="AM34" s="699"/>
      <c r="AN34" s="246"/>
      <c r="AO34" s="246"/>
      <c r="AP34" s="246"/>
      <c r="AQ34" s="251"/>
      <c r="AR34" s="805"/>
      <c r="AS34" s="682"/>
      <c r="AT34" s="705"/>
    </row>
    <row r="35" spans="1:46" ht="51" customHeight="1" x14ac:dyDescent="0.45">
      <c r="A35" s="1351">
        <v>45764</v>
      </c>
      <c r="B35" s="692">
        <v>1</v>
      </c>
      <c r="C35" s="694"/>
      <c r="D35" s="694"/>
      <c r="E35" s="302"/>
      <c r="F35" s="695"/>
      <c r="G35" s="719"/>
      <c r="H35" s="251"/>
      <c r="I35" s="701"/>
      <c r="J35" s="705"/>
      <c r="K35" s="287"/>
      <c r="L35" s="699"/>
      <c r="M35" s="246"/>
      <c r="N35" s="246"/>
      <c r="O35" s="695"/>
      <c r="P35" s="719"/>
      <c r="Q35" s="682"/>
      <c r="R35" s="682"/>
      <c r="S35" s="705"/>
      <c r="T35" s="287"/>
      <c r="U35" s="699"/>
      <c r="V35" s="246"/>
      <c r="W35" s="302"/>
      <c r="X35" s="695"/>
      <c r="Y35" s="719"/>
      <c r="Z35" s="245"/>
      <c r="AA35" s="701"/>
      <c r="AB35" s="705"/>
      <c r="AC35" s="287"/>
      <c r="AD35" s="699"/>
      <c r="AE35" s="246"/>
      <c r="AF35" s="246"/>
      <c r="AG35" s="695"/>
      <c r="AH35" s="719"/>
      <c r="AI35" s="806"/>
      <c r="AJ35" s="711"/>
      <c r="AK35" s="705"/>
      <c r="AL35" s="255"/>
      <c r="AM35" s="699"/>
      <c r="AN35" s="246"/>
      <c r="AO35" s="246"/>
      <c r="AP35" s="246"/>
      <c r="AQ35" s="251"/>
      <c r="AR35" s="805"/>
      <c r="AS35" s="301"/>
      <c r="AT35" s="705"/>
    </row>
    <row r="36" spans="1:46" ht="46.95" customHeight="1" x14ac:dyDescent="0.45">
      <c r="A36" s="1352"/>
      <c r="B36" s="692">
        <v>2</v>
      </c>
      <c r="C36" s="302"/>
      <c r="D36" s="246"/>
      <c r="E36" s="302">
        <v>10</v>
      </c>
      <c r="F36" s="695"/>
      <c r="G36" s="707"/>
      <c r="H36" s="682"/>
      <c r="I36" s="707" t="s">
        <v>27</v>
      </c>
      <c r="J36" s="705"/>
      <c r="K36" s="287"/>
      <c r="L36" s="719"/>
      <c r="M36" s="246"/>
      <c r="N36" s="246"/>
      <c r="O36" s="695"/>
      <c r="P36" s="719"/>
      <c r="Q36" s="682"/>
      <c r="R36" s="245"/>
      <c r="S36" s="705"/>
      <c r="T36" s="287"/>
      <c r="U36" s="699"/>
      <c r="V36" s="246"/>
      <c r="W36" s="246"/>
      <c r="X36" s="695"/>
      <c r="Y36" s="719"/>
      <c r="Z36" s="682"/>
      <c r="AA36" s="701"/>
      <c r="AB36" s="705"/>
      <c r="AC36" s="287"/>
      <c r="AD36" s="699"/>
      <c r="AE36" s="246"/>
      <c r="AF36" s="302"/>
      <c r="AG36" s="695"/>
      <c r="AH36" s="719"/>
      <c r="AI36" s="805"/>
      <c r="AJ36" s="793"/>
      <c r="AK36" s="705"/>
      <c r="AL36" s="255"/>
      <c r="AM36" s="699"/>
      <c r="AN36" s="246"/>
      <c r="AO36" s="246"/>
      <c r="AP36" s="246"/>
      <c r="AQ36" s="251"/>
      <c r="AR36" s="805"/>
      <c r="AS36" s="296"/>
      <c r="AT36" s="705"/>
    </row>
    <row r="37" spans="1:46" ht="59.5" customHeight="1" x14ac:dyDescent="0.45">
      <c r="A37" s="1351">
        <v>45765</v>
      </c>
      <c r="B37" s="717">
        <v>1</v>
      </c>
      <c r="C37" s="302"/>
      <c r="D37" s="694"/>
      <c r="E37" s="302"/>
      <c r="F37" s="695"/>
      <c r="G37" s="707"/>
      <c r="H37" s="296"/>
      <c r="I37" s="697"/>
      <c r="J37" s="705"/>
      <c r="K37" s="287"/>
      <c r="L37" s="699"/>
      <c r="M37" s="246"/>
      <c r="N37" s="246"/>
      <c r="O37" s="695"/>
      <c r="P37" s="251"/>
      <c r="Q37" s="682"/>
      <c r="R37" s="246"/>
      <c r="S37" s="705"/>
      <c r="T37" s="287"/>
      <c r="U37" s="699"/>
      <c r="V37" s="246"/>
      <c r="W37" s="246">
        <v>19</v>
      </c>
      <c r="X37" s="695"/>
      <c r="Y37" s="251"/>
      <c r="Z37" s="245"/>
      <c r="AA37" s="701" t="s">
        <v>27</v>
      </c>
      <c r="AB37" s="705"/>
      <c r="AC37" s="287"/>
      <c r="AD37" s="699"/>
      <c r="AE37" s="246"/>
      <c r="AF37" s="246"/>
      <c r="AG37" s="695"/>
      <c r="AH37" s="296"/>
      <c r="AI37" s="246"/>
      <c r="AJ37" s="701"/>
      <c r="AK37" s="705"/>
      <c r="AL37" s="255"/>
      <c r="AM37" s="699"/>
      <c r="AN37" s="246"/>
      <c r="AO37" s="246"/>
      <c r="AP37" s="246"/>
      <c r="AQ37" s="251"/>
      <c r="AR37" s="805"/>
      <c r="AS37" s="251"/>
      <c r="AT37" s="705"/>
    </row>
    <row r="38" spans="1:46" ht="55.95" customHeight="1" x14ac:dyDescent="0.45">
      <c r="A38" s="1352"/>
      <c r="B38" s="692">
        <v>2</v>
      </c>
      <c r="C38" s="302">
        <v>284</v>
      </c>
      <c r="D38" s="694"/>
      <c r="E38" s="302"/>
      <c r="F38" s="695"/>
      <c r="G38" s="707" t="s">
        <v>1077</v>
      </c>
      <c r="H38" s="296"/>
      <c r="I38" s="697"/>
      <c r="J38" s="705"/>
      <c r="K38" s="287"/>
      <c r="L38" s="699"/>
      <c r="M38" s="246"/>
      <c r="N38" s="246"/>
      <c r="O38" s="695">
        <v>13</v>
      </c>
      <c r="P38" s="296"/>
      <c r="Q38" s="296"/>
      <c r="R38" s="246"/>
      <c r="S38" s="705" t="s">
        <v>317</v>
      </c>
      <c r="T38" s="287"/>
      <c r="U38" s="699">
        <v>245</v>
      </c>
      <c r="V38" s="246"/>
      <c r="W38" s="246"/>
      <c r="X38" s="695"/>
      <c r="Y38" s="296" t="s">
        <v>1077</v>
      </c>
      <c r="Z38" s="245"/>
      <c r="AA38" s="701"/>
      <c r="AB38" s="705"/>
      <c r="AC38" s="287"/>
      <c r="AD38" s="699"/>
      <c r="AE38" s="246"/>
      <c r="AF38" s="246"/>
      <c r="AG38" s="695"/>
      <c r="AH38" s="296"/>
      <c r="AI38" s="246"/>
      <c r="AJ38" s="701"/>
      <c r="AK38" s="705"/>
      <c r="AL38" s="255"/>
      <c r="AM38" s="699"/>
      <c r="AN38" s="246"/>
      <c r="AO38" s="246"/>
      <c r="AP38" s="246"/>
      <c r="AQ38" s="251"/>
      <c r="AR38" s="805"/>
      <c r="AS38" s="296"/>
      <c r="AT38" s="705"/>
    </row>
    <row r="39" spans="1:46" ht="70.95" customHeight="1" x14ac:dyDescent="0.45">
      <c r="A39" s="1351">
        <v>45766</v>
      </c>
      <c r="B39" s="692">
        <v>1</v>
      </c>
      <c r="C39" s="302"/>
      <c r="D39" s="694"/>
      <c r="E39" s="694"/>
      <c r="F39" s="695"/>
      <c r="G39" s="707"/>
      <c r="H39" s="296"/>
      <c r="I39" s="697"/>
      <c r="J39" s="705"/>
      <c r="K39" s="287"/>
      <c r="L39" s="699"/>
      <c r="M39" s="246"/>
      <c r="N39" s="246"/>
      <c r="O39" s="695"/>
      <c r="P39" s="707"/>
      <c r="Q39" s="682"/>
      <c r="R39" s="246"/>
      <c r="S39" s="705"/>
      <c r="T39" s="287"/>
      <c r="U39" s="699"/>
      <c r="V39" s="246"/>
      <c r="W39" s="246">
        <v>10</v>
      </c>
      <c r="X39" s="695"/>
      <c r="Y39" s="251"/>
      <c r="Z39" s="682"/>
      <c r="AA39" s="701" t="s">
        <v>27</v>
      </c>
      <c r="AB39" s="705"/>
      <c r="AC39" s="287"/>
      <c r="AD39" s="699"/>
      <c r="AE39" s="246"/>
      <c r="AF39" s="246"/>
      <c r="AG39" s="695"/>
      <c r="AH39" s="707"/>
      <c r="AI39" s="681"/>
      <c r="AJ39" s="701"/>
      <c r="AK39" s="705"/>
      <c r="AL39" s="255"/>
      <c r="AM39" s="699"/>
      <c r="AN39" s="246"/>
      <c r="AO39" s="246"/>
      <c r="AP39" s="246">
        <v>25</v>
      </c>
      <c r="AQ39" s="251"/>
      <c r="AR39" s="805"/>
      <c r="AS39" s="793"/>
      <c r="AT39" s="705" t="s">
        <v>331</v>
      </c>
    </row>
    <row r="40" spans="1:46" ht="72.650000000000006" customHeight="1" x14ac:dyDescent="0.45">
      <c r="A40" s="1352"/>
      <c r="B40" s="692">
        <v>2</v>
      </c>
      <c r="C40" s="694"/>
      <c r="D40" s="694"/>
      <c r="E40" s="694"/>
      <c r="F40" s="695"/>
      <c r="G40" s="707"/>
      <c r="H40" s="296"/>
      <c r="I40" s="697"/>
      <c r="J40" s="705"/>
      <c r="K40" s="287"/>
      <c r="L40" s="699"/>
      <c r="M40" s="246">
        <v>39</v>
      </c>
      <c r="N40" s="246"/>
      <c r="O40" s="695"/>
      <c r="P40" s="680"/>
      <c r="Q40" s="681" t="s">
        <v>1087</v>
      </c>
      <c r="R40" s="707"/>
      <c r="S40" s="705"/>
      <c r="T40" s="287"/>
      <c r="U40" s="699"/>
      <c r="V40" s="246"/>
      <c r="W40" s="246"/>
      <c r="X40" s="695"/>
      <c r="Y40" s="296"/>
      <c r="Z40" s="246"/>
      <c r="AA40" s="701"/>
      <c r="AB40" s="705"/>
      <c r="AC40" s="287"/>
      <c r="AD40" s="699"/>
      <c r="AE40" s="246"/>
      <c r="AF40" s="246"/>
      <c r="AG40" s="695"/>
      <c r="AH40" s="719"/>
      <c r="AI40" s="682"/>
      <c r="AJ40" s="701"/>
      <c r="AK40" s="705"/>
      <c r="AL40" s="255"/>
      <c r="AM40" s="719"/>
      <c r="AN40" s="246"/>
      <c r="AO40" s="246"/>
      <c r="AP40" s="246"/>
      <c r="AQ40" s="251"/>
      <c r="AR40" s="805"/>
      <c r="AS40" s="707"/>
      <c r="AT40" s="705"/>
    </row>
    <row r="41" spans="1:46" ht="39.65" customHeight="1" x14ac:dyDescent="0.45">
      <c r="A41" s="1351">
        <v>45767</v>
      </c>
      <c r="B41" s="692">
        <v>1</v>
      </c>
      <c r="C41" s="693"/>
      <c r="D41" s="694"/>
      <c r="E41" s="694"/>
      <c r="F41" s="695"/>
      <c r="G41" s="680"/>
      <c r="H41" s="682"/>
      <c r="I41" s="697"/>
      <c r="J41" s="705"/>
      <c r="K41" s="287"/>
      <c r="L41" s="699"/>
      <c r="M41" s="246"/>
      <c r="N41" s="246"/>
      <c r="O41" s="695"/>
      <c r="P41" s="251"/>
      <c r="Q41" s="246"/>
      <c r="R41" s="707"/>
      <c r="S41" s="705"/>
      <c r="T41" s="287"/>
      <c r="U41" s="699"/>
      <c r="V41" s="246"/>
      <c r="W41" s="246">
        <v>25</v>
      </c>
      <c r="X41" s="695"/>
      <c r="Y41" s="251"/>
      <c r="Z41" s="245"/>
      <c r="AA41" s="701" t="s">
        <v>27</v>
      </c>
      <c r="AB41" s="705"/>
      <c r="AC41" s="287"/>
      <c r="AD41" s="699"/>
      <c r="AE41" s="246"/>
      <c r="AF41" s="246"/>
      <c r="AG41" s="695"/>
      <c r="AH41" s="719"/>
      <c r="AI41" s="245"/>
      <c r="AJ41" s="246"/>
      <c r="AK41" s="705"/>
      <c r="AL41" s="255"/>
      <c r="AM41" s="699"/>
      <c r="AN41" s="246"/>
      <c r="AO41" s="246"/>
      <c r="AP41" s="246"/>
      <c r="AQ41" s="251"/>
      <c r="AR41" s="805"/>
      <c r="AS41" s="707"/>
      <c r="AT41" s="705"/>
    </row>
    <row r="42" spans="1:46" ht="52.95" customHeight="1" x14ac:dyDescent="0.45">
      <c r="A42" s="1352"/>
      <c r="B42" s="692">
        <v>2</v>
      </c>
      <c r="C42" s="694"/>
      <c r="D42" s="694"/>
      <c r="E42" s="694"/>
      <c r="F42" s="695"/>
      <c r="G42" s="680"/>
      <c r="H42" s="682"/>
      <c r="I42" s="707"/>
      <c r="J42" s="705"/>
      <c r="K42" s="287"/>
      <c r="L42" s="699"/>
      <c r="M42" s="246"/>
      <c r="N42" s="246"/>
      <c r="O42" s="695"/>
      <c r="P42" s="251"/>
      <c r="Q42" s="245"/>
      <c r="R42" s="246"/>
      <c r="S42" s="705"/>
      <c r="T42" s="287"/>
      <c r="U42" s="699"/>
      <c r="V42" s="246"/>
      <c r="W42" s="246"/>
      <c r="X42" s="695"/>
      <c r="Y42" s="296"/>
      <c r="Z42" s="246"/>
      <c r="AA42" s="701"/>
      <c r="AB42" s="705"/>
      <c r="AC42" s="287"/>
      <c r="AD42" s="699"/>
      <c r="AE42" s="246"/>
      <c r="AF42" s="246"/>
      <c r="AG42" s="695"/>
      <c r="AH42" s="251"/>
      <c r="AI42" s="245"/>
      <c r="AJ42" s="246"/>
      <c r="AK42" s="705"/>
      <c r="AL42" s="255"/>
      <c r="AM42" s="699"/>
      <c r="AN42" s="246"/>
      <c r="AO42" s="246"/>
      <c r="AP42" s="246"/>
      <c r="AQ42" s="251"/>
      <c r="AR42" s="805"/>
      <c r="AS42" s="246"/>
      <c r="AT42" s="705"/>
    </row>
    <row r="43" spans="1:46" ht="65.5" customHeight="1" x14ac:dyDescent="0.45">
      <c r="A43" s="1351">
        <v>45768</v>
      </c>
      <c r="B43" s="692">
        <v>1</v>
      </c>
      <c r="C43" s="694"/>
      <c r="D43" s="694"/>
      <c r="E43" s="694"/>
      <c r="F43" s="695"/>
      <c r="G43" s="681"/>
      <c r="H43" s="681"/>
      <c r="I43" s="707"/>
      <c r="J43" s="705"/>
      <c r="K43" s="287"/>
      <c r="L43" s="699"/>
      <c r="M43" s="246"/>
      <c r="N43" s="246"/>
      <c r="O43" s="695"/>
      <c r="P43" s="251"/>
      <c r="Q43" s="246"/>
      <c r="R43" s="246"/>
      <c r="S43" s="705"/>
      <c r="T43" s="287"/>
      <c r="U43" s="699"/>
      <c r="V43" s="246"/>
      <c r="W43" s="246"/>
      <c r="X43" s="695"/>
      <c r="Y43" s="251"/>
      <c r="Z43" s="246"/>
      <c r="AA43" s="701"/>
      <c r="AB43" s="705"/>
      <c r="AC43" s="287"/>
      <c r="AD43" s="699"/>
      <c r="AE43" s="246"/>
      <c r="AF43" s="246"/>
      <c r="AG43" s="695"/>
      <c r="AH43" s="245"/>
      <c r="AI43" s="682"/>
      <c r="AJ43" s="246"/>
      <c r="AK43" s="705"/>
      <c r="AL43" s="255"/>
      <c r="AM43" s="699"/>
      <c r="AN43" s="246"/>
      <c r="AO43" s="246"/>
      <c r="AP43" s="246"/>
      <c r="AQ43" s="245"/>
      <c r="AR43" s="805"/>
      <c r="AS43" s="246"/>
      <c r="AT43" s="705"/>
    </row>
    <row r="44" spans="1:46" ht="69" customHeight="1" x14ac:dyDescent="0.45">
      <c r="A44" s="1352"/>
      <c r="B44" s="692">
        <v>2</v>
      </c>
      <c r="C44" s="694"/>
      <c r="D44" s="694"/>
      <c r="E44" s="694"/>
      <c r="F44" s="695"/>
      <c r="G44" s="681"/>
      <c r="H44" s="296"/>
      <c r="I44" s="707"/>
      <c r="J44" s="705"/>
      <c r="K44" s="287"/>
      <c r="L44" s="699"/>
      <c r="M44" s="246"/>
      <c r="N44" s="246"/>
      <c r="O44" s="689"/>
      <c r="P44" s="296"/>
      <c r="Q44" s="246"/>
      <c r="R44" s="245"/>
      <c r="S44" s="705"/>
      <c r="T44" s="287"/>
      <c r="U44" s="699"/>
      <c r="V44" s="246"/>
      <c r="W44" s="694"/>
      <c r="X44" s="695"/>
      <c r="Y44" s="681"/>
      <c r="Z44" s="682"/>
      <c r="AA44" s="701"/>
      <c r="AB44" s="705"/>
      <c r="AC44" s="287"/>
      <c r="AD44" s="699"/>
      <c r="AE44" s="246">
        <v>52</v>
      </c>
      <c r="AF44" s="246"/>
      <c r="AG44" s="689"/>
      <c r="AH44" s="251" t="s">
        <v>1088</v>
      </c>
      <c r="AI44" s="245"/>
      <c r="AJ44" s="701"/>
      <c r="AK44" s="705"/>
      <c r="AL44" s="255"/>
      <c r="AM44" s="699"/>
      <c r="AN44" s="246"/>
      <c r="AO44" s="246"/>
      <c r="AP44" s="246"/>
      <c r="AQ44" s="251"/>
      <c r="AR44" s="245"/>
      <c r="AS44" s="245"/>
      <c r="AT44" s="705"/>
    </row>
    <row r="45" spans="1:46" ht="69" customHeight="1" x14ac:dyDescent="0.45">
      <c r="A45" s="1351">
        <v>45769</v>
      </c>
      <c r="B45" s="692">
        <v>1</v>
      </c>
      <c r="C45" s="694"/>
      <c r="D45" s="694"/>
      <c r="E45" s="694"/>
      <c r="F45" s="695">
        <v>89</v>
      </c>
      <c r="G45" s="681"/>
      <c r="H45" s="681"/>
      <c r="I45" s="707"/>
      <c r="J45" s="705" t="s">
        <v>975</v>
      </c>
      <c r="K45" s="287"/>
      <c r="L45" s="699"/>
      <c r="M45" s="246"/>
      <c r="N45" s="246"/>
      <c r="O45" s="689">
        <v>94</v>
      </c>
      <c r="P45" s="251"/>
      <c r="Q45" s="245"/>
      <c r="R45" s="246"/>
      <c r="S45" s="705" t="s">
        <v>975</v>
      </c>
      <c r="T45" s="287"/>
      <c r="U45" s="699"/>
      <c r="V45" s="245"/>
      <c r="W45" s="246">
        <v>23</v>
      </c>
      <c r="X45" s="695">
        <v>85</v>
      </c>
      <c r="Y45" s="251"/>
      <c r="Z45" s="245"/>
      <c r="AA45" s="701" t="s">
        <v>1083</v>
      </c>
      <c r="AB45" s="705" t="s">
        <v>975</v>
      </c>
      <c r="AC45" s="287"/>
      <c r="AD45" s="699"/>
      <c r="AE45" s="246"/>
      <c r="AF45" s="246"/>
      <c r="AG45" s="689">
        <v>82</v>
      </c>
      <c r="AH45" s="251"/>
      <c r="AI45" s="245"/>
      <c r="AJ45" s="245"/>
      <c r="AK45" s="705" t="s">
        <v>975</v>
      </c>
      <c r="AL45" s="255"/>
      <c r="AM45" s="699"/>
      <c r="AN45" s="246"/>
      <c r="AO45" s="246"/>
      <c r="AP45" s="246">
        <v>80</v>
      </c>
      <c r="AQ45" s="251"/>
      <c r="AR45" s="245"/>
      <c r="AS45" s="246"/>
      <c r="AT45" s="705" t="s">
        <v>975</v>
      </c>
    </row>
    <row r="46" spans="1:46" ht="48.65" customHeight="1" x14ac:dyDescent="0.45">
      <c r="A46" s="1352"/>
      <c r="B46" s="692">
        <v>2</v>
      </c>
      <c r="C46" s="694"/>
      <c r="D46" s="694"/>
      <c r="E46" s="694">
        <v>13</v>
      </c>
      <c r="F46" s="695"/>
      <c r="G46" s="681"/>
      <c r="H46" s="681"/>
      <c r="I46" s="707" t="s">
        <v>27</v>
      </c>
      <c r="J46" s="705"/>
      <c r="K46" s="287"/>
      <c r="L46" s="699"/>
      <c r="M46" s="246"/>
      <c r="N46" s="246"/>
      <c r="O46" s="724"/>
      <c r="P46" s="251"/>
      <c r="Q46" s="682"/>
      <c r="R46" s="245"/>
      <c r="S46" s="705"/>
      <c r="T46" s="287"/>
      <c r="U46" s="699"/>
      <c r="V46" s="246"/>
      <c r="W46" s="246"/>
      <c r="X46" s="689"/>
      <c r="Y46" s="246"/>
      <c r="Z46" s="246"/>
      <c r="AA46" s="245"/>
      <c r="AB46" s="705"/>
      <c r="AC46" s="287"/>
      <c r="AD46" s="699"/>
      <c r="AE46" s="246"/>
      <c r="AF46" s="246"/>
      <c r="AG46" s="689"/>
      <c r="AH46" s="296"/>
      <c r="AI46" s="245"/>
      <c r="AJ46" s="701"/>
      <c r="AK46" s="705"/>
      <c r="AL46" s="255"/>
      <c r="AM46" s="699"/>
      <c r="AN46" s="246"/>
      <c r="AO46" s="246"/>
      <c r="AP46" s="246"/>
      <c r="AQ46" s="251"/>
      <c r="AR46" s="682"/>
      <c r="AS46" s="245"/>
      <c r="AT46" s="705"/>
    </row>
    <row r="47" spans="1:46" ht="58.95" customHeight="1" x14ac:dyDescent="0.45">
      <c r="A47" s="1351">
        <v>45770</v>
      </c>
      <c r="B47" s="692">
        <v>1</v>
      </c>
      <c r="C47" s="694"/>
      <c r="D47" s="694"/>
      <c r="E47" s="694">
        <v>10</v>
      </c>
      <c r="F47" s="695"/>
      <c r="G47" s="681"/>
      <c r="H47" s="682"/>
      <c r="I47" s="707" t="s">
        <v>27</v>
      </c>
      <c r="J47" s="698"/>
      <c r="K47" s="287"/>
      <c r="L47" s="699"/>
      <c r="M47" s="246"/>
      <c r="N47" s="246"/>
      <c r="O47" s="689">
        <v>14</v>
      </c>
      <c r="P47" s="251"/>
      <c r="Q47" s="246"/>
      <c r="R47" s="246"/>
      <c r="S47" s="705" t="s">
        <v>1089</v>
      </c>
      <c r="T47" s="287"/>
      <c r="U47" s="699"/>
      <c r="V47" s="246"/>
      <c r="W47" s="246"/>
      <c r="X47" s="689"/>
      <c r="Y47" s="681"/>
      <c r="Z47" s="245"/>
      <c r="AA47" s="245"/>
      <c r="AB47" s="705"/>
      <c r="AC47" s="287"/>
      <c r="AD47" s="699"/>
      <c r="AE47" s="246"/>
      <c r="AF47" s="246"/>
      <c r="AG47" s="246">
        <v>12</v>
      </c>
      <c r="AH47" s="296"/>
      <c r="AI47" s="682"/>
      <c r="AJ47" s="701"/>
      <c r="AK47" s="730" t="s">
        <v>1055</v>
      </c>
      <c r="AL47" s="255"/>
      <c r="AM47" s="699"/>
      <c r="AN47" s="246"/>
      <c r="AO47" s="246"/>
      <c r="AP47" s="246"/>
      <c r="AQ47" s="251"/>
      <c r="AR47" s="682"/>
      <c r="AS47" s="245"/>
      <c r="AT47" s="730"/>
    </row>
    <row r="48" spans="1:46" ht="34.950000000000003" customHeight="1" x14ac:dyDescent="0.45">
      <c r="A48" s="1352"/>
      <c r="B48" s="692">
        <v>2</v>
      </c>
      <c r="C48" s="694"/>
      <c r="D48" s="694"/>
      <c r="E48" s="694"/>
      <c r="F48" s="695"/>
      <c r="G48" s="682"/>
      <c r="H48" s="682"/>
      <c r="I48" s="707"/>
      <c r="J48" s="705"/>
      <c r="K48" s="287"/>
      <c r="L48" s="699"/>
      <c r="M48" s="246"/>
      <c r="N48" s="246"/>
      <c r="O48" s="695"/>
      <c r="P48" s="682"/>
      <c r="Q48" s="682"/>
      <c r="R48" s="707"/>
      <c r="S48" s="705"/>
      <c r="T48" s="287"/>
      <c r="U48" s="699"/>
      <c r="V48" s="246"/>
      <c r="W48" s="246">
        <v>22</v>
      </c>
      <c r="X48" s="695"/>
      <c r="Y48" s="682"/>
      <c r="Z48" s="682"/>
      <c r="AA48" s="707" t="s">
        <v>27</v>
      </c>
      <c r="AB48" s="705"/>
      <c r="AC48" s="287"/>
      <c r="AD48" s="699"/>
      <c r="AE48" s="246"/>
      <c r="AF48" s="246"/>
      <c r="AG48" s="246">
        <v>10</v>
      </c>
      <c r="AH48" s="296"/>
      <c r="AI48" s="682"/>
      <c r="AJ48" s="701"/>
      <c r="AK48" s="730" t="s">
        <v>1055</v>
      </c>
      <c r="AL48" s="255"/>
      <c r="AM48" s="699"/>
      <c r="AN48" s="806"/>
      <c r="AO48" s="251"/>
      <c r="AP48" s="806"/>
      <c r="AQ48" s="813"/>
      <c r="AR48" s="682"/>
      <c r="AS48" s="245"/>
      <c r="AT48" s="730"/>
    </row>
    <row r="49" spans="1:46" ht="43.2" customHeight="1" x14ac:dyDescent="0.45">
      <c r="A49" s="1351">
        <v>45771</v>
      </c>
      <c r="B49" s="692">
        <v>1</v>
      </c>
      <c r="C49" s="694"/>
      <c r="D49" s="694"/>
      <c r="E49" s="694"/>
      <c r="F49" s="695"/>
      <c r="G49" s="682"/>
      <c r="H49" s="681"/>
      <c r="I49" s="707"/>
      <c r="J49" s="705"/>
      <c r="K49" s="287"/>
      <c r="L49" s="699"/>
      <c r="M49" s="246"/>
      <c r="N49" s="246"/>
      <c r="O49" s="695"/>
      <c r="P49" s="682"/>
      <c r="Q49" s="681"/>
      <c r="R49" s="707"/>
      <c r="S49" s="705"/>
      <c r="T49" s="287"/>
      <c r="U49" s="699"/>
      <c r="V49" s="246"/>
      <c r="W49" s="246"/>
      <c r="X49" s="695"/>
      <c r="Y49" s="682"/>
      <c r="Z49" s="245"/>
      <c r="AA49" s="245"/>
      <c r="AB49" s="705"/>
      <c r="AC49" s="287"/>
      <c r="AD49" s="699"/>
      <c r="AE49" s="246"/>
      <c r="AF49" s="246"/>
      <c r="AG49" s="246"/>
      <c r="AH49" s="296"/>
      <c r="AI49" s="681"/>
      <c r="AJ49" s="701"/>
      <c r="AK49" s="730"/>
      <c r="AL49" s="255"/>
      <c r="AM49" s="699"/>
      <c r="AN49" s="806"/>
      <c r="AO49" s="251"/>
      <c r="AP49" s="806"/>
      <c r="AQ49" s="715"/>
      <c r="AR49" s="682"/>
      <c r="AS49" s="707"/>
      <c r="AT49" s="815"/>
    </row>
    <row r="50" spans="1:46" ht="51.65" customHeight="1" x14ac:dyDescent="0.45">
      <c r="A50" s="1352"/>
      <c r="B50" s="692">
        <v>2</v>
      </c>
      <c r="C50" s="694"/>
      <c r="D50" s="694"/>
      <c r="E50" s="694"/>
      <c r="F50" s="695"/>
      <c r="G50" s="681"/>
      <c r="H50" s="681"/>
      <c r="I50" s="707"/>
      <c r="J50" s="705"/>
      <c r="K50" s="287"/>
      <c r="L50" s="699"/>
      <c r="M50" s="246"/>
      <c r="N50" s="246"/>
      <c r="O50" s="695"/>
      <c r="P50" s="681"/>
      <c r="Q50" s="681"/>
      <c r="R50" s="707"/>
      <c r="S50" s="705"/>
      <c r="T50" s="287"/>
      <c r="U50" s="699"/>
      <c r="V50" s="246"/>
      <c r="W50" s="246">
        <v>28</v>
      </c>
      <c r="X50" s="695"/>
      <c r="Y50" s="681"/>
      <c r="Z50" s="681"/>
      <c r="AA50" s="707" t="s">
        <v>1092</v>
      </c>
      <c r="AB50" s="705"/>
      <c r="AC50" s="287"/>
      <c r="AD50" s="699"/>
      <c r="AE50" s="246"/>
      <c r="AF50" s="246"/>
      <c r="AG50" s="246"/>
      <c r="AH50" s="296"/>
      <c r="AI50" s="681"/>
      <c r="AJ50" s="701"/>
      <c r="AK50" s="730"/>
      <c r="AL50" s="255"/>
      <c r="AM50" s="699"/>
      <c r="AN50" s="806"/>
      <c r="AO50" s="246"/>
      <c r="AP50" s="806"/>
      <c r="AQ50" s="715"/>
      <c r="AR50" s="682"/>
      <c r="AS50" s="707"/>
      <c r="AT50" s="816"/>
    </row>
    <row r="51" spans="1:46" ht="34.950000000000003" customHeight="1" x14ac:dyDescent="0.45">
      <c r="A51" s="1351">
        <v>45772</v>
      </c>
      <c r="B51" s="692">
        <v>1</v>
      </c>
      <c r="C51" s="694"/>
      <c r="D51" s="694"/>
      <c r="E51" s="694"/>
      <c r="F51" s="695">
        <v>46</v>
      </c>
      <c r="G51" s="681"/>
      <c r="H51" s="681"/>
      <c r="I51" s="707"/>
      <c r="J51" s="705" t="s">
        <v>975</v>
      </c>
      <c r="K51" s="287"/>
      <c r="L51" s="699"/>
      <c r="M51" s="246"/>
      <c r="N51" s="246"/>
      <c r="O51" s="695">
        <v>50</v>
      </c>
      <c r="P51" s="681"/>
      <c r="Q51" s="681"/>
      <c r="R51" s="707"/>
      <c r="S51" s="705" t="s">
        <v>975</v>
      </c>
      <c r="T51" s="287"/>
      <c r="U51" s="699"/>
      <c r="V51" s="246"/>
      <c r="W51" s="246"/>
      <c r="X51" s="695">
        <v>52</v>
      </c>
      <c r="Y51" s="681"/>
      <c r="Z51" s="681"/>
      <c r="AA51" s="707"/>
      <c r="AB51" s="705" t="s">
        <v>975</v>
      </c>
      <c r="AC51" s="287"/>
      <c r="AD51" s="699"/>
      <c r="AE51" s="246"/>
      <c r="AF51" s="246"/>
      <c r="AG51" s="695">
        <v>56</v>
      </c>
      <c r="AH51" s="681"/>
      <c r="AI51" s="681"/>
      <c r="AJ51" s="707"/>
      <c r="AK51" s="705" t="s">
        <v>975</v>
      </c>
      <c r="AL51" s="255"/>
      <c r="AM51" s="699"/>
      <c r="AN51" s="806"/>
      <c r="AO51" s="306"/>
      <c r="AP51" s="806">
        <v>65</v>
      </c>
      <c r="AQ51" s="715"/>
      <c r="AR51" s="682"/>
      <c r="AS51" s="707"/>
      <c r="AT51" s="816" t="s">
        <v>975</v>
      </c>
    </row>
    <row r="52" spans="1:46" ht="49.2" customHeight="1" x14ac:dyDescent="0.45">
      <c r="A52" s="1352"/>
      <c r="B52" s="692">
        <v>2</v>
      </c>
      <c r="C52" s="694"/>
      <c r="D52" s="694"/>
      <c r="E52" s="694"/>
      <c r="F52" s="695"/>
      <c r="G52" s="682"/>
      <c r="H52" s="682"/>
      <c r="I52" s="707"/>
      <c r="J52" s="705"/>
      <c r="K52" s="287"/>
      <c r="L52" s="699"/>
      <c r="M52" s="246"/>
      <c r="N52" s="246"/>
      <c r="O52" s="695"/>
      <c r="P52" s="682"/>
      <c r="Q52" s="682"/>
      <c r="R52" s="707"/>
      <c r="S52" s="705"/>
      <c r="T52" s="287"/>
      <c r="U52" s="699"/>
      <c r="V52" s="246">
        <v>18</v>
      </c>
      <c r="W52" s="246">
        <v>10</v>
      </c>
      <c r="X52" s="695"/>
      <c r="Y52" s="682"/>
      <c r="Z52" s="682" t="s">
        <v>1090</v>
      </c>
      <c r="AA52" s="707" t="s">
        <v>1091</v>
      </c>
      <c r="AB52" s="705"/>
      <c r="AC52" s="287"/>
      <c r="AD52" s="699"/>
      <c r="AE52" s="246"/>
      <c r="AF52" s="246"/>
      <c r="AG52" s="695">
        <v>10</v>
      </c>
      <c r="AH52" s="682"/>
      <c r="AI52" s="682"/>
      <c r="AJ52" s="707"/>
      <c r="AK52" s="705" t="s">
        <v>165</v>
      </c>
      <c r="AL52" s="255"/>
      <c r="AM52" s="699"/>
      <c r="AN52" s="302"/>
      <c r="AO52" s="810"/>
      <c r="AP52" s="302"/>
      <c r="AQ52" s="251"/>
      <c r="AR52" s="682"/>
      <c r="AS52" s="707"/>
      <c r="AT52" s="802"/>
    </row>
    <row r="53" spans="1:46" ht="48" customHeight="1" x14ac:dyDescent="0.45">
      <c r="A53" s="1351">
        <v>45773</v>
      </c>
      <c r="B53" s="692">
        <v>1</v>
      </c>
      <c r="C53" s="694"/>
      <c r="D53" s="694"/>
      <c r="E53" s="694"/>
      <c r="F53" s="695"/>
      <c r="G53" s="681"/>
      <c r="H53" s="681"/>
      <c r="I53" s="697"/>
      <c r="J53" s="705"/>
      <c r="K53" s="287"/>
      <c r="L53" s="699">
        <v>106</v>
      </c>
      <c r="M53" s="246"/>
      <c r="N53" s="246"/>
      <c r="O53" s="689"/>
      <c r="P53" s="682" t="s">
        <v>1093</v>
      </c>
      <c r="Q53" s="682"/>
      <c r="R53" s="246"/>
      <c r="S53" s="705"/>
      <c r="T53" s="287"/>
      <c r="U53" s="699"/>
      <c r="V53" s="246"/>
      <c r="W53" s="246"/>
      <c r="X53" s="689"/>
      <c r="Y53" s="296"/>
      <c r="Z53" s="246"/>
      <c r="AA53" s="701"/>
      <c r="AB53" s="689"/>
      <c r="AC53" s="287"/>
      <c r="AD53" s="699"/>
      <c r="AE53" s="245"/>
      <c r="AF53" s="246"/>
      <c r="AG53" s="689"/>
      <c r="AH53" s="251"/>
      <c r="AI53" s="246"/>
      <c r="AJ53" s="245"/>
      <c r="AK53" s="689"/>
      <c r="AL53" s="255"/>
      <c r="AM53" s="699"/>
      <c r="AN53" s="708"/>
      <c r="AO53" s="812"/>
      <c r="AP53" s="708"/>
      <c r="AQ53" s="296"/>
      <c r="AR53" s="682"/>
      <c r="AS53" s="302"/>
      <c r="AT53" s="817"/>
    </row>
    <row r="54" spans="1:46" ht="45.65" customHeight="1" x14ac:dyDescent="0.45">
      <c r="A54" s="1352"/>
      <c r="B54" s="725">
        <v>2</v>
      </c>
      <c r="C54" s="694"/>
      <c r="D54" s="694"/>
      <c r="E54" s="694">
        <v>10</v>
      </c>
      <c r="F54" s="695"/>
      <c r="G54" s="681"/>
      <c r="H54" s="682"/>
      <c r="I54" s="697" t="s">
        <v>27</v>
      </c>
      <c r="J54" s="705"/>
      <c r="K54" s="287"/>
      <c r="L54" s="699">
        <v>85</v>
      </c>
      <c r="M54" s="246"/>
      <c r="N54" s="246"/>
      <c r="O54" s="695"/>
      <c r="P54" s="682" t="s">
        <v>1093</v>
      </c>
      <c r="Q54" s="682"/>
      <c r="R54" s="681"/>
      <c r="S54" s="705"/>
      <c r="T54" s="287"/>
      <c r="U54" s="699"/>
      <c r="V54" s="246"/>
      <c r="W54" s="246"/>
      <c r="X54" s="695"/>
      <c r="Y54" s="682"/>
      <c r="Z54" s="682"/>
      <c r="AA54" s="701"/>
      <c r="AB54" s="705"/>
      <c r="AC54" s="287"/>
      <c r="AD54" s="699"/>
      <c r="AE54" s="246"/>
      <c r="AF54" s="246"/>
      <c r="AG54" s="689"/>
      <c r="AH54" s="251"/>
      <c r="AI54" s="682"/>
      <c r="AJ54" s="246"/>
      <c r="AK54" s="705"/>
      <c r="AL54" s="255"/>
      <c r="AM54" s="699"/>
      <c r="AN54" s="708"/>
      <c r="AO54" s="226"/>
      <c r="AP54" s="708"/>
      <c r="AQ54" s="296"/>
      <c r="AR54" s="682"/>
      <c r="AS54" s="707"/>
      <c r="AT54" s="816"/>
    </row>
    <row r="55" spans="1:46" ht="39.65" customHeight="1" x14ac:dyDescent="0.45">
      <c r="A55" s="1351">
        <v>45774</v>
      </c>
      <c r="B55" s="692">
        <v>1</v>
      </c>
      <c r="C55" s="693"/>
      <c r="D55" s="694"/>
      <c r="E55" s="694"/>
      <c r="F55" s="695"/>
      <c r="G55" s="681"/>
      <c r="H55" s="681"/>
      <c r="I55" s="697"/>
      <c r="J55" s="689"/>
      <c r="K55" s="287"/>
      <c r="L55" s="699"/>
      <c r="M55" s="246"/>
      <c r="N55" s="246"/>
      <c r="O55" s="689"/>
      <c r="P55" s="251"/>
      <c r="Q55" s="682"/>
      <c r="R55" s="246"/>
      <c r="S55" s="689"/>
      <c r="T55" s="287"/>
      <c r="U55" s="699"/>
      <c r="V55" s="246"/>
      <c r="W55" s="246"/>
      <c r="X55" s="689"/>
      <c r="Y55" s="251"/>
      <c r="Z55" s="681"/>
      <c r="AA55" s="701"/>
      <c r="AB55" s="689"/>
      <c r="AC55" s="287"/>
      <c r="AD55" s="699"/>
      <c r="AE55" s="246"/>
      <c r="AF55" s="246"/>
      <c r="AG55" s="689"/>
      <c r="AH55" s="251"/>
      <c r="AI55" s="682"/>
      <c r="AJ55" s="245"/>
      <c r="AK55" s="689"/>
      <c r="AL55" s="255"/>
      <c r="AM55" s="699"/>
      <c r="AN55" s="708"/>
      <c r="AO55" s="246"/>
      <c r="AP55" s="708"/>
      <c r="AQ55" s="251"/>
      <c r="AR55" s="682"/>
      <c r="AS55" s="707"/>
      <c r="AT55" s="818"/>
    </row>
    <row r="56" spans="1:46" ht="52.5" customHeight="1" x14ac:dyDescent="0.45">
      <c r="A56" s="1352"/>
      <c r="B56" s="725">
        <v>2</v>
      </c>
      <c r="C56" s="693"/>
      <c r="D56" s="694"/>
      <c r="E56" s="694"/>
      <c r="F56" s="695"/>
      <c r="G56" s="682"/>
      <c r="H56" s="682"/>
      <c r="I56" s="697"/>
      <c r="J56" s="705"/>
      <c r="K56" s="287"/>
      <c r="L56" s="699">
        <v>10</v>
      </c>
      <c r="M56" s="246">
        <v>204</v>
      </c>
      <c r="N56" s="246"/>
      <c r="O56" s="695"/>
      <c r="P56" s="682" t="s">
        <v>1093</v>
      </c>
      <c r="Q56" s="681" t="s">
        <v>237</v>
      </c>
      <c r="R56" s="682"/>
      <c r="S56" s="705"/>
      <c r="T56" s="287"/>
      <c r="U56" s="699"/>
      <c r="V56" s="246"/>
      <c r="W56" s="246"/>
      <c r="X56" s="695"/>
      <c r="Y56" s="296"/>
      <c r="Z56" s="681"/>
      <c r="AA56" s="701"/>
      <c r="AB56" s="705"/>
      <c r="AC56" s="287"/>
      <c r="AD56" s="699"/>
      <c r="AE56" s="246"/>
      <c r="AF56" s="246"/>
      <c r="AG56" s="695"/>
      <c r="AH56" s="682"/>
      <c r="AI56" s="681"/>
      <c r="AJ56" s="682"/>
      <c r="AK56" s="705"/>
      <c r="AL56" s="255"/>
      <c r="AM56" s="699"/>
      <c r="AN56" s="708"/>
      <c r="AO56" s="246"/>
      <c r="AP56" s="708"/>
      <c r="AQ56" s="682"/>
      <c r="AR56" s="682"/>
      <c r="AS56" s="246"/>
      <c r="AT56" s="772"/>
    </row>
    <row r="57" spans="1:46" ht="52.2" customHeight="1" x14ac:dyDescent="0.45">
      <c r="A57" s="1351">
        <v>45775</v>
      </c>
      <c r="B57" s="692">
        <v>1</v>
      </c>
      <c r="C57" s="693"/>
      <c r="D57" s="694"/>
      <c r="E57" s="694"/>
      <c r="F57" s="695"/>
      <c r="G57" s="682"/>
      <c r="H57" s="682"/>
      <c r="I57" s="707"/>
      <c r="J57" s="705"/>
      <c r="K57" s="287"/>
      <c r="L57" s="699"/>
      <c r="M57" s="246"/>
      <c r="N57" s="246"/>
      <c r="O57" s="695"/>
      <c r="P57" s="682"/>
      <c r="Q57" s="681"/>
      <c r="R57" s="682"/>
      <c r="S57" s="705"/>
      <c r="T57" s="287"/>
      <c r="U57" s="699"/>
      <c r="V57" s="246"/>
      <c r="W57" s="246"/>
      <c r="X57" s="695"/>
      <c r="Y57" s="682"/>
      <c r="Z57" s="681"/>
      <c r="AA57" s="245"/>
      <c r="AB57" s="705"/>
      <c r="AC57" s="287"/>
      <c r="AD57" s="699"/>
      <c r="AE57" s="246"/>
      <c r="AF57" s="246"/>
      <c r="AG57" s="695"/>
      <c r="AH57" s="682"/>
      <c r="AI57" s="681"/>
      <c r="AJ57" s="682"/>
      <c r="AK57" s="705"/>
      <c r="AL57" s="255"/>
      <c r="AM57" s="699"/>
      <c r="AN57" s="708"/>
      <c r="AO57" s="246"/>
      <c r="AP57" s="708"/>
      <c r="AQ57" s="682"/>
      <c r="AR57" s="682"/>
      <c r="AS57" s="246"/>
      <c r="AT57" s="705"/>
    </row>
    <row r="58" spans="1:46" ht="45" customHeight="1" x14ac:dyDescent="0.45">
      <c r="A58" s="1352"/>
      <c r="B58" s="725">
        <v>2</v>
      </c>
      <c r="C58" s="693"/>
      <c r="D58" s="694"/>
      <c r="E58" s="694"/>
      <c r="F58" s="695"/>
      <c r="G58" s="682"/>
      <c r="H58" s="682"/>
      <c r="I58" s="697"/>
      <c r="J58" s="705"/>
      <c r="K58" s="287"/>
      <c r="L58" s="699"/>
      <c r="M58" s="246"/>
      <c r="N58" s="246"/>
      <c r="O58" s="695"/>
      <c r="P58" s="682"/>
      <c r="Q58" s="681"/>
      <c r="R58" s="682"/>
      <c r="S58" s="705"/>
      <c r="T58" s="287"/>
      <c r="U58" s="699"/>
      <c r="V58" s="246"/>
      <c r="W58" s="246">
        <v>10</v>
      </c>
      <c r="X58" s="695"/>
      <c r="Y58" s="682"/>
      <c r="Z58" s="681"/>
      <c r="AA58" s="245" t="s">
        <v>27</v>
      </c>
      <c r="AB58" s="705"/>
      <c r="AC58" s="287"/>
      <c r="AD58" s="699"/>
      <c r="AE58" s="246"/>
      <c r="AF58" s="246"/>
      <c r="AG58" s="246"/>
      <c r="AH58" s="682"/>
      <c r="AI58" s="681"/>
      <c r="AJ58" s="246"/>
      <c r="AK58" s="705"/>
      <c r="AL58" s="255"/>
      <c r="AM58" s="699"/>
      <c r="AN58" s="246"/>
      <c r="AO58" s="246"/>
      <c r="AP58" s="699"/>
      <c r="AQ58" s="682"/>
      <c r="AR58" s="681"/>
      <c r="AS58" s="246"/>
      <c r="AT58" s="705"/>
    </row>
    <row r="59" spans="1:46" ht="48" customHeight="1" x14ac:dyDescent="0.45">
      <c r="A59" s="1351">
        <v>45776</v>
      </c>
      <c r="B59" s="692">
        <v>1</v>
      </c>
      <c r="C59" s="693"/>
      <c r="D59" s="694"/>
      <c r="E59" s="694"/>
      <c r="F59" s="695"/>
      <c r="G59" s="682"/>
      <c r="H59" s="681"/>
      <c r="I59" s="697"/>
      <c r="J59" s="705"/>
      <c r="K59" s="287"/>
      <c r="L59" s="699"/>
      <c r="M59" s="246"/>
      <c r="N59" s="246"/>
      <c r="O59" s="689"/>
      <c r="P59" s="251"/>
      <c r="Q59" s="245"/>
      <c r="R59" s="246"/>
      <c r="S59" s="705"/>
      <c r="T59" s="287"/>
      <c r="U59" s="699"/>
      <c r="V59" s="246"/>
      <c r="W59" s="246"/>
      <c r="X59" s="689"/>
      <c r="Y59" s="682"/>
      <c r="Z59" s="681"/>
      <c r="AA59" s="697"/>
      <c r="AB59" s="705"/>
      <c r="AC59" s="287"/>
      <c r="AD59" s="699"/>
      <c r="AE59" s="246"/>
      <c r="AF59" s="246"/>
      <c r="AG59" s="689"/>
      <c r="AH59" s="699"/>
      <c r="AI59" s="246"/>
      <c r="AJ59" s="682"/>
      <c r="AK59" s="705"/>
      <c r="AL59" s="255"/>
      <c r="AM59" s="699"/>
      <c r="AN59" s="246"/>
      <c r="AO59" s="246"/>
      <c r="AP59" s="246"/>
      <c r="AQ59" s="296"/>
      <c r="AR59" s="246"/>
      <c r="AS59" s="245"/>
      <c r="AT59" s="705"/>
    </row>
    <row r="60" spans="1:46" ht="44.25" customHeight="1" x14ac:dyDescent="0.45">
      <c r="A60" s="1352"/>
      <c r="B60" s="725">
        <v>2</v>
      </c>
      <c r="C60" s="693"/>
      <c r="D60" s="694"/>
      <c r="E60" s="694"/>
      <c r="F60" s="695"/>
      <c r="G60" s="681"/>
      <c r="H60" s="682"/>
      <c r="I60" s="697"/>
      <c r="J60" s="705"/>
      <c r="K60" s="287"/>
      <c r="L60" s="699"/>
      <c r="M60" s="246"/>
      <c r="N60" s="246"/>
      <c r="O60" s="689"/>
      <c r="P60" s="251"/>
      <c r="Q60" s="682"/>
      <c r="R60" s="246"/>
      <c r="S60" s="705"/>
      <c r="T60" s="287"/>
      <c r="U60" s="699"/>
      <c r="V60" s="246"/>
      <c r="W60" s="246">
        <v>16</v>
      </c>
      <c r="X60" s="689"/>
      <c r="Y60" s="296"/>
      <c r="Z60" s="682"/>
      <c r="AA60" s="697" t="s">
        <v>27</v>
      </c>
      <c r="AB60" s="705"/>
      <c r="AC60" s="287"/>
      <c r="AD60" s="699"/>
      <c r="AE60" s="699"/>
      <c r="AF60" s="699"/>
      <c r="AG60" s="699"/>
      <c r="AH60" s="699"/>
      <c r="AI60" s="682"/>
      <c r="AJ60" s="245"/>
      <c r="AK60" s="705"/>
      <c r="AL60" s="255"/>
      <c r="AM60" s="699"/>
      <c r="AN60" s="246"/>
      <c r="AO60" s="246"/>
      <c r="AP60" s="246"/>
      <c r="AQ60" s="251"/>
      <c r="AR60" s="682"/>
      <c r="AS60" s="245"/>
      <c r="AT60" s="705"/>
    </row>
    <row r="61" spans="1:46" ht="56.25" customHeight="1" x14ac:dyDescent="0.45">
      <c r="A61" s="1351">
        <v>45777</v>
      </c>
      <c r="B61" s="692">
        <v>1</v>
      </c>
      <c r="C61" s="726"/>
      <c r="D61" s="727"/>
      <c r="E61" s="694"/>
      <c r="F61" s="728"/>
      <c r="G61" s="681"/>
      <c r="H61" s="723"/>
      <c r="I61" s="697"/>
      <c r="J61" s="698"/>
      <c r="K61" s="287"/>
      <c r="L61" s="699"/>
      <c r="M61" s="699"/>
      <c r="N61" s="246"/>
      <c r="O61" s="689"/>
      <c r="P61" s="729"/>
      <c r="Q61" s="682"/>
      <c r="R61" s="306"/>
      <c r="S61" s="730"/>
      <c r="T61" s="287"/>
      <c r="U61" s="699"/>
      <c r="V61" s="246"/>
      <c r="W61" s="246"/>
      <c r="X61" s="689"/>
      <c r="Y61" s="296"/>
      <c r="Z61" s="245"/>
      <c r="AA61" s="697"/>
      <c r="AB61" s="730"/>
      <c r="AC61" s="287"/>
      <c r="AD61" s="699"/>
      <c r="AE61" s="246"/>
      <c r="AF61" s="246"/>
      <c r="AG61" s="689"/>
      <c r="AH61" s="729"/>
      <c r="AI61" s="732"/>
      <c r="AJ61" s="732"/>
      <c r="AK61" s="730"/>
      <c r="AL61" s="255"/>
      <c r="AM61" s="699"/>
      <c r="AN61" s="246"/>
      <c r="AO61" s="246"/>
      <c r="AP61" s="246"/>
      <c r="AQ61" s="296"/>
      <c r="AR61" s="246"/>
      <c r="AS61" s="245"/>
      <c r="AT61" s="730"/>
    </row>
    <row r="62" spans="1:46" ht="53.25" customHeight="1" x14ac:dyDescent="0.45">
      <c r="A62" s="1352"/>
      <c r="B62" s="725">
        <v>2</v>
      </c>
      <c r="C62" s="726"/>
      <c r="D62" s="727"/>
      <c r="E62" s="727"/>
      <c r="F62" s="728">
        <v>237</v>
      </c>
      <c r="G62" s="731"/>
      <c r="H62" s="723"/>
      <c r="I62" s="697"/>
      <c r="J62" s="705" t="s">
        <v>975</v>
      </c>
      <c r="K62" s="287"/>
      <c r="L62" s="699"/>
      <c r="M62" s="246"/>
      <c r="N62" s="246"/>
      <c r="O62" s="689">
        <v>232</v>
      </c>
      <c r="P62" s="729"/>
      <c r="Q62" s="732"/>
      <c r="R62" s="306"/>
      <c r="S62" s="705" t="s">
        <v>975</v>
      </c>
      <c r="T62" s="287"/>
      <c r="U62" s="699"/>
      <c r="V62" s="246"/>
      <c r="W62" s="246"/>
      <c r="X62" s="689">
        <v>239</v>
      </c>
      <c r="Y62" s="296"/>
      <c r="Z62" s="732"/>
      <c r="AA62" s="697"/>
      <c r="AB62" s="705" t="s">
        <v>975</v>
      </c>
      <c r="AC62" s="287"/>
      <c r="AD62" s="699"/>
      <c r="AE62" s="246"/>
      <c r="AF62" s="246"/>
      <c r="AG62" s="302">
        <v>233</v>
      </c>
      <c r="AH62" s="1521"/>
      <c r="AI62" s="1522"/>
      <c r="AJ62" s="1523"/>
      <c r="AK62" s="705" t="s">
        <v>975</v>
      </c>
      <c r="AL62" s="255"/>
      <c r="AM62" s="699"/>
      <c r="AN62" s="246"/>
      <c r="AO62" s="246"/>
      <c r="AP62" s="246">
        <v>255</v>
      </c>
      <c r="AQ62" s="251"/>
      <c r="AR62" s="246"/>
      <c r="AS62" s="245"/>
      <c r="AT62" s="705" t="s">
        <v>975</v>
      </c>
    </row>
    <row r="63" spans="1:46" ht="18" x14ac:dyDescent="0.45">
      <c r="A63" s="255" t="s">
        <v>225</v>
      </c>
      <c r="B63" s="354"/>
      <c r="C63" s="757">
        <f>SUM(C3:C62)</f>
        <v>887</v>
      </c>
      <c r="D63" s="354">
        <f>SUM(D3:D62)</f>
        <v>112</v>
      </c>
      <c r="E63" s="757">
        <f>SUM(E3:E62)</f>
        <v>327</v>
      </c>
      <c r="F63" s="354">
        <f>SUM(F3:F62)</f>
        <v>372</v>
      </c>
      <c r="G63" s="255"/>
      <c r="H63" s="255"/>
      <c r="I63" s="255"/>
      <c r="J63" s="255"/>
      <c r="K63" s="255"/>
      <c r="L63" s="354">
        <f>SUM(L3:L62)</f>
        <v>294</v>
      </c>
      <c r="M63" s="354">
        <f>SUM(M3:M62)</f>
        <v>461</v>
      </c>
      <c r="N63" s="354">
        <f>SUM(N3:N62)</f>
        <v>0</v>
      </c>
      <c r="O63" s="354">
        <f>SUM(O3:O62)</f>
        <v>403</v>
      </c>
      <c r="P63" s="255"/>
      <c r="Q63" s="255"/>
      <c r="R63" s="255"/>
      <c r="S63" s="255"/>
      <c r="T63" s="255"/>
      <c r="U63" s="354">
        <f>SUM(U3:U62)</f>
        <v>3377</v>
      </c>
      <c r="V63" s="354">
        <f>SUM(V3:V62)</f>
        <v>18</v>
      </c>
      <c r="W63" s="354">
        <f>SUM(W3:W62)</f>
        <v>383</v>
      </c>
      <c r="X63" s="354">
        <f>SUM(X3:X62)</f>
        <v>376</v>
      </c>
      <c r="Y63" s="255"/>
      <c r="Z63" s="255"/>
      <c r="AA63" s="255"/>
      <c r="AB63" s="255"/>
      <c r="AC63" s="255"/>
      <c r="AD63" s="354">
        <f>SUM(AD3:AD62)</f>
        <v>163</v>
      </c>
      <c r="AE63" s="354">
        <f>SUM(AE3:AE62)</f>
        <v>207</v>
      </c>
      <c r="AF63" s="354">
        <f>SUM(AF3:AF62)</f>
        <v>0</v>
      </c>
      <c r="AG63" s="354">
        <f>SUM(AG3:AG62)</f>
        <v>403</v>
      </c>
      <c r="AH63" s="255"/>
      <c r="AI63" s="255"/>
      <c r="AJ63" s="255"/>
      <c r="AK63" s="255"/>
      <c r="AL63" s="255"/>
      <c r="AM63" s="354">
        <f>SUM(AM3:AM62)</f>
        <v>795</v>
      </c>
      <c r="AN63" s="354">
        <f>SUM(AN3:AN62)</f>
        <v>8</v>
      </c>
      <c r="AO63" s="354">
        <f>SUM(AO3:AO62)</f>
        <v>37</v>
      </c>
      <c r="AP63" s="354">
        <f>SUM(AP3:AP62)</f>
        <v>425</v>
      </c>
      <c r="AQ63" s="255"/>
      <c r="AR63" s="255"/>
      <c r="AS63" s="255"/>
      <c r="AT63" s="255"/>
    </row>
    <row r="71" spans="2:10" ht="14.6" thickBot="1" x14ac:dyDescent="0.4"/>
    <row r="72" spans="2:10" ht="18.45" thickBot="1" x14ac:dyDescent="0.5">
      <c r="B72" s="354"/>
      <c r="C72" s="1349" t="s">
        <v>199</v>
      </c>
      <c r="D72" s="1350"/>
      <c r="E72" s="1347" t="s">
        <v>200</v>
      </c>
      <c r="F72" s="1348"/>
      <c r="G72" s="1349" t="s">
        <v>201</v>
      </c>
      <c r="H72" s="1350"/>
      <c r="I72" s="1349" t="s">
        <v>204</v>
      </c>
      <c r="J72" s="1350"/>
    </row>
    <row r="73" spans="2:10" ht="18.45" thickBot="1" x14ac:dyDescent="0.5">
      <c r="B73" s="354"/>
      <c r="C73" s="552" t="s">
        <v>222</v>
      </c>
      <c r="D73" s="553" t="s">
        <v>223</v>
      </c>
      <c r="E73" s="554" t="s">
        <v>222</v>
      </c>
      <c r="F73" s="555" t="s">
        <v>223</v>
      </c>
      <c r="G73" s="552" t="s">
        <v>222</v>
      </c>
      <c r="H73" s="553" t="s">
        <v>223</v>
      </c>
      <c r="I73" s="552" t="s">
        <v>222</v>
      </c>
      <c r="J73" s="553" t="s">
        <v>223</v>
      </c>
    </row>
    <row r="74" spans="2:10" ht="18" x14ac:dyDescent="0.4">
      <c r="B74" s="541" t="s">
        <v>218</v>
      </c>
      <c r="C74" s="542">
        <f>C63</f>
        <v>887</v>
      </c>
      <c r="D74" s="543">
        <f>C74/60</f>
        <v>14.783333333333333</v>
      </c>
      <c r="E74" s="542">
        <f>D63</f>
        <v>112</v>
      </c>
      <c r="F74" s="544">
        <f>E74/60</f>
        <v>1.8666666666666667</v>
      </c>
      <c r="G74" s="542">
        <f>E63</f>
        <v>327</v>
      </c>
      <c r="H74" s="543">
        <f>G74/60</f>
        <v>5.45</v>
      </c>
      <c r="I74" s="542">
        <f>F63</f>
        <v>372</v>
      </c>
      <c r="J74" s="543">
        <f>I74/60</f>
        <v>6.2</v>
      </c>
    </row>
    <row r="75" spans="2:10" ht="18" x14ac:dyDescent="0.4">
      <c r="B75" s="541" t="s">
        <v>219</v>
      </c>
      <c r="C75" s="545">
        <f>L63</f>
        <v>294</v>
      </c>
      <c r="D75" s="546">
        <f>C75/60</f>
        <v>4.9000000000000004</v>
      </c>
      <c r="E75" s="545">
        <f>M63</f>
        <v>461</v>
      </c>
      <c r="F75" s="547">
        <f>E75/60</f>
        <v>7.6833333333333336</v>
      </c>
      <c r="G75" s="545">
        <f>N63</f>
        <v>0</v>
      </c>
      <c r="H75" s="546">
        <f>G75/60</f>
        <v>0</v>
      </c>
      <c r="I75" s="545">
        <f>O63</f>
        <v>403</v>
      </c>
      <c r="J75" s="546">
        <f>I75/60</f>
        <v>6.7166666666666668</v>
      </c>
    </row>
    <row r="76" spans="2:10" ht="18" x14ac:dyDescent="0.4">
      <c r="B76" s="541" t="s">
        <v>220</v>
      </c>
      <c r="C76" s="545">
        <f>U63</f>
        <v>3377</v>
      </c>
      <c r="D76" s="546">
        <f>C76/60</f>
        <v>56.283333333333331</v>
      </c>
      <c r="E76" s="545">
        <f>V63</f>
        <v>18</v>
      </c>
      <c r="F76" s="547">
        <f>E76/60</f>
        <v>0.3</v>
      </c>
      <c r="G76" s="545">
        <f>W63</f>
        <v>383</v>
      </c>
      <c r="H76" s="546">
        <f>G76/60</f>
        <v>6.3833333333333337</v>
      </c>
      <c r="I76" s="545">
        <f>X63</f>
        <v>376</v>
      </c>
      <c r="J76" s="546">
        <f>I76/60</f>
        <v>6.2666666666666666</v>
      </c>
    </row>
    <row r="77" spans="2:10" ht="18.45" thickBot="1" x14ac:dyDescent="0.45">
      <c r="B77" s="541" t="s">
        <v>221</v>
      </c>
      <c r="C77" s="548">
        <f>AD63</f>
        <v>163</v>
      </c>
      <c r="D77" s="549">
        <f>C77/60</f>
        <v>2.7166666666666668</v>
      </c>
      <c r="E77" s="548">
        <f>AE63</f>
        <v>207</v>
      </c>
      <c r="F77" s="550">
        <f>E77/60</f>
        <v>3.45</v>
      </c>
      <c r="G77" s="548">
        <f>AF63</f>
        <v>0</v>
      </c>
      <c r="H77" s="549">
        <f>G77/60</f>
        <v>0</v>
      </c>
      <c r="I77" s="548">
        <f>AG63</f>
        <v>403</v>
      </c>
      <c r="J77" s="549">
        <f>I77/60</f>
        <v>6.7166666666666668</v>
      </c>
    </row>
    <row r="78" spans="2:10" ht="18.45" thickBot="1" x14ac:dyDescent="0.45">
      <c r="B78" s="541" t="s">
        <v>488</v>
      </c>
      <c r="C78" s="643">
        <f>AM63</f>
        <v>795</v>
      </c>
      <c r="D78" s="642">
        <f>C78/60</f>
        <v>13.25</v>
      </c>
      <c r="E78" s="643">
        <f>AN63</f>
        <v>8</v>
      </c>
      <c r="F78" s="644">
        <f>E78/60</f>
        <v>0.13333333333333333</v>
      </c>
      <c r="G78" s="643">
        <f>AO63</f>
        <v>37</v>
      </c>
      <c r="H78" s="642">
        <f>G78/60</f>
        <v>0.6166666666666667</v>
      </c>
      <c r="I78" s="643">
        <f>AP63</f>
        <v>425</v>
      </c>
      <c r="J78" s="642">
        <f>I78/60</f>
        <v>7.083333333333333</v>
      </c>
    </row>
    <row r="79" spans="2:10" ht="18.45" thickBot="1" x14ac:dyDescent="0.5">
      <c r="B79" s="354"/>
      <c r="C79" s="255"/>
      <c r="D79" s="255"/>
      <c r="E79" s="255"/>
      <c r="F79" s="255"/>
      <c r="G79" s="255"/>
      <c r="H79" s="255"/>
      <c r="I79" s="255"/>
      <c r="J79" s="255"/>
    </row>
    <row r="80" spans="2:10" ht="18.45" thickBot="1" x14ac:dyDescent="0.5">
      <c r="B80" s="551" t="s">
        <v>217</v>
      </c>
      <c r="C80" s="556"/>
      <c r="D80" s="557">
        <f>SUM(D74:D78)</f>
        <v>91.933333333333337</v>
      </c>
      <c r="E80" s="556"/>
      <c r="F80" s="557">
        <f>SUM(F74:F78)</f>
        <v>13.433333333333334</v>
      </c>
      <c r="G80" s="556"/>
      <c r="H80" s="557">
        <f>SUM(H74:H78)</f>
        <v>12.450000000000001</v>
      </c>
      <c r="I80" s="556"/>
      <c r="J80" s="558">
        <f>AVERAGE(J74:J78)</f>
        <v>6.5966666666666667</v>
      </c>
    </row>
  </sheetData>
  <mergeCells count="46">
    <mergeCell ref="A7:A8"/>
    <mergeCell ref="A9:A10"/>
    <mergeCell ref="A11:A12"/>
    <mergeCell ref="A5:A6"/>
    <mergeCell ref="C1:F1"/>
    <mergeCell ref="AM1:AP1"/>
    <mergeCell ref="AQ1:AT1"/>
    <mergeCell ref="A3:A4"/>
    <mergeCell ref="U1:X1"/>
    <mergeCell ref="Y1:AB1"/>
    <mergeCell ref="G1:J1"/>
    <mergeCell ref="L1:O1"/>
    <mergeCell ref="P1:S1"/>
    <mergeCell ref="AD1:AG1"/>
    <mergeCell ref="AH1:AK1"/>
    <mergeCell ref="A13:A14"/>
    <mergeCell ref="AH14:AJ14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H62:AJ62"/>
    <mergeCell ref="A41:A42"/>
    <mergeCell ref="A43:A44"/>
    <mergeCell ref="A45:A46"/>
    <mergeCell ref="A47:A48"/>
    <mergeCell ref="A49:A50"/>
    <mergeCell ref="A51:A52"/>
    <mergeCell ref="C72:D72"/>
    <mergeCell ref="E72:F72"/>
    <mergeCell ref="G72:H72"/>
    <mergeCell ref="I72:J72"/>
    <mergeCell ref="A53:A54"/>
    <mergeCell ref="A55:A56"/>
    <mergeCell ref="A57:A58"/>
    <mergeCell ref="A59:A60"/>
    <mergeCell ref="A61:A62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T117"/>
  <sheetViews>
    <sheetView topLeftCell="R1" zoomScale="44" zoomScaleNormal="44" workbookViewId="0">
      <selection activeCell="AR19" sqref="AR19"/>
    </sheetView>
  </sheetViews>
  <sheetFormatPr defaultRowHeight="14.6" x14ac:dyDescent="0.4"/>
  <cols>
    <col min="1" max="1" width="19.3046875" customWidth="1"/>
    <col min="3" max="4" width="11.3046875" customWidth="1"/>
    <col min="5" max="5" width="11" customWidth="1"/>
    <col min="6" max="6" width="11.53515625" customWidth="1"/>
    <col min="7" max="9" width="31.3046875" customWidth="1"/>
    <col min="10" max="10" width="31" customWidth="1"/>
    <col min="12" max="15" width="11" customWidth="1"/>
    <col min="16" max="17" width="31.53515625" customWidth="1"/>
    <col min="18" max="18" width="31.15234375" customWidth="1"/>
    <col min="19" max="19" width="31.53515625" customWidth="1"/>
    <col min="21" max="21" width="11" customWidth="1"/>
    <col min="22" max="22" width="11.15234375" customWidth="1"/>
    <col min="23" max="24" width="11" customWidth="1"/>
    <col min="25" max="25" width="31" customWidth="1"/>
    <col min="26" max="28" width="31.53515625" customWidth="1"/>
    <col min="30" max="30" width="11" customWidth="1"/>
    <col min="31" max="31" width="10.69140625" customWidth="1"/>
    <col min="32" max="32" width="11" customWidth="1"/>
    <col min="33" max="33" width="11.15234375" customWidth="1"/>
    <col min="34" max="34" width="30.69140625" customWidth="1"/>
    <col min="35" max="35" width="31.53515625" customWidth="1"/>
    <col min="36" max="36" width="31.3828125" customWidth="1"/>
    <col min="37" max="37" width="31" customWidth="1"/>
    <col min="39" max="39" width="11.15234375" customWidth="1"/>
    <col min="40" max="40" width="11.3828125" customWidth="1"/>
    <col min="41" max="41" width="11" customWidth="1"/>
    <col min="42" max="42" width="11.15234375" customWidth="1"/>
    <col min="43" max="43" width="31" customWidth="1"/>
    <col min="44" max="44" width="30.84375" customWidth="1"/>
    <col min="45" max="45" width="31" customWidth="1"/>
    <col min="46" max="46" width="26.3828125" customWidth="1"/>
  </cols>
  <sheetData>
    <row r="1" spans="1:46" ht="31.5" customHeight="1" x14ac:dyDescent="0.4">
      <c r="A1" s="423"/>
      <c r="B1" s="65"/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25.5" customHeight="1" x14ac:dyDescent="0.4">
      <c r="A2" s="993" t="s">
        <v>0</v>
      </c>
      <c r="B2" s="994" t="s">
        <v>198</v>
      </c>
      <c r="C2" s="995" t="s">
        <v>199</v>
      </c>
      <c r="D2" s="993" t="s">
        <v>200</v>
      </c>
      <c r="E2" s="993" t="s">
        <v>201</v>
      </c>
      <c r="F2" s="993" t="s">
        <v>204</v>
      </c>
      <c r="G2" s="996" t="s">
        <v>199</v>
      </c>
      <c r="H2" s="996" t="s">
        <v>200</v>
      </c>
      <c r="I2" s="996" t="s">
        <v>201</v>
      </c>
      <c r="J2" s="996" t="s">
        <v>204</v>
      </c>
      <c r="K2" s="997" t="s">
        <v>269</v>
      </c>
      <c r="L2" s="993" t="s">
        <v>199</v>
      </c>
      <c r="M2" s="993" t="s">
        <v>200</v>
      </c>
      <c r="N2" s="993" t="s">
        <v>201</v>
      </c>
      <c r="O2" s="993" t="s">
        <v>204</v>
      </c>
      <c r="P2" s="998" t="s">
        <v>199</v>
      </c>
      <c r="Q2" s="993" t="s">
        <v>200</v>
      </c>
      <c r="R2" s="993" t="s">
        <v>201</v>
      </c>
      <c r="S2" s="993" t="s">
        <v>204</v>
      </c>
      <c r="T2" s="997"/>
      <c r="U2" s="993" t="s">
        <v>199</v>
      </c>
      <c r="V2" s="993" t="s">
        <v>200</v>
      </c>
      <c r="W2" s="993" t="s">
        <v>201</v>
      </c>
      <c r="X2" s="993" t="s">
        <v>204</v>
      </c>
      <c r="Y2" s="999" t="s">
        <v>199</v>
      </c>
      <c r="Z2" s="993" t="s">
        <v>200</v>
      </c>
      <c r="AA2" s="993" t="s">
        <v>201</v>
      </c>
      <c r="AB2" s="993" t="s">
        <v>204</v>
      </c>
      <c r="AC2" s="997"/>
      <c r="AD2" s="993" t="s">
        <v>199</v>
      </c>
      <c r="AE2" s="993" t="s">
        <v>200</v>
      </c>
      <c r="AF2" s="993" t="s">
        <v>201</v>
      </c>
      <c r="AG2" s="993" t="s">
        <v>204</v>
      </c>
      <c r="AH2" s="998" t="s">
        <v>199</v>
      </c>
      <c r="AI2" s="993" t="s">
        <v>200</v>
      </c>
      <c r="AJ2" s="993" t="s">
        <v>201</v>
      </c>
      <c r="AK2" s="993" t="s">
        <v>204</v>
      </c>
      <c r="AL2" s="997"/>
      <c r="AM2" s="993" t="s">
        <v>199</v>
      </c>
      <c r="AN2" s="993" t="s">
        <v>200</v>
      </c>
      <c r="AO2" s="993" t="s">
        <v>201</v>
      </c>
      <c r="AP2" s="993" t="s">
        <v>204</v>
      </c>
      <c r="AQ2" s="998" t="s">
        <v>199</v>
      </c>
      <c r="AR2" s="993" t="s">
        <v>200</v>
      </c>
      <c r="AS2" s="993" t="s">
        <v>201</v>
      </c>
      <c r="AT2" s="993" t="s">
        <v>204</v>
      </c>
    </row>
    <row r="3" spans="1:46" ht="46.5" customHeight="1" x14ac:dyDescent="0.4">
      <c r="A3" s="1524">
        <v>45778</v>
      </c>
      <c r="B3" s="935">
        <v>1</v>
      </c>
      <c r="C3" s="938"/>
      <c r="D3" s="939"/>
      <c r="E3" s="847"/>
      <c r="F3" s="940"/>
      <c r="G3" s="857"/>
      <c r="H3" s="849"/>
      <c r="I3" s="843"/>
      <c r="J3" s="941"/>
      <c r="K3" s="845"/>
      <c r="L3" s="942"/>
      <c r="M3" s="943"/>
      <c r="N3" s="943"/>
      <c r="O3" s="944"/>
      <c r="P3" s="945"/>
      <c r="Q3" s="946"/>
      <c r="R3" s="946"/>
      <c r="S3" s="944"/>
      <c r="T3" s="845"/>
      <c r="U3" s="942"/>
      <c r="V3" s="943"/>
      <c r="W3" s="847">
        <v>20</v>
      </c>
      <c r="X3" s="724"/>
      <c r="Y3" s="877"/>
      <c r="Z3" s="945"/>
      <c r="AA3" s="706"/>
      <c r="AB3" s="947"/>
      <c r="AC3" s="845"/>
      <c r="AD3" s="942"/>
      <c r="AE3" s="943"/>
      <c r="AF3" s="847"/>
      <c r="AG3" s="944"/>
      <c r="AH3" s="945"/>
      <c r="AI3" s="945"/>
      <c r="AJ3" s="855"/>
      <c r="AK3" s="944"/>
      <c r="AL3" s="853"/>
      <c r="AM3" s="942"/>
      <c r="AN3" s="943"/>
      <c r="AO3" s="847"/>
      <c r="AP3" s="944"/>
      <c r="AQ3" s="945"/>
      <c r="AR3" s="948"/>
      <c r="AS3" s="855"/>
      <c r="AT3" s="944"/>
    </row>
    <row r="4" spans="1:46" ht="65.25" customHeight="1" x14ac:dyDescent="0.4">
      <c r="A4" s="1525"/>
      <c r="B4" s="936">
        <v>2</v>
      </c>
      <c r="C4" s="949"/>
      <c r="D4" s="840"/>
      <c r="E4" s="840"/>
      <c r="F4" s="841"/>
      <c r="G4" s="865"/>
      <c r="H4" s="849"/>
      <c r="I4" s="843"/>
      <c r="J4" s="844"/>
      <c r="K4" s="845"/>
      <c r="L4" s="846"/>
      <c r="M4" s="847"/>
      <c r="N4" s="847"/>
      <c r="O4" s="724"/>
      <c r="P4" s="848"/>
      <c r="Q4" s="849"/>
      <c r="R4" s="875"/>
      <c r="S4" s="724"/>
      <c r="T4" s="845"/>
      <c r="U4" s="846"/>
      <c r="V4" s="855"/>
      <c r="W4" s="847">
        <v>6</v>
      </c>
      <c r="X4" s="724"/>
      <c r="Y4" s="865"/>
      <c r="Z4" s="706"/>
      <c r="AA4" s="706"/>
      <c r="AB4" s="950"/>
      <c r="AC4" s="845"/>
      <c r="AD4" s="846">
        <v>10</v>
      </c>
      <c r="AE4" s="847"/>
      <c r="AF4" s="847"/>
      <c r="AG4" s="724"/>
      <c r="AH4" s="848" t="s">
        <v>842</v>
      </c>
      <c r="AI4" s="706"/>
      <c r="AJ4" s="847"/>
      <c r="AK4" s="724"/>
      <c r="AL4" s="853"/>
      <c r="AM4" s="846"/>
      <c r="AN4" s="847"/>
      <c r="AO4" s="847"/>
      <c r="AP4" s="724"/>
      <c r="AQ4" s="848"/>
      <c r="AR4" s="706"/>
      <c r="AS4" s="847"/>
      <c r="AT4" s="724"/>
    </row>
    <row r="5" spans="1:46" ht="48" customHeight="1" x14ac:dyDescent="0.4">
      <c r="A5" s="1524">
        <v>45779</v>
      </c>
      <c r="B5" s="936">
        <v>1</v>
      </c>
      <c r="C5" s="949"/>
      <c r="D5" s="840"/>
      <c r="E5" s="840">
        <v>8</v>
      </c>
      <c r="F5" s="841"/>
      <c r="G5" s="842"/>
      <c r="H5" s="809" t="s">
        <v>152</v>
      </c>
      <c r="I5" s="843"/>
      <c r="J5" s="844"/>
      <c r="K5" s="845"/>
      <c r="L5" s="846"/>
      <c r="M5" s="847"/>
      <c r="N5" s="847"/>
      <c r="O5" s="724"/>
      <c r="P5" s="848"/>
      <c r="Q5" s="847"/>
      <c r="R5" s="847"/>
      <c r="S5" s="724"/>
      <c r="T5" s="845"/>
      <c r="U5" s="846"/>
      <c r="V5" s="847"/>
      <c r="W5" s="847">
        <v>28</v>
      </c>
      <c r="X5" s="724"/>
      <c r="Y5" s="877"/>
      <c r="Z5" s="849"/>
      <c r="AA5" s="850" t="s">
        <v>152</v>
      </c>
      <c r="AB5" s="851"/>
      <c r="AC5" s="845"/>
      <c r="AD5" s="846"/>
      <c r="AE5" s="847"/>
      <c r="AF5" s="847"/>
      <c r="AG5" s="724"/>
      <c r="AH5" s="848"/>
      <c r="AI5" s="847"/>
      <c r="AJ5" s="852"/>
      <c r="AK5" s="724"/>
      <c r="AL5" s="853"/>
      <c r="AM5" s="846"/>
      <c r="AN5" s="847"/>
      <c r="AO5" s="847"/>
      <c r="AP5" s="724"/>
      <c r="AQ5" s="848"/>
      <c r="AR5" s="854"/>
      <c r="AS5" s="855"/>
      <c r="AT5" s="856"/>
    </row>
    <row r="6" spans="1:46" ht="66" customHeight="1" x14ac:dyDescent="0.4">
      <c r="A6" s="1525"/>
      <c r="B6" s="936">
        <v>2</v>
      </c>
      <c r="C6" s="949"/>
      <c r="D6" s="840"/>
      <c r="E6" s="840">
        <v>10</v>
      </c>
      <c r="F6" s="841"/>
      <c r="G6" s="857"/>
      <c r="H6" s="706" t="s">
        <v>152</v>
      </c>
      <c r="I6" s="843"/>
      <c r="J6" s="858"/>
      <c r="K6" s="845"/>
      <c r="L6" s="846"/>
      <c r="M6" s="847"/>
      <c r="N6" s="847"/>
      <c r="O6" s="724"/>
      <c r="P6" s="848"/>
      <c r="Q6" s="849"/>
      <c r="R6" s="847"/>
      <c r="S6" s="858"/>
      <c r="T6" s="845"/>
      <c r="U6" s="846"/>
      <c r="V6" s="847">
        <v>51</v>
      </c>
      <c r="W6" s="847">
        <v>10</v>
      </c>
      <c r="X6" s="724"/>
      <c r="Y6" s="877"/>
      <c r="Z6" s="849" t="s">
        <v>1094</v>
      </c>
      <c r="AA6" s="706" t="s">
        <v>1078</v>
      </c>
      <c r="AB6" s="858"/>
      <c r="AC6" s="845"/>
      <c r="AD6" s="846"/>
      <c r="AE6" s="847"/>
      <c r="AF6" s="847"/>
      <c r="AG6" s="724"/>
      <c r="AH6" s="848"/>
      <c r="AI6" s="847"/>
      <c r="AJ6" s="859"/>
      <c r="AK6" s="858"/>
      <c r="AL6" s="853"/>
      <c r="AM6" s="846"/>
      <c r="AN6" s="847"/>
      <c r="AO6" s="847"/>
      <c r="AP6" s="724"/>
      <c r="AQ6" s="876"/>
      <c r="AR6" s="860"/>
      <c r="AS6" s="877"/>
      <c r="AT6" s="858"/>
    </row>
    <row r="7" spans="1:46" ht="52.5" customHeight="1" x14ac:dyDescent="0.4">
      <c r="A7" s="1524">
        <v>45780</v>
      </c>
      <c r="B7" s="936">
        <v>1</v>
      </c>
      <c r="C7" s="949"/>
      <c r="D7" s="840"/>
      <c r="E7" s="840"/>
      <c r="F7" s="841"/>
      <c r="G7" s="857"/>
      <c r="H7" s="706"/>
      <c r="I7" s="843"/>
      <c r="J7" s="858"/>
      <c r="K7" s="845"/>
      <c r="L7" s="846"/>
      <c r="M7" s="848"/>
      <c r="N7" s="847"/>
      <c r="O7" s="724"/>
      <c r="P7" s="848"/>
      <c r="Q7" s="706"/>
      <c r="R7" s="847"/>
      <c r="S7" s="856"/>
      <c r="T7" s="845"/>
      <c r="U7" s="846"/>
      <c r="V7" s="847"/>
      <c r="W7" s="847">
        <v>17</v>
      </c>
      <c r="X7" s="724"/>
      <c r="Y7" s="877"/>
      <c r="Z7" s="849"/>
      <c r="AA7" s="850" t="s">
        <v>152</v>
      </c>
      <c r="AB7" s="856"/>
      <c r="AC7" s="845"/>
      <c r="AD7" s="846">
        <v>163</v>
      </c>
      <c r="AE7" s="847"/>
      <c r="AF7" s="847"/>
      <c r="AG7" s="724"/>
      <c r="AH7" s="848" t="s">
        <v>1077</v>
      </c>
      <c r="AI7" s="706"/>
      <c r="AJ7" s="859"/>
      <c r="AK7" s="861"/>
      <c r="AL7" s="853"/>
      <c r="AM7" s="846"/>
      <c r="AN7" s="847"/>
      <c r="AO7" s="847"/>
      <c r="AP7" s="724"/>
      <c r="AQ7" s="862"/>
      <c r="AR7" s="863"/>
      <c r="AS7" s="809"/>
      <c r="AT7" s="864"/>
    </row>
    <row r="8" spans="1:46" ht="66" customHeight="1" x14ac:dyDescent="0.4">
      <c r="A8" s="1525"/>
      <c r="B8" s="936">
        <v>2</v>
      </c>
      <c r="C8" s="949"/>
      <c r="D8" s="934"/>
      <c r="E8" s="840"/>
      <c r="F8" s="841"/>
      <c r="G8" s="865"/>
      <c r="H8" s="706"/>
      <c r="I8" s="843"/>
      <c r="J8" s="858"/>
      <c r="K8" s="845"/>
      <c r="L8" s="846"/>
      <c r="M8" s="847"/>
      <c r="N8" s="847"/>
      <c r="O8" s="724"/>
      <c r="P8" s="848"/>
      <c r="Q8" s="847"/>
      <c r="R8" s="855"/>
      <c r="S8" s="856"/>
      <c r="T8" s="845"/>
      <c r="U8" s="866"/>
      <c r="V8" s="863"/>
      <c r="W8" s="848">
        <v>12</v>
      </c>
      <c r="X8" s="724"/>
      <c r="Y8" s="877"/>
      <c r="Z8" s="876"/>
      <c r="AA8" s="877" t="s">
        <v>152</v>
      </c>
      <c r="AB8" s="858"/>
      <c r="AC8" s="845"/>
      <c r="AD8" s="846">
        <v>720</v>
      </c>
      <c r="AE8" s="847"/>
      <c r="AF8" s="847"/>
      <c r="AG8" s="724"/>
      <c r="AH8" s="848" t="s">
        <v>1077</v>
      </c>
      <c r="AI8" s="855"/>
      <c r="AJ8" s="859"/>
      <c r="AK8" s="867"/>
      <c r="AL8" s="853"/>
      <c r="AM8" s="846"/>
      <c r="AN8" s="847"/>
      <c r="AO8" s="847"/>
      <c r="AP8" s="724"/>
      <c r="AQ8" s="862"/>
      <c r="AR8" s="868"/>
      <c r="AS8" s="848"/>
      <c r="AT8" s="858"/>
    </row>
    <row r="9" spans="1:46" ht="51.75" customHeight="1" x14ac:dyDescent="0.4">
      <c r="A9" s="1524">
        <v>45781</v>
      </c>
      <c r="B9" s="936">
        <v>1</v>
      </c>
      <c r="C9" s="951"/>
      <c r="D9" s="952"/>
      <c r="E9" s="869"/>
      <c r="F9" s="841"/>
      <c r="G9" s="865"/>
      <c r="H9" s="849"/>
      <c r="I9" s="843"/>
      <c r="J9" s="858"/>
      <c r="K9" s="845"/>
      <c r="L9" s="846"/>
      <c r="M9" s="847"/>
      <c r="N9" s="847"/>
      <c r="O9" s="724"/>
      <c r="P9" s="848"/>
      <c r="Q9" s="847"/>
      <c r="R9" s="855"/>
      <c r="S9" s="858"/>
      <c r="T9" s="845"/>
      <c r="U9" s="866"/>
      <c r="V9" s="848"/>
      <c r="W9" s="847"/>
      <c r="X9" s="724"/>
      <c r="Y9" s="877"/>
      <c r="Z9" s="847"/>
      <c r="AA9" s="850"/>
      <c r="AB9" s="858"/>
      <c r="AC9" s="845"/>
      <c r="AD9" s="846">
        <v>720</v>
      </c>
      <c r="AE9" s="847"/>
      <c r="AF9" s="847"/>
      <c r="AG9" s="724"/>
      <c r="AH9" s="848" t="s">
        <v>1077</v>
      </c>
      <c r="AI9" s="847"/>
      <c r="AJ9" s="847"/>
      <c r="AK9" s="858"/>
      <c r="AL9" s="853"/>
      <c r="AM9" s="846"/>
      <c r="AN9" s="847"/>
      <c r="AO9" s="847"/>
      <c r="AP9" s="724"/>
      <c r="AQ9" s="862"/>
      <c r="AR9" s="863"/>
      <c r="AS9" s="848"/>
      <c r="AT9" s="870"/>
    </row>
    <row r="10" spans="1:46" ht="66" customHeight="1" x14ac:dyDescent="0.4">
      <c r="A10" s="1525"/>
      <c r="B10" s="936">
        <v>2</v>
      </c>
      <c r="C10" s="951"/>
      <c r="D10" s="953"/>
      <c r="E10" s="869"/>
      <c r="F10" s="841"/>
      <c r="G10" s="871"/>
      <c r="H10" s="872"/>
      <c r="I10" s="809"/>
      <c r="J10" s="858"/>
      <c r="K10" s="845"/>
      <c r="L10" s="846"/>
      <c r="M10" s="847"/>
      <c r="N10" s="847"/>
      <c r="O10" s="724"/>
      <c r="P10" s="848"/>
      <c r="Q10" s="847"/>
      <c r="R10" s="855"/>
      <c r="S10" s="858"/>
      <c r="T10" s="845"/>
      <c r="U10" s="846"/>
      <c r="V10" s="847"/>
      <c r="W10" s="847"/>
      <c r="X10" s="724"/>
      <c r="Y10" s="877"/>
      <c r="Z10" s="877"/>
      <c r="AA10" s="845"/>
      <c r="AB10" s="858"/>
      <c r="AC10" s="845"/>
      <c r="AD10" s="846">
        <v>720</v>
      </c>
      <c r="AE10" s="847"/>
      <c r="AF10" s="847"/>
      <c r="AG10" s="724"/>
      <c r="AH10" s="877" t="s">
        <v>1077</v>
      </c>
      <c r="AI10" s="855"/>
      <c r="AJ10" s="706"/>
      <c r="AK10" s="858"/>
      <c r="AL10" s="853"/>
      <c r="AM10" s="846">
        <v>6</v>
      </c>
      <c r="AN10" s="847"/>
      <c r="AO10" s="847"/>
      <c r="AP10" s="724"/>
      <c r="AQ10" s="862" t="s">
        <v>315</v>
      </c>
      <c r="AR10" s="873"/>
      <c r="AS10" s="848"/>
      <c r="AT10" s="858"/>
    </row>
    <row r="11" spans="1:46" ht="52.5" customHeight="1" x14ac:dyDescent="0.4">
      <c r="A11" s="1524">
        <v>45782</v>
      </c>
      <c r="B11" s="936">
        <v>1</v>
      </c>
      <c r="C11" s="951"/>
      <c r="D11" s="954"/>
      <c r="E11" s="869"/>
      <c r="F11" s="841"/>
      <c r="G11" s="874"/>
      <c r="H11" s="872"/>
      <c r="I11" s="809"/>
      <c r="J11" s="844"/>
      <c r="K11" s="845"/>
      <c r="L11" s="846"/>
      <c r="M11" s="847"/>
      <c r="N11" s="847"/>
      <c r="O11" s="724"/>
      <c r="P11" s="848"/>
      <c r="Q11" s="847"/>
      <c r="R11" s="855"/>
      <c r="S11" s="724"/>
      <c r="T11" s="845"/>
      <c r="U11" s="846"/>
      <c r="V11" s="847"/>
      <c r="W11" s="847"/>
      <c r="X11" s="724"/>
      <c r="Y11" s="877"/>
      <c r="Z11" s="847"/>
      <c r="AA11" s="850"/>
      <c r="AB11" s="724"/>
      <c r="AC11" s="845"/>
      <c r="AD11" s="846">
        <v>720</v>
      </c>
      <c r="AE11" s="847"/>
      <c r="AF11" s="847"/>
      <c r="AG11" s="724"/>
      <c r="AH11" s="848" t="s">
        <v>1077</v>
      </c>
      <c r="AI11" s="847"/>
      <c r="AJ11" s="850"/>
      <c r="AK11" s="724"/>
      <c r="AL11" s="853"/>
      <c r="AM11" s="846"/>
      <c r="AN11" s="847"/>
      <c r="AO11" s="847"/>
      <c r="AP11" s="724"/>
      <c r="AQ11" s="848"/>
      <c r="AR11" s="875"/>
      <c r="AS11" s="847"/>
      <c r="AT11" s="856"/>
    </row>
    <row r="12" spans="1:46" ht="65.25" customHeight="1" x14ac:dyDescent="0.4">
      <c r="A12" s="1525"/>
      <c r="B12" s="936">
        <v>2</v>
      </c>
      <c r="C12" s="949"/>
      <c r="D12" s="955"/>
      <c r="E12" s="840"/>
      <c r="F12" s="841"/>
      <c r="G12" s="865"/>
      <c r="H12" s="849"/>
      <c r="I12" s="809"/>
      <c r="J12" s="858"/>
      <c r="K12" s="845"/>
      <c r="L12" s="846"/>
      <c r="M12" s="847"/>
      <c r="N12" s="847"/>
      <c r="O12" s="724"/>
      <c r="P12" s="848"/>
      <c r="Q12" s="847"/>
      <c r="R12" s="855"/>
      <c r="S12" s="858"/>
      <c r="T12" s="845"/>
      <c r="U12" s="846"/>
      <c r="V12" s="847"/>
      <c r="W12" s="847"/>
      <c r="X12" s="724"/>
      <c r="Y12" s="877"/>
      <c r="Z12" s="706"/>
      <c r="AA12" s="850"/>
      <c r="AB12" s="858"/>
      <c r="AC12" s="845"/>
      <c r="AD12" s="846">
        <v>436</v>
      </c>
      <c r="AE12" s="847"/>
      <c r="AF12" s="847">
        <v>30</v>
      </c>
      <c r="AG12" s="724"/>
      <c r="AH12" s="848" t="s">
        <v>1077</v>
      </c>
      <c r="AI12" s="855"/>
      <c r="AJ12" s="855" t="s">
        <v>1095</v>
      </c>
      <c r="AK12" s="858"/>
      <c r="AL12" s="853"/>
      <c r="AM12" s="846"/>
      <c r="AN12" s="847"/>
      <c r="AO12" s="847"/>
      <c r="AP12" s="724"/>
      <c r="AQ12" s="848"/>
      <c r="AR12" s="847"/>
      <c r="AS12" s="855"/>
      <c r="AT12" s="858"/>
    </row>
    <row r="13" spans="1:46" ht="41.25" customHeight="1" x14ac:dyDescent="0.4">
      <c r="A13" s="1524">
        <v>45783</v>
      </c>
      <c r="B13" s="936">
        <v>1</v>
      </c>
      <c r="C13" s="949"/>
      <c r="D13" s="840"/>
      <c r="E13" s="840"/>
      <c r="F13" s="841"/>
      <c r="G13" s="865"/>
      <c r="H13" s="849"/>
      <c r="I13" s="843"/>
      <c r="J13" s="858"/>
      <c r="K13" s="845"/>
      <c r="L13" s="846"/>
      <c r="M13" s="847"/>
      <c r="N13" s="847"/>
      <c r="O13" s="841"/>
      <c r="P13" s="848"/>
      <c r="Q13" s="847"/>
      <c r="R13" s="847"/>
      <c r="S13" s="858"/>
      <c r="T13" s="845"/>
      <c r="U13" s="846"/>
      <c r="V13" s="847"/>
      <c r="W13" s="847"/>
      <c r="X13" s="841"/>
      <c r="Y13" s="877"/>
      <c r="Z13" s="855"/>
      <c r="AA13" s="850"/>
      <c r="AB13" s="858"/>
      <c r="AC13" s="845"/>
      <c r="AD13" s="846"/>
      <c r="AE13" s="847"/>
      <c r="AF13" s="847"/>
      <c r="AG13" s="841"/>
      <c r="AH13" s="848"/>
      <c r="AI13" s="847"/>
      <c r="AJ13" s="850"/>
      <c r="AK13" s="858"/>
      <c r="AL13" s="853"/>
      <c r="AM13" s="846"/>
      <c r="AN13" s="847"/>
      <c r="AO13" s="847"/>
      <c r="AP13" s="841"/>
      <c r="AQ13" s="848"/>
      <c r="AR13" s="847"/>
      <c r="AS13" s="706"/>
      <c r="AT13" s="858"/>
    </row>
    <row r="14" spans="1:46" ht="51" customHeight="1" x14ac:dyDescent="0.4">
      <c r="A14" s="1525"/>
      <c r="B14" s="936">
        <v>2</v>
      </c>
      <c r="C14" s="949">
        <v>271</v>
      </c>
      <c r="D14" s="840"/>
      <c r="E14" s="840"/>
      <c r="F14" s="841"/>
      <c r="G14" s="865" t="s">
        <v>583</v>
      </c>
      <c r="H14" s="706"/>
      <c r="I14" s="843"/>
      <c r="J14" s="858"/>
      <c r="K14" s="845"/>
      <c r="L14" s="846"/>
      <c r="M14" s="847"/>
      <c r="N14" s="847"/>
      <c r="O14" s="841"/>
      <c r="P14" s="877"/>
      <c r="Q14" s="847"/>
      <c r="R14" s="847"/>
      <c r="S14" s="858"/>
      <c r="T14" s="845"/>
      <c r="U14" s="846"/>
      <c r="V14" s="847"/>
      <c r="W14" s="847"/>
      <c r="X14" s="841"/>
      <c r="Y14" s="877"/>
      <c r="Z14" s="855"/>
      <c r="AA14" s="850"/>
      <c r="AB14" s="858"/>
      <c r="AC14" s="845"/>
      <c r="AD14" s="846">
        <v>87</v>
      </c>
      <c r="AE14" s="847"/>
      <c r="AF14" s="847"/>
      <c r="AG14" s="841"/>
      <c r="AH14" s="1526" t="s">
        <v>1035</v>
      </c>
      <c r="AI14" s="1527"/>
      <c r="AJ14" s="1528"/>
      <c r="AK14" s="858"/>
      <c r="AL14" s="853"/>
      <c r="AM14" s="846"/>
      <c r="AN14" s="847"/>
      <c r="AO14" s="878"/>
      <c r="AP14" s="879"/>
      <c r="AQ14" s="877"/>
      <c r="AR14" s="847"/>
      <c r="AS14" s="850"/>
      <c r="AT14" s="858"/>
    </row>
    <row r="15" spans="1:46" ht="57" customHeight="1" x14ac:dyDescent="0.4">
      <c r="A15" s="1524">
        <v>45784</v>
      </c>
      <c r="B15" s="936">
        <v>1</v>
      </c>
      <c r="C15" s="949"/>
      <c r="D15" s="934"/>
      <c r="E15" s="854"/>
      <c r="F15" s="880"/>
      <c r="G15" s="881"/>
      <c r="H15" s="882"/>
      <c r="I15" s="883"/>
      <c r="J15" s="880"/>
      <c r="K15" s="845"/>
      <c r="L15" s="884"/>
      <c r="M15" s="854"/>
      <c r="N15" s="854"/>
      <c r="O15" s="885"/>
      <c r="P15" s="886"/>
      <c r="Q15" s="882"/>
      <c r="R15" s="706"/>
      <c r="S15" s="858"/>
      <c r="T15" s="845"/>
      <c r="U15" s="846"/>
      <c r="V15" s="847"/>
      <c r="W15" s="847">
        <v>5</v>
      </c>
      <c r="X15" s="841"/>
      <c r="Y15" s="865"/>
      <c r="Z15" s="706"/>
      <c r="AA15" s="850" t="s">
        <v>388</v>
      </c>
      <c r="AB15" s="858"/>
      <c r="AC15" s="845"/>
      <c r="AD15" s="846"/>
      <c r="AE15" s="847"/>
      <c r="AF15" s="845"/>
      <c r="AG15" s="841"/>
      <c r="AH15" s="857"/>
      <c r="AI15" s="706"/>
      <c r="AJ15" s="855"/>
      <c r="AK15" s="858"/>
      <c r="AL15" s="853"/>
      <c r="AM15" s="846"/>
      <c r="AN15" s="847"/>
      <c r="AO15" s="887"/>
      <c r="AP15" s="888"/>
      <c r="AQ15" s="809"/>
      <c r="AR15" s="706"/>
      <c r="AS15" s="706"/>
      <c r="AT15" s="858"/>
    </row>
    <row r="16" spans="1:46" ht="63.75" customHeight="1" x14ac:dyDescent="0.4">
      <c r="A16" s="1525"/>
      <c r="B16" s="936">
        <v>2</v>
      </c>
      <c r="C16" s="951"/>
      <c r="D16" s="956"/>
      <c r="E16" s="889"/>
      <c r="F16" s="890"/>
      <c r="G16" s="891"/>
      <c r="H16" s="892"/>
      <c r="I16" s="893"/>
      <c r="J16" s="894"/>
      <c r="K16" s="895"/>
      <c r="L16" s="896">
        <v>102</v>
      </c>
      <c r="M16" s="897"/>
      <c r="N16" s="897"/>
      <c r="O16" s="890"/>
      <c r="P16" s="898" t="s">
        <v>113</v>
      </c>
      <c r="Q16" s="899"/>
      <c r="R16" s="900"/>
      <c r="S16" s="858"/>
      <c r="T16" s="845"/>
      <c r="U16" s="846"/>
      <c r="V16" s="847"/>
      <c r="W16" s="847"/>
      <c r="X16" s="841"/>
      <c r="Y16" s="901"/>
      <c r="Z16" s="872"/>
      <c r="AA16" s="902"/>
      <c r="AB16" s="858"/>
      <c r="AC16" s="845"/>
      <c r="AD16" s="846"/>
      <c r="AE16" s="847"/>
      <c r="AF16" s="847"/>
      <c r="AG16" s="841"/>
      <c r="AH16" s="903"/>
      <c r="AI16" s="872"/>
      <c r="AJ16" s="900"/>
      <c r="AK16" s="858"/>
      <c r="AL16" s="853"/>
      <c r="AM16" s="846">
        <v>363</v>
      </c>
      <c r="AN16" s="847"/>
      <c r="AO16" s="847"/>
      <c r="AP16" s="841"/>
      <c r="AQ16" s="904" t="s">
        <v>1077</v>
      </c>
      <c r="AR16" s="872"/>
      <c r="AS16" s="900"/>
      <c r="AT16" s="858"/>
    </row>
    <row r="17" spans="1:46" ht="41.25" customHeight="1" x14ac:dyDescent="0.4">
      <c r="A17" s="1524">
        <v>45785</v>
      </c>
      <c r="B17" s="937">
        <v>1</v>
      </c>
      <c r="C17" s="949"/>
      <c r="D17" s="957"/>
      <c r="E17" s="905"/>
      <c r="F17" s="906"/>
      <c r="G17" s="907"/>
      <c r="H17" s="908"/>
      <c r="I17" s="909"/>
      <c r="J17" s="910"/>
      <c r="K17" s="845"/>
      <c r="L17" s="911"/>
      <c r="M17" s="875"/>
      <c r="N17" s="875"/>
      <c r="O17" s="906"/>
      <c r="P17" s="907"/>
      <c r="Q17" s="908"/>
      <c r="R17" s="706"/>
      <c r="S17" s="858"/>
      <c r="T17" s="845"/>
      <c r="U17" s="846"/>
      <c r="V17" s="847"/>
      <c r="W17" s="847"/>
      <c r="X17" s="841"/>
      <c r="Y17" s="865"/>
      <c r="Z17" s="849"/>
      <c r="AA17" s="902"/>
      <c r="AB17" s="858"/>
      <c r="AC17" s="845"/>
      <c r="AD17" s="846"/>
      <c r="AE17" s="847"/>
      <c r="AF17" s="847"/>
      <c r="AG17" s="841"/>
      <c r="AH17" s="857"/>
      <c r="AI17" s="849"/>
      <c r="AJ17" s="706"/>
      <c r="AK17" s="858"/>
      <c r="AL17" s="853"/>
      <c r="AM17" s="846"/>
      <c r="AN17" s="847"/>
      <c r="AO17" s="878"/>
      <c r="AP17" s="888"/>
      <c r="AQ17" s="902"/>
      <c r="AR17" s="706"/>
      <c r="AS17" s="850"/>
      <c r="AT17" s="858"/>
    </row>
    <row r="18" spans="1:46" ht="64.5" customHeight="1" x14ac:dyDescent="0.4">
      <c r="A18" s="1525"/>
      <c r="B18" s="936">
        <v>2</v>
      </c>
      <c r="C18" s="949"/>
      <c r="D18" s="840"/>
      <c r="E18" s="840">
        <v>6</v>
      </c>
      <c r="F18" s="841"/>
      <c r="G18" s="865"/>
      <c r="H18" s="912"/>
      <c r="I18" s="843" t="s">
        <v>388</v>
      </c>
      <c r="J18" s="858"/>
      <c r="K18" s="845"/>
      <c r="L18" s="846"/>
      <c r="M18" s="847"/>
      <c r="N18" s="847"/>
      <c r="O18" s="841"/>
      <c r="P18" s="865"/>
      <c r="Q18" s="706"/>
      <c r="R18" s="843"/>
      <c r="S18" s="858"/>
      <c r="T18" s="845"/>
      <c r="U18" s="846"/>
      <c r="V18" s="847">
        <v>15</v>
      </c>
      <c r="W18" s="840"/>
      <c r="X18" s="841"/>
      <c r="Y18" s="865"/>
      <c r="Z18" s="706" t="s">
        <v>276</v>
      </c>
      <c r="AA18" s="850"/>
      <c r="AB18" s="858"/>
      <c r="AC18" s="845"/>
      <c r="AD18" s="846"/>
      <c r="AE18" s="847"/>
      <c r="AF18" s="847"/>
      <c r="AG18" s="841"/>
      <c r="AH18" s="865"/>
      <c r="AI18" s="706"/>
      <c r="AJ18" s="849"/>
      <c r="AK18" s="858"/>
      <c r="AL18" s="853"/>
      <c r="AM18" s="846"/>
      <c r="AN18" s="847"/>
      <c r="AO18" s="878"/>
      <c r="AP18" s="879"/>
      <c r="AQ18" s="913"/>
      <c r="AR18" s="872"/>
      <c r="AS18" s="914"/>
      <c r="AT18" s="858"/>
    </row>
    <row r="19" spans="1:46" ht="50.25" customHeight="1" x14ac:dyDescent="0.4">
      <c r="A19" s="1524">
        <v>45786</v>
      </c>
      <c r="B19" s="936">
        <v>1</v>
      </c>
      <c r="C19" s="845"/>
      <c r="D19" s="840">
        <v>62</v>
      </c>
      <c r="E19" s="840"/>
      <c r="F19" s="841"/>
      <c r="G19" s="915"/>
      <c r="H19" s="858" t="s">
        <v>1071</v>
      </c>
      <c r="I19" s="809"/>
      <c r="J19" s="858"/>
      <c r="K19" s="845"/>
      <c r="L19" s="846"/>
      <c r="M19" s="847">
        <v>61</v>
      </c>
      <c r="N19" s="847"/>
      <c r="O19" s="841"/>
      <c r="P19" s="846"/>
      <c r="Q19" s="858" t="s">
        <v>1071</v>
      </c>
      <c r="R19" s="847"/>
      <c r="S19" s="858"/>
      <c r="T19" s="845"/>
      <c r="U19" s="846"/>
      <c r="V19" s="847">
        <v>65</v>
      </c>
      <c r="W19" s="847"/>
      <c r="X19" s="841"/>
      <c r="Y19" s="846"/>
      <c r="Z19" s="855" t="s">
        <v>1071</v>
      </c>
      <c r="AA19" s="902"/>
      <c r="AB19" s="858"/>
      <c r="AC19" s="845"/>
      <c r="AD19" s="846">
        <v>37</v>
      </c>
      <c r="AE19" s="847">
        <v>67</v>
      </c>
      <c r="AF19" s="847"/>
      <c r="AG19" s="841"/>
      <c r="AH19" s="846" t="s">
        <v>997</v>
      </c>
      <c r="AI19" s="855" t="s">
        <v>1071</v>
      </c>
      <c r="AJ19" s="850"/>
      <c r="AK19" s="858"/>
      <c r="AL19" s="853"/>
      <c r="AM19" s="846"/>
      <c r="AN19" s="847">
        <v>67</v>
      </c>
      <c r="AO19" s="847"/>
      <c r="AP19" s="841"/>
      <c r="AQ19" s="846"/>
      <c r="AR19" s="855" t="s">
        <v>1071</v>
      </c>
      <c r="AS19" s="706"/>
      <c r="AT19" s="858"/>
    </row>
    <row r="20" spans="1:46" ht="65.25" customHeight="1" x14ac:dyDescent="0.4">
      <c r="A20" s="1525"/>
      <c r="B20" s="936">
        <v>2</v>
      </c>
      <c r="C20" s="949"/>
      <c r="D20" s="840"/>
      <c r="E20" s="840"/>
      <c r="F20" s="841"/>
      <c r="G20" s="915"/>
      <c r="H20" s="855"/>
      <c r="I20" s="809"/>
      <c r="J20" s="858"/>
      <c r="K20" s="845"/>
      <c r="L20" s="846">
        <v>551</v>
      </c>
      <c r="M20" s="847"/>
      <c r="N20" s="847"/>
      <c r="O20" s="841"/>
      <c r="P20" s="915" t="s">
        <v>1096</v>
      </c>
      <c r="Q20" s="855"/>
      <c r="R20" s="843"/>
      <c r="S20" s="858"/>
      <c r="T20" s="845"/>
      <c r="U20" s="846"/>
      <c r="V20" s="847">
        <v>13</v>
      </c>
      <c r="W20" s="847">
        <v>18</v>
      </c>
      <c r="X20" s="841"/>
      <c r="Y20" s="915"/>
      <c r="Z20" s="855" t="s">
        <v>1098</v>
      </c>
      <c r="AA20" s="706" t="s">
        <v>1097</v>
      </c>
      <c r="AB20" s="858"/>
      <c r="AC20" s="845"/>
      <c r="AD20" s="846"/>
      <c r="AE20" s="847"/>
      <c r="AF20" s="847"/>
      <c r="AG20" s="841"/>
      <c r="AH20" s="915"/>
      <c r="AI20" s="855"/>
      <c r="AJ20" s="843"/>
      <c r="AK20" s="858"/>
      <c r="AL20" s="853"/>
      <c r="AM20" s="846"/>
      <c r="AN20" s="847"/>
      <c r="AO20" s="847"/>
      <c r="AP20" s="841"/>
      <c r="AQ20" s="915"/>
      <c r="AR20" s="855"/>
      <c r="AS20" s="843"/>
      <c r="AT20" s="858"/>
    </row>
    <row r="21" spans="1:46" ht="43.5" customHeight="1" x14ac:dyDescent="0.4">
      <c r="A21" s="1524">
        <v>45787</v>
      </c>
      <c r="B21" s="936">
        <v>1</v>
      </c>
      <c r="C21" s="949"/>
      <c r="D21" s="840"/>
      <c r="E21" s="840"/>
      <c r="F21" s="841"/>
      <c r="G21" s="916"/>
      <c r="H21" s="849"/>
      <c r="I21" s="809"/>
      <c r="J21" s="917"/>
      <c r="K21" s="845"/>
      <c r="L21" s="846">
        <v>42</v>
      </c>
      <c r="M21" s="847"/>
      <c r="N21" s="847"/>
      <c r="O21" s="841"/>
      <c r="P21" s="846" t="s">
        <v>1100</v>
      </c>
      <c r="Q21" s="855"/>
      <c r="R21" s="847"/>
      <c r="S21" s="917"/>
      <c r="T21" s="845"/>
      <c r="U21" s="846"/>
      <c r="V21" s="847">
        <v>210</v>
      </c>
      <c r="W21" s="847"/>
      <c r="X21" s="841"/>
      <c r="Y21" s="915"/>
      <c r="Z21" s="847" t="s">
        <v>1099</v>
      </c>
      <c r="AA21" s="706"/>
      <c r="AB21" s="917"/>
      <c r="AC21" s="845"/>
      <c r="AD21" s="846"/>
      <c r="AE21" s="847"/>
      <c r="AF21" s="847"/>
      <c r="AG21" s="841"/>
      <c r="AH21" s="846"/>
      <c r="AI21" s="847"/>
      <c r="AJ21" s="850"/>
      <c r="AK21" s="917"/>
      <c r="AL21" s="853"/>
      <c r="AM21" s="846"/>
      <c r="AN21" s="847"/>
      <c r="AO21" s="847"/>
      <c r="AP21" s="841"/>
      <c r="AQ21" s="846"/>
      <c r="AR21" s="855"/>
      <c r="AS21" s="850"/>
      <c r="AT21" s="917"/>
    </row>
    <row r="22" spans="1:46" ht="66" customHeight="1" x14ac:dyDescent="0.4">
      <c r="A22" s="1525"/>
      <c r="B22" s="936">
        <v>2</v>
      </c>
      <c r="C22" s="949"/>
      <c r="D22" s="840"/>
      <c r="E22" s="840"/>
      <c r="F22" s="841">
        <v>10</v>
      </c>
      <c r="G22" s="918"/>
      <c r="H22" s="706"/>
      <c r="I22" s="843"/>
      <c r="J22" s="858" t="s">
        <v>1101</v>
      </c>
      <c r="K22" s="845"/>
      <c r="L22" s="846"/>
      <c r="M22" s="847"/>
      <c r="N22" s="847"/>
      <c r="O22" s="841"/>
      <c r="P22" s="877"/>
      <c r="Q22" s="706"/>
      <c r="R22" s="847"/>
      <c r="S22" s="858"/>
      <c r="T22" s="845"/>
      <c r="U22" s="846"/>
      <c r="V22" s="847"/>
      <c r="W22" s="847"/>
      <c r="X22" s="841">
        <v>10</v>
      </c>
      <c r="Y22" s="915"/>
      <c r="Z22" s="706"/>
      <c r="AA22" s="850"/>
      <c r="AB22" s="858" t="s">
        <v>1101</v>
      </c>
      <c r="AC22" s="845"/>
      <c r="AD22" s="846"/>
      <c r="AE22" s="847"/>
      <c r="AF22" s="847"/>
      <c r="AG22" s="841"/>
      <c r="AH22" s="846"/>
      <c r="AI22" s="847"/>
      <c r="AJ22" s="859"/>
      <c r="AK22" s="867"/>
      <c r="AL22" s="853"/>
      <c r="AM22" s="846"/>
      <c r="AN22" s="847"/>
      <c r="AO22" s="847"/>
      <c r="AP22" s="841"/>
      <c r="AQ22" s="846"/>
      <c r="AR22" s="706"/>
      <c r="AS22" s="919"/>
      <c r="AT22" s="858"/>
    </row>
    <row r="23" spans="1:46" ht="51.75" customHeight="1" x14ac:dyDescent="0.4">
      <c r="A23" s="1524">
        <v>45788</v>
      </c>
      <c r="B23" s="937">
        <v>1</v>
      </c>
      <c r="C23" s="960"/>
      <c r="D23" s="961"/>
      <c r="E23" s="961"/>
      <c r="F23" s="962"/>
      <c r="G23" s="963"/>
      <c r="H23" s="964"/>
      <c r="I23" s="974"/>
      <c r="J23" s="966"/>
      <c r="K23" s="967"/>
      <c r="L23" s="968"/>
      <c r="M23" s="969"/>
      <c r="N23" s="969"/>
      <c r="O23" s="962"/>
      <c r="P23" s="963"/>
      <c r="Q23" s="964"/>
      <c r="R23" s="972"/>
      <c r="S23" s="966"/>
      <c r="T23" s="967"/>
      <c r="U23" s="968"/>
      <c r="V23" s="969"/>
      <c r="W23" s="969"/>
      <c r="X23" s="962"/>
      <c r="Y23" s="970"/>
      <c r="Z23" s="965"/>
      <c r="AA23" s="975"/>
      <c r="AB23" s="966"/>
      <c r="AC23" s="967"/>
      <c r="AD23" s="968"/>
      <c r="AE23" s="969"/>
      <c r="AF23" s="976"/>
      <c r="AG23" s="962"/>
      <c r="AH23" s="968"/>
      <c r="AI23" s="964"/>
      <c r="AJ23" s="977"/>
      <c r="AK23" s="978"/>
      <c r="AL23" s="973"/>
      <c r="AM23" s="968"/>
      <c r="AN23" s="969"/>
      <c r="AO23" s="969"/>
      <c r="AP23" s="962"/>
      <c r="AQ23" s="969"/>
      <c r="AR23" s="964"/>
      <c r="AS23" s="979"/>
      <c r="AT23" s="966"/>
    </row>
    <row r="24" spans="1:46" ht="66.75" customHeight="1" x14ac:dyDescent="0.4">
      <c r="A24" s="1525"/>
      <c r="B24" s="936">
        <v>2</v>
      </c>
      <c r="C24" s="949"/>
      <c r="D24" s="840"/>
      <c r="E24" s="840"/>
      <c r="F24" s="841"/>
      <c r="G24" s="857"/>
      <c r="H24" s="706"/>
      <c r="I24" s="809"/>
      <c r="J24" s="858"/>
      <c r="K24" s="845"/>
      <c r="L24" s="846"/>
      <c r="M24" s="847"/>
      <c r="N24" s="847"/>
      <c r="O24" s="841"/>
      <c r="P24" s="857"/>
      <c r="Q24" s="849"/>
      <c r="R24" s="706"/>
      <c r="S24" s="858"/>
      <c r="T24" s="920"/>
      <c r="U24" s="848"/>
      <c r="V24" s="921"/>
      <c r="W24" s="902" t="s">
        <v>1102</v>
      </c>
      <c r="X24" s="841"/>
      <c r="Y24" s="843"/>
      <c r="Z24" s="849"/>
      <c r="AA24" s="850" t="s">
        <v>1103</v>
      </c>
      <c r="AB24" s="858"/>
      <c r="AC24" s="845"/>
      <c r="AD24" s="846"/>
      <c r="AE24" s="847"/>
      <c r="AF24" s="848"/>
      <c r="AG24" s="841"/>
      <c r="AH24" s="843"/>
      <c r="AI24" s="849"/>
      <c r="AJ24" s="706"/>
      <c r="AK24" s="858"/>
      <c r="AL24" s="853"/>
      <c r="AM24" s="846"/>
      <c r="AN24" s="847"/>
      <c r="AO24" s="847"/>
      <c r="AP24" s="841"/>
      <c r="AQ24" s="849"/>
      <c r="AR24" s="849"/>
      <c r="AS24" s="858"/>
      <c r="AT24" s="858"/>
    </row>
    <row r="25" spans="1:46" ht="43.5" customHeight="1" x14ac:dyDescent="0.4">
      <c r="A25" s="1524">
        <v>45789</v>
      </c>
      <c r="B25" s="936">
        <v>1</v>
      </c>
      <c r="C25" s="960"/>
      <c r="D25" s="961"/>
      <c r="E25" s="961"/>
      <c r="F25" s="962"/>
      <c r="G25" s="963"/>
      <c r="H25" s="964"/>
      <c r="I25" s="965"/>
      <c r="J25" s="966"/>
      <c r="K25" s="967"/>
      <c r="L25" s="968"/>
      <c r="M25" s="969"/>
      <c r="N25" s="969"/>
      <c r="O25" s="962"/>
      <c r="P25" s="968"/>
      <c r="Q25" s="964"/>
      <c r="R25" s="969"/>
      <c r="S25" s="966"/>
      <c r="T25" s="967"/>
      <c r="U25" s="968"/>
      <c r="V25" s="969"/>
      <c r="W25" s="969"/>
      <c r="X25" s="962"/>
      <c r="Y25" s="970"/>
      <c r="Z25" s="971"/>
      <c r="AA25" s="972"/>
      <c r="AB25" s="966"/>
      <c r="AC25" s="967"/>
      <c r="AD25" s="968"/>
      <c r="AE25" s="969"/>
      <c r="AF25" s="969"/>
      <c r="AG25" s="962"/>
      <c r="AH25" s="969"/>
      <c r="AI25" s="971"/>
      <c r="AJ25" s="972"/>
      <c r="AK25" s="966"/>
      <c r="AL25" s="973"/>
      <c r="AM25" s="968"/>
      <c r="AN25" s="969"/>
      <c r="AO25" s="969"/>
      <c r="AP25" s="962"/>
      <c r="AQ25" s="969"/>
      <c r="AR25" s="969"/>
      <c r="AS25" s="972"/>
      <c r="AT25" s="966"/>
    </row>
    <row r="26" spans="1:46" ht="64.5" customHeight="1" x14ac:dyDescent="0.4">
      <c r="A26" s="1525"/>
      <c r="B26" s="936">
        <v>2</v>
      </c>
      <c r="C26" s="949"/>
      <c r="D26" s="840"/>
      <c r="E26" s="840"/>
      <c r="F26" s="841"/>
      <c r="G26" s="857"/>
      <c r="H26" s="706"/>
      <c r="I26" s="843"/>
      <c r="J26" s="858"/>
      <c r="K26" s="845"/>
      <c r="L26" s="846"/>
      <c r="M26" s="847"/>
      <c r="N26" s="847"/>
      <c r="O26" s="841"/>
      <c r="P26" s="857"/>
      <c r="Q26" s="706"/>
      <c r="R26" s="864"/>
      <c r="S26" s="858"/>
      <c r="T26" s="845"/>
      <c r="U26" s="846"/>
      <c r="V26" s="840"/>
      <c r="W26" s="847">
        <v>23</v>
      </c>
      <c r="X26" s="841"/>
      <c r="Y26" s="843"/>
      <c r="Z26" s="706"/>
      <c r="AA26" s="850" t="s">
        <v>1103</v>
      </c>
      <c r="AB26" s="858"/>
      <c r="AC26" s="845"/>
      <c r="AD26" s="846"/>
      <c r="AE26" s="840"/>
      <c r="AF26" s="847"/>
      <c r="AG26" s="841"/>
      <c r="AH26" s="843"/>
      <c r="AI26" s="706"/>
      <c r="AJ26" s="706"/>
      <c r="AK26" s="858"/>
      <c r="AL26" s="853"/>
      <c r="AM26" s="846"/>
      <c r="AN26" s="840"/>
      <c r="AO26" s="847"/>
      <c r="AP26" s="841"/>
      <c r="AQ26" s="857"/>
      <c r="AR26" s="706"/>
      <c r="AS26" s="706"/>
      <c r="AT26" s="858"/>
    </row>
    <row r="27" spans="1:46" ht="42" customHeight="1" x14ac:dyDescent="0.4">
      <c r="A27" s="1524">
        <v>45790</v>
      </c>
      <c r="B27" s="937">
        <v>1</v>
      </c>
      <c r="C27" s="960"/>
      <c r="D27" s="961"/>
      <c r="E27" s="961"/>
      <c r="F27" s="962"/>
      <c r="G27" s="963"/>
      <c r="H27" s="964"/>
      <c r="I27" s="974"/>
      <c r="J27" s="966"/>
      <c r="K27" s="967"/>
      <c r="L27" s="968"/>
      <c r="M27" s="969"/>
      <c r="N27" s="969"/>
      <c r="O27" s="962"/>
      <c r="P27" s="963"/>
      <c r="Q27" s="964"/>
      <c r="R27" s="972"/>
      <c r="S27" s="966"/>
      <c r="T27" s="967"/>
      <c r="U27" s="968"/>
      <c r="V27" s="969"/>
      <c r="W27" s="969"/>
      <c r="X27" s="962"/>
      <c r="Y27" s="963"/>
      <c r="Z27" s="972"/>
      <c r="AA27" s="975"/>
      <c r="AB27" s="966"/>
      <c r="AC27" s="967"/>
      <c r="AD27" s="968"/>
      <c r="AE27" s="969"/>
      <c r="AF27" s="969"/>
      <c r="AG27" s="962"/>
      <c r="AH27" s="963"/>
      <c r="AI27" s="971"/>
      <c r="AJ27" s="972"/>
      <c r="AK27" s="966"/>
      <c r="AL27" s="973"/>
      <c r="AM27" s="968"/>
      <c r="AN27" s="969"/>
      <c r="AO27" s="969"/>
      <c r="AP27" s="962"/>
      <c r="AQ27" s="971"/>
      <c r="AR27" s="969"/>
      <c r="AS27" s="972"/>
      <c r="AT27" s="966"/>
    </row>
    <row r="28" spans="1:46" ht="66" customHeight="1" x14ac:dyDescent="0.4">
      <c r="A28" s="1525"/>
      <c r="B28" s="937">
        <v>2</v>
      </c>
      <c r="C28" s="960"/>
      <c r="D28" s="961"/>
      <c r="E28" s="961"/>
      <c r="F28" s="962"/>
      <c r="G28" s="972"/>
      <c r="H28" s="972"/>
      <c r="I28" s="979"/>
      <c r="J28" s="966"/>
      <c r="K28" s="967"/>
      <c r="L28" s="968"/>
      <c r="M28" s="969"/>
      <c r="N28" s="969"/>
      <c r="O28" s="962"/>
      <c r="P28" s="972"/>
      <c r="Q28" s="972"/>
      <c r="R28" s="972"/>
      <c r="S28" s="966"/>
      <c r="T28" s="967"/>
      <c r="U28" s="968"/>
      <c r="V28" s="969"/>
      <c r="W28" s="967"/>
      <c r="X28" s="962"/>
      <c r="Y28" s="972"/>
      <c r="Z28" s="969"/>
      <c r="AA28" s="980"/>
      <c r="AB28" s="966"/>
      <c r="AC28" s="967"/>
      <c r="AD28" s="968"/>
      <c r="AE28" s="969"/>
      <c r="AF28" s="969"/>
      <c r="AG28" s="962"/>
      <c r="AH28" s="963"/>
      <c r="AI28" s="971"/>
      <c r="AJ28" s="980"/>
      <c r="AK28" s="966"/>
      <c r="AL28" s="973"/>
      <c r="AM28" s="968"/>
      <c r="AN28" s="969"/>
      <c r="AO28" s="969"/>
      <c r="AP28" s="962"/>
      <c r="AQ28" s="971"/>
      <c r="AR28" s="969"/>
      <c r="AS28" s="972"/>
      <c r="AT28" s="966"/>
    </row>
    <row r="29" spans="1:46" ht="45" customHeight="1" x14ac:dyDescent="0.4">
      <c r="A29" s="1524">
        <v>45791</v>
      </c>
      <c r="B29" s="936">
        <v>1</v>
      </c>
      <c r="C29" s="960"/>
      <c r="D29" s="961"/>
      <c r="E29" s="961"/>
      <c r="F29" s="962"/>
      <c r="G29" s="972"/>
      <c r="H29" s="964"/>
      <c r="I29" s="979"/>
      <c r="J29" s="966"/>
      <c r="K29" s="967"/>
      <c r="L29" s="968"/>
      <c r="M29" s="969"/>
      <c r="N29" s="969"/>
      <c r="O29" s="962"/>
      <c r="P29" s="963"/>
      <c r="Q29" s="972"/>
      <c r="R29" s="972"/>
      <c r="S29" s="966"/>
      <c r="T29" s="967"/>
      <c r="U29" s="968"/>
      <c r="V29" s="969"/>
      <c r="W29" s="969"/>
      <c r="X29" s="962"/>
      <c r="Y29" s="972"/>
      <c r="Z29" s="964"/>
      <c r="AA29" s="980"/>
      <c r="AB29" s="966"/>
      <c r="AC29" s="967"/>
      <c r="AD29" s="968"/>
      <c r="AE29" s="969"/>
      <c r="AF29" s="969"/>
      <c r="AG29" s="962"/>
      <c r="AH29" s="963"/>
      <c r="AI29" s="964"/>
      <c r="AJ29" s="969"/>
      <c r="AK29" s="966"/>
      <c r="AL29" s="973"/>
      <c r="AM29" s="968"/>
      <c r="AN29" s="969"/>
      <c r="AO29" s="969"/>
      <c r="AP29" s="969"/>
      <c r="AQ29" s="971"/>
      <c r="AR29" s="964"/>
      <c r="AS29" s="981"/>
      <c r="AT29" s="966"/>
    </row>
    <row r="30" spans="1:46" ht="43.5" customHeight="1" x14ac:dyDescent="0.4">
      <c r="A30" s="1525"/>
      <c r="B30" s="937">
        <v>2</v>
      </c>
      <c r="C30" s="960"/>
      <c r="D30" s="961"/>
      <c r="E30" s="961"/>
      <c r="F30" s="962"/>
      <c r="G30" s="972"/>
      <c r="H30" s="964"/>
      <c r="I30" s="980"/>
      <c r="J30" s="966"/>
      <c r="K30" s="967"/>
      <c r="L30" s="968"/>
      <c r="M30" s="969"/>
      <c r="N30" s="969"/>
      <c r="O30" s="962"/>
      <c r="P30" s="963"/>
      <c r="Q30" s="972"/>
      <c r="R30" s="972"/>
      <c r="S30" s="966"/>
      <c r="T30" s="967"/>
      <c r="U30" s="968"/>
      <c r="V30" s="969"/>
      <c r="W30" s="969"/>
      <c r="X30" s="962"/>
      <c r="Y30" s="972"/>
      <c r="Z30" s="982"/>
      <c r="AA30" s="983"/>
      <c r="AB30" s="966"/>
      <c r="AC30" s="967"/>
      <c r="AD30" s="968"/>
      <c r="AE30" s="969"/>
      <c r="AF30" s="969"/>
      <c r="AG30" s="962"/>
      <c r="AH30" s="963"/>
      <c r="AI30" s="972"/>
      <c r="AJ30" s="969"/>
      <c r="AK30" s="966"/>
      <c r="AL30" s="973"/>
      <c r="AM30" s="968"/>
      <c r="AN30" s="969"/>
      <c r="AO30" s="969"/>
      <c r="AP30" s="969"/>
      <c r="AQ30" s="984"/>
      <c r="AR30" s="964"/>
      <c r="AS30" s="981"/>
      <c r="AT30" s="985"/>
    </row>
    <row r="31" spans="1:46" ht="48" customHeight="1" x14ac:dyDescent="0.4">
      <c r="A31" s="1524">
        <v>45792</v>
      </c>
      <c r="B31" s="692">
        <v>1</v>
      </c>
      <c r="C31" s="960"/>
      <c r="D31" s="961"/>
      <c r="E31" s="961"/>
      <c r="F31" s="962"/>
      <c r="G31" s="963"/>
      <c r="H31" s="986"/>
      <c r="I31" s="987"/>
      <c r="J31" s="966"/>
      <c r="K31" s="967"/>
      <c r="L31" s="968"/>
      <c r="M31" s="969"/>
      <c r="N31" s="969"/>
      <c r="O31" s="962"/>
      <c r="P31" s="976"/>
      <c r="Q31" s="969"/>
      <c r="R31" s="969"/>
      <c r="S31" s="966"/>
      <c r="T31" s="967"/>
      <c r="U31" s="968"/>
      <c r="V31" s="969"/>
      <c r="W31" s="969"/>
      <c r="X31" s="962"/>
      <c r="Y31" s="988"/>
      <c r="Z31" s="989"/>
      <c r="AA31" s="983"/>
      <c r="AB31" s="978"/>
      <c r="AC31" s="967"/>
      <c r="AD31" s="968"/>
      <c r="AE31" s="969"/>
      <c r="AF31" s="969"/>
      <c r="AG31" s="962"/>
      <c r="AH31" s="963"/>
      <c r="AI31" s="969"/>
      <c r="AJ31" s="969"/>
      <c r="AK31" s="960"/>
      <c r="AL31" s="961"/>
      <c r="AM31" s="961"/>
      <c r="AN31" s="962"/>
      <c r="AO31" s="963"/>
      <c r="AP31" s="986"/>
      <c r="AQ31" s="987"/>
      <c r="AR31" s="966"/>
      <c r="AS31" s="967"/>
      <c r="AT31" s="968"/>
    </row>
    <row r="32" spans="1:46" ht="44.25" customHeight="1" x14ac:dyDescent="0.4">
      <c r="A32" s="1525"/>
      <c r="B32" s="692">
        <v>2</v>
      </c>
      <c r="C32" s="958"/>
      <c r="D32" s="869"/>
      <c r="E32" s="921"/>
      <c r="F32" s="869"/>
      <c r="G32" s="857"/>
      <c r="H32" s="859"/>
      <c r="I32" s="922"/>
      <c r="J32" s="858"/>
      <c r="K32" s="845"/>
      <c r="L32" s="846"/>
      <c r="M32" s="847"/>
      <c r="N32" s="847"/>
      <c r="O32" s="847"/>
      <c r="P32" s="848"/>
      <c r="Q32" s="859"/>
      <c r="R32" s="848"/>
      <c r="S32" s="858"/>
      <c r="T32" s="845"/>
      <c r="U32" s="846"/>
      <c r="V32" s="847"/>
      <c r="W32" s="840">
        <v>19</v>
      </c>
      <c r="X32" s="847"/>
      <c r="Y32" s="903"/>
      <c r="Z32" s="923"/>
      <c r="AA32" s="924" t="s">
        <v>1103</v>
      </c>
      <c r="AB32" s="867"/>
      <c r="AC32" s="845"/>
      <c r="AD32" s="846"/>
      <c r="AE32" s="847"/>
      <c r="AF32" s="840"/>
      <c r="AG32" s="847"/>
      <c r="AH32" s="857"/>
      <c r="AI32" s="859"/>
      <c r="AJ32" s="922"/>
      <c r="AK32" s="858"/>
      <c r="AL32" s="853"/>
      <c r="AM32" s="846"/>
      <c r="AN32" s="847"/>
      <c r="AO32" s="847"/>
      <c r="AP32" s="847"/>
      <c r="AQ32" s="848"/>
      <c r="AR32" s="849"/>
      <c r="AS32" s="809"/>
      <c r="AT32" s="856"/>
    </row>
    <row r="33" spans="1:46" ht="49.5" customHeight="1" x14ac:dyDescent="0.4">
      <c r="A33" s="1524">
        <v>45793</v>
      </c>
      <c r="B33" s="692">
        <v>1</v>
      </c>
      <c r="C33" s="960"/>
      <c r="D33" s="961"/>
      <c r="E33" s="961"/>
      <c r="F33" s="962"/>
      <c r="G33" s="963"/>
      <c r="H33" s="986"/>
      <c r="I33" s="987"/>
      <c r="J33" s="966"/>
      <c r="K33" s="967"/>
      <c r="L33" s="968"/>
      <c r="M33" s="969"/>
      <c r="N33" s="969"/>
      <c r="O33" s="962"/>
      <c r="P33" s="976"/>
      <c r="Q33" s="969"/>
      <c r="R33" s="969"/>
      <c r="S33" s="966"/>
      <c r="T33" s="967"/>
      <c r="U33" s="968"/>
      <c r="V33" s="969"/>
      <c r="W33" s="969"/>
      <c r="X33" s="962"/>
      <c r="Y33" s="976"/>
      <c r="Z33" s="990"/>
      <c r="AA33" s="991"/>
      <c r="AB33" s="966"/>
      <c r="AC33" s="967"/>
      <c r="AD33" s="968"/>
      <c r="AE33" s="969"/>
      <c r="AF33" s="969"/>
      <c r="AG33" s="962"/>
      <c r="AH33" s="976"/>
      <c r="AI33" s="992"/>
      <c r="AJ33" s="987"/>
      <c r="AK33" s="966"/>
      <c r="AL33" s="973"/>
      <c r="AM33" s="968"/>
      <c r="AN33" s="969"/>
      <c r="AO33" s="969"/>
      <c r="AP33" s="969"/>
      <c r="AQ33" s="976"/>
      <c r="AR33" s="992"/>
      <c r="AS33" s="976"/>
      <c r="AT33" s="966"/>
    </row>
    <row r="34" spans="1:46" ht="43.5" customHeight="1" x14ac:dyDescent="0.4">
      <c r="A34" s="1525"/>
      <c r="B34" s="717">
        <v>2</v>
      </c>
      <c r="C34" s="840"/>
      <c r="D34" s="840"/>
      <c r="E34" s="840"/>
      <c r="F34" s="841"/>
      <c r="G34" s="865"/>
      <c r="H34" s="706"/>
      <c r="I34" s="850"/>
      <c r="J34" s="858"/>
      <c r="K34" s="845"/>
      <c r="L34" s="846"/>
      <c r="M34" s="847"/>
      <c r="N34" s="847"/>
      <c r="O34" s="841"/>
      <c r="P34" s="848"/>
      <c r="Q34" s="706"/>
      <c r="R34" s="847"/>
      <c r="S34" s="858"/>
      <c r="T34" s="845"/>
      <c r="U34" s="846"/>
      <c r="V34" s="847"/>
      <c r="W34" s="847">
        <v>48</v>
      </c>
      <c r="X34" s="841"/>
      <c r="Y34" s="855"/>
      <c r="Z34" s="855"/>
      <c r="AA34" s="924" t="s">
        <v>1103</v>
      </c>
      <c r="AB34" s="858"/>
      <c r="AC34" s="845"/>
      <c r="AD34" s="846"/>
      <c r="AE34" s="847"/>
      <c r="AF34" s="847"/>
      <c r="AG34" s="841"/>
      <c r="AH34" s="848"/>
      <c r="AI34" s="847"/>
      <c r="AJ34" s="855"/>
      <c r="AK34" s="858"/>
      <c r="AL34" s="853"/>
      <c r="AM34" s="846"/>
      <c r="AN34" s="847"/>
      <c r="AO34" s="847"/>
      <c r="AP34" s="847"/>
      <c r="AQ34" s="848"/>
      <c r="AR34" s="925"/>
      <c r="AS34" s="706"/>
      <c r="AT34" s="858"/>
    </row>
    <row r="35" spans="1:46" ht="40.5" customHeight="1" x14ac:dyDescent="0.4">
      <c r="A35" s="1524">
        <v>45794</v>
      </c>
      <c r="B35" s="692">
        <v>1</v>
      </c>
      <c r="C35" s="840"/>
      <c r="D35" s="840"/>
      <c r="E35" s="919"/>
      <c r="F35" s="841"/>
      <c r="G35" s="915"/>
      <c r="H35" s="848"/>
      <c r="I35" s="850"/>
      <c r="J35" s="858"/>
      <c r="K35" s="845"/>
      <c r="L35" s="846"/>
      <c r="M35" s="847"/>
      <c r="N35" s="847"/>
      <c r="O35" s="841"/>
      <c r="P35" s="915"/>
      <c r="Q35" s="706"/>
      <c r="R35" s="706"/>
      <c r="S35" s="858"/>
      <c r="T35" s="845"/>
      <c r="U35" s="846"/>
      <c r="V35" s="847"/>
      <c r="W35" s="919">
        <v>11</v>
      </c>
      <c r="X35" s="841"/>
      <c r="Y35" s="915"/>
      <c r="Z35" s="855"/>
      <c r="AA35" s="850" t="s">
        <v>1103</v>
      </c>
      <c r="AB35" s="858"/>
      <c r="AC35" s="845"/>
      <c r="AD35" s="846"/>
      <c r="AE35" s="847"/>
      <c r="AF35" s="847"/>
      <c r="AG35" s="841"/>
      <c r="AH35" s="915"/>
      <c r="AI35" s="878"/>
      <c r="AJ35" s="809"/>
      <c r="AK35" s="858"/>
      <c r="AL35" s="853"/>
      <c r="AM35" s="846"/>
      <c r="AN35" s="847"/>
      <c r="AO35" s="847"/>
      <c r="AP35" s="847"/>
      <c r="AQ35" s="848"/>
      <c r="AR35" s="925"/>
      <c r="AS35" s="876"/>
      <c r="AT35" s="858"/>
    </row>
    <row r="36" spans="1:46" ht="65.25" customHeight="1" x14ac:dyDescent="0.4">
      <c r="A36" s="1525"/>
      <c r="B36" s="692">
        <v>2</v>
      </c>
      <c r="C36" s="919"/>
      <c r="D36" s="847">
        <v>39</v>
      </c>
      <c r="E36" s="919">
        <v>15</v>
      </c>
      <c r="F36" s="841"/>
      <c r="G36" s="864"/>
      <c r="H36" s="706" t="s">
        <v>1104</v>
      </c>
      <c r="I36" s="864" t="s">
        <v>1097</v>
      </c>
      <c r="J36" s="858"/>
      <c r="K36" s="845"/>
      <c r="L36" s="915">
        <v>60</v>
      </c>
      <c r="M36" s="847"/>
      <c r="N36" s="847"/>
      <c r="O36" s="841"/>
      <c r="P36" s="915" t="s">
        <v>1093</v>
      </c>
      <c r="Q36" s="706"/>
      <c r="R36" s="855"/>
      <c r="S36" s="858"/>
      <c r="T36" s="845"/>
      <c r="U36" s="846"/>
      <c r="V36" s="847"/>
      <c r="W36" s="847">
        <v>69</v>
      </c>
      <c r="X36" s="841"/>
      <c r="Y36" s="915"/>
      <c r="Z36" s="706"/>
      <c r="AA36" s="850" t="s">
        <v>1103</v>
      </c>
      <c r="AB36" s="858"/>
      <c r="AC36" s="845"/>
      <c r="AD36" s="846"/>
      <c r="AE36" s="847"/>
      <c r="AF36" s="919"/>
      <c r="AG36" s="841"/>
      <c r="AH36" s="915"/>
      <c r="AI36" s="925"/>
      <c r="AJ36" s="922"/>
      <c r="AK36" s="858"/>
      <c r="AL36" s="853"/>
      <c r="AM36" s="846"/>
      <c r="AN36" s="847"/>
      <c r="AO36" s="847"/>
      <c r="AP36" s="847"/>
      <c r="AQ36" s="848"/>
      <c r="AR36" s="925"/>
      <c r="AS36" s="877"/>
      <c r="AT36" s="858"/>
    </row>
    <row r="37" spans="1:46" ht="50.25" customHeight="1" x14ac:dyDescent="0.4">
      <c r="A37" s="1524">
        <v>45795</v>
      </c>
      <c r="B37" s="717">
        <v>1</v>
      </c>
      <c r="C37" s="919"/>
      <c r="D37" s="840"/>
      <c r="E37" s="919"/>
      <c r="F37" s="841">
        <v>68</v>
      </c>
      <c r="G37" s="864"/>
      <c r="H37" s="877"/>
      <c r="I37" s="843"/>
      <c r="J37" s="858" t="s">
        <v>1071</v>
      </c>
      <c r="K37" s="845"/>
      <c r="L37" s="846"/>
      <c r="M37" s="847"/>
      <c r="N37" s="847"/>
      <c r="O37" s="841">
        <v>68</v>
      </c>
      <c r="P37" s="848"/>
      <c r="Q37" s="706"/>
      <c r="R37" s="847"/>
      <c r="S37" s="858" t="s">
        <v>1071</v>
      </c>
      <c r="T37" s="845"/>
      <c r="U37" s="846"/>
      <c r="V37" s="847"/>
      <c r="W37" s="847">
        <v>16</v>
      </c>
      <c r="X37" s="841">
        <v>68</v>
      </c>
      <c r="Y37" s="848"/>
      <c r="Z37" s="855"/>
      <c r="AA37" s="850" t="s">
        <v>1103</v>
      </c>
      <c r="AB37" s="858" t="s">
        <v>1071</v>
      </c>
      <c r="AC37" s="845"/>
      <c r="AD37" s="846"/>
      <c r="AE37" s="847"/>
      <c r="AF37" s="847"/>
      <c r="AG37" s="841">
        <v>68</v>
      </c>
      <c r="AH37" s="877"/>
      <c r="AI37" s="847"/>
      <c r="AJ37" s="850"/>
      <c r="AK37" s="858" t="s">
        <v>1071</v>
      </c>
      <c r="AL37" s="853"/>
      <c r="AM37" s="846"/>
      <c r="AN37" s="847"/>
      <c r="AO37" s="847"/>
      <c r="AP37" s="847">
        <v>68</v>
      </c>
      <c r="AQ37" s="848"/>
      <c r="AR37" s="925"/>
      <c r="AS37" s="848"/>
      <c r="AT37" s="858" t="s">
        <v>1071</v>
      </c>
    </row>
    <row r="38" spans="1:46" ht="66" customHeight="1" x14ac:dyDescent="0.4">
      <c r="A38" s="1525"/>
      <c r="B38" s="692">
        <v>2</v>
      </c>
      <c r="C38" s="919"/>
      <c r="D38" s="840"/>
      <c r="E38" s="919">
        <v>55</v>
      </c>
      <c r="F38" s="841">
        <v>91</v>
      </c>
      <c r="G38" s="864"/>
      <c r="H38" s="877"/>
      <c r="I38" s="843" t="s">
        <v>1103</v>
      </c>
      <c r="J38" s="858" t="s">
        <v>1071</v>
      </c>
      <c r="K38" s="845"/>
      <c r="L38" s="846"/>
      <c r="M38" s="847"/>
      <c r="N38" s="847"/>
      <c r="O38" s="841">
        <v>135</v>
      </c>
      <c r="P38" s="877"/>
      <c r="Q38" s="877"/>
      <c r="R38" s="847"/>
      <c r="S38" s="858" t="s">
        <v>1071</v>
      </c>
      <c r="T38" s="845"/>
      <c r="U38" s="846"/>
      <c r="V38" s="847"/>
      <c r="W38" s="847">
        <v>22</v>
      </c>
      <c r="X38" s="841">
        <v>150</v>
      </c>
      <c r="Y38" s="877"/>
      <c r="Z38" s="855"/>
      <c r="AA38" s="850" t="s">
        <v>1103</v>
      </c>
      <c r="AB38" s="858" t="s">
        <v>1071</v>
      </c>
      <c r="AC38" s="845"/>
      <c r="AD38" s="846"/>
      <c r="AE38" s="847"/>
      <c r="AF38" s="847"/>
      <c r="AG38" s="841">
        <v>107</v>
      </c>
      <c r="AH38" s="877"/>
      <c r="AI38" s="847"/>
      <c r="AJ38" s="850"/>
      <c r="AK38" s="858" t="s">
        <v>1071</v>
      </c>
      <c r="AL38" s="853"/>
      <c r="AM38" s="846"/>
      <c r="AN38" s="847"/>
      <c r="AO38" s="847"/>
      <c r="AP38" s="847">
        <v>95</v>
      </c>
      <c r="AQ38" s="848"/>
      <c r="AR38" s="925"/>
      <c r="AS38" s="877"/>
      <c r="AT38" s="858" t="s">
        <v>1071</v>
      </c>
    </row>
    <row r="39" spans="1:46" ht="41.25" customHeight="1" x14ac:dyDescent="0.4">
      <c r="A39" s="1524">
        <v>45796</v>
      </c>
      <c r="B39" s="692">
        <v>1</v>
      </c>
      <c r="C39" s="919"/>
      <c r="D39" s="840"/>
      <c r="E39" s="840"/>
      <c r="F39" s="841"/>
      <c r="G39" s="864"/>
      <c r="H39" s="877"/>
      <c r="I39" s="843"/>
      <c r="J39" s="858"/>
      <c r="K39" s="845"/>
      <c r="L39" s="846"/>
      <c r="M39" s="847"/>
      <c r="N39" s="847"/>
      <c r="O39" s="841"/>
      <c r="P39" s="864"/>
      <c r="Q39" s="706"/>
      <c r="R39" s="847"/>
      <c r="S39" s="858"/>
      <c r="T39" s="845"/>
      <c r="U39" s="846"/>
      <c r="V39" s="847"/>
      <c r="W39" s="847">
        <v>20</v>
      </c>
      <c r="X39" s="841"/>
      <c r="Y39" s="848"/>
      <c r="Z39" s="706"/>
      <c r="AA39" s="850" t="s">
        <v>1103</v>
      </c>
      <c r="AB39" s="858"/>
      <c r="AC39" s="845"/>
      <c r="AD39" s="846"/>
      <c r="AE39" s="847"/>
      <c r="AF39" s="847"/>
      <c r="AG39" s="841"/>
      <c r="AH39" s="864"/>
      <c r="AI39" s="849"/>
      <c r="AJ39" s="850"/>
      <c r="AK39" s="858"/>
      <c r="AL39" s="853"/>
      <c r="AM39" s="846"/>
      <c r="AN39" s="847"/>
      <c r="AO39" s="847"/>
      <c r="AP39" s="847"/>
      <c r="AQ39" s="848"/>
      <c r="AR39" s="925"/>
      <c r="AS39" s="922"/>
      <c r="AT39" s="858"/>
    </row>
    <row r="40" spans="1:46" ht="49.5" customHeight="1" x14ac:dyDescent="0.4">
      <c r="A40" s="1525"/>
      <c r="B40" s="692">
        <v>2</v>
      </c>
      <c r="C40" s="840"/>
      <c r="D40" s="840"/>
      <c r="E40" s="840"/>
      <c r="F40" s="841"/>
      <c r="G40" s="864"/>
      <c r="H40" s="877"/>
      <c r="I40" s="843"/>
      <c r="J40" s="858"/>
      <c r="K40" s="845"/>
      <c r="L40" s="846">
        <v>203</v>
      </c>
      <c r="M40" s="847"/>
      <c r="N40" s="847"/>
      <c r="O40" s="841"/>
      <c r="P40" s="857" t="s">
        <v>1105</v>
      </c>
      <c r="Q40" s="849"/>
      <c r="R40" s="864"/>
      <c r="S40" s="858"/>
      <c r="T40" s="845"/>
      <c r="U40" s="846"/>
      <c r="V40" s="847"/>
      <c r="W40" s="847"/>
      <c r="X40" s="841"/>
      <c r="Y40" s="877"/>
      <c r="Z40" s="847"/>
      <c r="AA40" s="850"/>
      <c r="AB40" s="858"/>
      <c r="AC40" s="845"/>
      <c r="AD40" s="846"/>
      <c r="AE40" s="847"/>
      <c r="AF40" s="847"/>
      <c r="AG40" s="841"/>
      <c r="AH40" s="915"/>
      <c r="AI40" s="706"/>
      <c r="AJ40" s="850"/>
      <c r="AK40" s="858"/>
      <c r="AL40" s="853"/>
      <c r="AM40" s="915"/>
      <c r="AN40" s="847"/>
      <c r="AO40" s="847"/>
      <c r="AP40" s="847"/>
      <c r="AQ40" s="848"/>
      <c r="AR40" s="925"/>
      <c r="AS40" s="864"/>
      <c r="AT40" s="858"/>
    </row>
    <row r="41" spans="1:46" ht="49.5" customHeight="1" x14ac:dyDescent="0.4">
      <c r="A41" s="1524">
        <v>45797</v>
      </c>
      <c r="B41" s="692">
        <v>1</v>
      </c>
      <c r="C41" s="960"/>
      <c r="D41" s="961"/>
      <c r="E41" s="961"/>
      <c r="F41" s="962"/>
      <c r="G41" s="963"/>
      <c r="H41" s="972"/>
      <c r="I41" s="965"/>
      <c r="J41" s="966"/>
      <c r="K41" s="967"/>
      <c r="L41" s="968"/>
      <c r="M41" s="969"/>
      <c r="N41" s="969"/>
      <c r="O41" s="962"/>
      <c r="P41" s="976"/>
      <c r="Q41" s="969"/>
      <c r="R41" s="979"/>
      <c r="S41" s="966"/>
      <c r="T41" s="967"/>
      <c r="U41" s="968"/>
      <c r="V41" s="969"/>
      <c r="W41" s="969"/>
      <c r="X41" s="962"/>
      <c r="Y41" s="976"/>
      <c r="Z41" s="971"/>
      <c r="AA41" s="980"/>
      <c r="AB41" s="966"/>
      <c r="AC41" s="967"/>
      <c r="AD41" s="968"/>
      <c r="AE41" s="969"/>
      <c r="AF41" s="969"/>
      <c r="AG41" s="962"/>
      <c r="AH41" s="970"/>
      <c r="AI41" s="971"/>
      <c r="AJ41" s="969"/>
      <c r="AK41" s="966"/>
      <c r="AL41" s="973"/>
      <c r="AM41" s="968"/>
      <c r="AN41" s="969"/>
      <c r="AO41" s="969"/>
      <c r="AP41" s="969"/>
      <c r="AQ41" s="976"/>
      <c r="AR41" s="992"/>
      <c r="AS41" s="979"/>
      <c r="AT41" s="966"/>
    </row>
    <row r="42" spans="1:46" ht="66" customHeight="1" x14ac:dyDescent="0.4">
      <c r="A42" s="1525"/>
      <c r="B42" s="692">
        <v>2</v>
      </c>
      <c r="C42" s="840"/>
      <c r="D42" s="840"/>
      <c r="E42" s="840"/>
      <c r="F42" s="841">
        <v>146</v>
      </c>
      <c r="G42" s="857"/>
      <c r="H42" s="706"/>
      <c r="I42" s="864"/>
      <c r="J42" s="858" t="s">
        <v>1071</v>
      </c>
      <c r="K42" s="845"/>
      <c r="L42" s="846"/>
      <c r="M42" s="847"/>
      <c r="N42" s="847"/>
      <c r="O42" s="841">
        <v>128</v>
      </c>
      <c r="P42" s="848"/>
      <c r="Q42" s="855"/>
      <c r="R42" s="847"/>
      <c r="S42" s="858" t="s">
        <v>1071</v>
      </c>
      <c r="T42" s="845"/>
      <c r="U42" s="846"/>
      <c r="V42" s="847"/>
      <c r="W42" s="847"/>
      <c r="X42" s="841">
        <v>138</v>
      </c>
      <c r="Y42" s="877"/>
      <c r="Z42" s="847"/>
      <c r="AA42" s="850"/>
      <c r="AB42" s="858" t="s">
        <v>1071</v>
      </c>
      <c r="AC42" s="845"/>
      <c r="AD42" s="846"/>
      <c r="AE42" s="847"/>
      <c r="AF42" s="847"/>
      <c r="AG42" s="841">
        <v>149</v>
      </c>
      <c r="AH42" s="848"/>
      <c r="AI42" s="855"/>
      <c r="AJ42" s="847"/>
      <c r="AK42" s="858" t="s">
        <v>1071</v>
      </c>
      <c r="AL42" s="853"/>
      <c r="AM42" s="846"/>
      <c r="AN42" s="847"/>
      <c r="AO42" s="847"/>
      <c r="AP42" s="847">
        <v>151</v>
      </c>
      <c r="AQ42" s="848"/>
      <c r="AR42" s="925"/>
      <c r="AS42" s="847"/>
      <c r="AT42" s="858" t="s">
        <v>1071</v>
      </c>
    </row>
    <row r="43" spans="1:46" ht="50.25" customHeight="1" x14ac:dyDescent="0.4">
      <c r="A43" s="1524">
        <v>45798</v>
      </c>
      <c r="B43" s="692">
        <v>1</v>
      </c>
      <c r="C43" s="961"/>
      <c r="D43" s="961"/>
      <c r="E43" s="961"/>
      <c r="F43" s="962"/>
      <c r="G43" s="964"/>
      <c r="H43" s="964"/>
      <c r="I43" s="979"/>
      <c r="J43" s="966"/>
      <c r="K43" s="967"/>
      <c r="L43" s="968"/>
      <c r="M43" s="969"/>
      <c r="N43" s="969"/>
      <c r="O43" s="962"/>
      <c r="P43" s="976"/>
      <c r="Q43" s="969"/>
      <c r="R43" s="969"/>
      <c r="S43" s="966"/>
      <c r="T43" s="967"/>
      <c r="U43" s="968"/>
      <c r="V43" s="969"/>
      <c r="W43" s="969"/>
      <c r="X43" s="962"/>
      <c r="Y43" s="976"/>
      <c r="Z43" s="969"/>
      <c r="AA43" s="980"/>
      <c r="AB43" s="966"/>
      <c r="AC43" s="967"/>
      <c r="AD43" s="968"/>
      <c r="AE43" s="969"/>
      <c r="AF43" s="969"/>
      <c r="AG43" s="962"/>
      <c r="AH43" s="971"/>
      <c r="AI43" s="972"/>
      <c r="AJ43" s="969"/>
      <c r="AK43" s="966"/>
      <c r="AL43" s="973"/>
      <c r="AM43" s="968"/>
      <c r="AN43" s="969"/>
      <c r="AO43" s="969"/>
      <c r="AP43" s="969"/>
      <c r="AQ43" s="971"/>
      <c r="AR43" s="992"/>
      <c r="AS43" s="969"/>
      <c r="AT43" s="966"/>
    </row>
    <row r="44" spans="1:46" ht="66" customHeight="1" x14ac:dyDescent="0.4">
      <c r="A44" s="1525"/>
      <c r="B44" s="692">
        <v>2</v>
      </c>
      <c r="C44" s="961"/>
      <c r="D44" s="961"/>
      <c r="E44" s="961"/>
      <c r="F44" s="962"/>
      <c r="G44" s="964"/>
      <c r="H44" s="984"/>
      <c r="I44" s="979"/>
      <c r="J44" s="966"/>
      <c r="K44" s="967"/>
      <c r="L44" s="968"/>
      <c r="M44" s="969"/>
      <c r="N44" s="969"/>
      <c r="O44" s="1001"/>
      <c r="P44" s="984"/>
      <c r="Q44" s="969"/>
      <c r="R44" s="971"/>
      <c r="S44" s="966"/>
      <c r="T44" s="967"/>
      <c r="U44" s="968"/>
      <c r="V44" s="969"/>
      <c r="W44" s="961"/>
      <c r="X44" s="962"/>
      <c r="Y44" s="964"/>
      <c r="Z44" s="972"/>
      <c r="AA44" s="980"/>
      <c r="AB44" s="966"/>
      <c r="AC44" s="967"/>
      <c r="AD44" s="968"/>
      <c r="AE44" s="969"/>
      <c r="AF44" s="969"/>
      <c r="AG44" s="1001"/>
      <c r="AH44" s="976"/>
      <c r="AI44" s="971"/>
      <c r="AJ44" s="980"/>
      <c r="AK44" s="966"/>
      <c r="AL44" s="973"/>
      <c r="AM44" s="968"/>
      <c r="AN44" s="969"/>
      <c r="AO44" s="969"/>
      <c r="AP44" s="969"/>
      <c r="AQ44" s="976"/>
      <c r="AR44" s="971"/>
      <c r="AS44" s="971"/>
      <c r="AT44" s="966"/>
    </row>
    <row r="45" spans="1:46" ht="41.25" customHeight="1" x14ac:dyDescent="0.4">
      <c r="A45" s="1524">
        <v>45799</v>
      </c>
      <c r="B45" s="692">
        <v>1</v>
      </c>
      <c r="C45" s="961"/>
      <c r="D45" s="961"/>
      <c r="E45" s="961"/>
      <c r="F45" s="962"/>
      <c r="G45" s="964"/>
      <c r="H45" s="964"/>
      <c r="I45" s="979"/>
      <c r="J45" s="966"/>
      <c r="K45" s="967"/>
      <c r="L45" s="968"/>
      <c r="M45" s="969"/>
      <c r="N45" s="969"/>
      <c r="O45" s="1001"/>
      <c r="P45" s="976"/>
      <c r="Q45" s="971"/>
      <c r="R45" s="969"/>
      <c r="S45" s="966"/>
      <c r="T45" s="967"/>
      <c r="U45" s="968"/>
      <c r="V45" s="971"/>
      <c r="W45" s="969"/>
      <c r="X45" s="962"/>
      <c r="Y45" s="976"/>
      <c r="Z45" s="971"/>
      <c r="AA45" s="980"/>
      <c r="AB45" s="966"/>
      <c r="AC45" s="967"/>
      <c r="AD45" s="968"/>
      <c r="AE45" s="969"/>
      <c r="AF45" s="969"/>
      <c r="AG45" s="1001"/>
      <c r="AH45" s="976"/>
      <c r="AI45" s="971"/>
      <c r="AJ45" s="971"/>
      <c r="AK45" s="966"/>
      <c r="AL45" s="973"/>
      <c r="AM45" s="968"/>
      <c r="AN45" s="969"/>
      <c r="AO45" s="969"/>
      <c r="AP45" s="969"/>
      <c r="AQ45" s="976"/>
      <c r="AR45" s="971"/>
      <c r="AS45" s="969"/>
      <c r="AT45" s="966"/>
    </row>
    <row r="46" spans="1:46" ht="46.5" customHeight="1" x14ac:dyDescent="0.4">
      <c r="A46" s="1525"/>
      <c r="B46" s="692">
        <v>2</v>
      </c>
      <c r="C46" s="961"/>
      <c r="D46" s="961"/>
      <c r="E46" s="961"/>
      <c r="F46" s="962"/>
      <c r="G46" s="964"/>
      <c r="H46" s="964"/>
      <c r="I46" s="979"/>
      <c r="J46" s="966"/>
      <c r="K46" s="967"/>
      <c r="L46" s="968"/>
      <c r="M46" s="969"/>
      <c r="N46" s="969"/>
      <c r="O46" s="1001"/>
      <c r="P46" s="976"/>
      <c r="Q46" s="972"/>
      <c r="R46" s="971"/>
      <c r="S46" s="966"/>
      <c r="T46" s="967"/>
      <c r="U46" s="968"/>
      <c r="V46" s="969"/>
      <c r="W46" s="969"/>
      <c r="X46" s="1001"/>
      <c r="Y46" s="969"/>
      <c r="Z46" s="969"/>
      <c r="AA46" s="971"/>
      <c r="AB46" s="966"/>
      <c r="AC46" s="967"/>
      <c r="AD46" s="968"/>
      <c r="AE46" s="969"/>
      <c r="AF46" s="969"/>
      <c r="AG46" s="1001"/>
      <c r="AH46" s="984"/>
      <c r="AI46" s="971"/>
      <c r="AJ46" s="980"/>
      <c r="AK46" s="966"/>
      <c r="AL46" s="973"/>
      <c r="AM46" s="968"/>
      <c r="AN46" s="969"/>
      <c r="AO46" s="969"/>
      <c r="AP46" s="969"/>
      <c r="AQ46" s="976"/>
      <c r="AR46" s="972"/>
      <c r="AS46" s="971"/>
      <c r="AT46" s="966"/>
    </row>
    <row r="47" spans="1:46" ht="64.5" customHeight="1" x14ac:dyDescent="0.4">
      <c r="A47" s="1524">
        <v>45800</v>
      </c>
      <c r="B47" s="692">
        <v>1</v>
      </c>
      <c r="C47" s="961"/>
      <c r="D47" s="961"/>
      <c r="E47" s="961"/>
      <c r="F47" s="962"/>
      <c r="G47" s="964"/>
      <c r="H47" s="972"/>
      <c r="I47" s="979"/>
      <c r="J47" s="1000"/>
      <c r="K47" s="967"/>
      <c r="L47" s="968"/>
      <c r="M47" s="969"/>
      <c r="N47" s="969"/>
      <c r="O47" s="1001"/>
      <c r="P47" s="976"/>
      <c r="Q47" s="969"/>
      <c r="R47" s="969"/>
      <c r="S47" s="966"/>
      <c r="T47" s="967"/>
      <c r="U47" s="968"/>
      <c r="V47" s="969"/>
      <c r="W47" s="969"/>
      <c r="X47" s="1001"/>
      <c r="Y47" s="964"/>
      <c r="Z47" s="971"/>
      <c r="AA47" s="971"/>
      <c r="AB47" s="966"/>
      <c r="AC47" s="967"/>
      <c r="AD47" s="968"/>
      <c r="AE47" s="969"/>
      <c r="AF47" s="969"/>
      <c r="AG47" s="969"/>
      <c r="AH47" s="984"/>
      <c r="AI47" s="972"/>
      <c r="AJ47" s="980"/>
      <c r="AK47" s="1002"/>
      <c r="AL47" s="973"/>
      <c r="AM47" s="968"/>
      <c r="AN47" s="969"/>
      <c r="AO47" s="969"/>
      <c r="AP47" s="969"/>
      <c r="AQ47" s="976"/>
      <c r="AR47" s="972"/>
      <c r="AS47" s="971"/>
      <c r="AT47" s="1002"/>
    </row>
    <row r="48" spans="1:46" ht="65.25" customHeight="1" x14ac:dyDescent="0.4">
      <c r="A48" s="1525"/>
      <c r="B48" s="692">
        <v>2</v>
      </c>
      <c r="C48" s="840"/>
      <c r="D48" s="840"/>
      <c r="E48" s="840"/>
      <c r="F48" s="841"/>
      <c r="G48" s="706"/>
      <c r="H48" s="706"/>
      <c r="I48" s="864"/>
      <c r="J48" s="858"/>
      <c r="K48" s="845"/>
      <c r="L48" s="846"/>
      <c r="M48" s="847"/>
      <c r="N48" s="847"/>
      <c r="O48" s="841"/>
      <c r="P48" s="706"/>
      <c r="Q48" s="706"/>
      <c r="R48" s="864"/>
      <c r="S48" s="858"/>
      <c r="T48" s="845"/>
      <c r="U48" s="846"/>
      <c r="V48" s="847"/>
      <c r="W48" s="847"/>
      <c r="X48" s="841"/>
      <c r="Y48" s="706"/>
      <c r="Z48" s="706"/>
      <c r="AA48" s="864"/>
      <c r="AB48" s="858"/>
      <c r="AC48" s="845"/>
      <c r="AD48" s="846"/>
      <c r="AE48" s="847"/>
      <c r="AF48" s="847"/>
      <c r="AG48" s="847"/>
      <c r="AH48" s="877"/>
      <c r="AI48" s="706"/>
      <c r="AJ48" s="850"/>
      <c r="AK48" s="926"/>
      <c r="AL48" s="853"/>
      <c r="AM48" s="846"/>
      <c r="AN48" s="878"/>
      <c r="AO48" s="848"/>
      <c r="AP48" s="878"/>
      <c r="AQ48" s="879"/>
      <c r="AR48" s="706"/>
      <c r="AS48" s="855"/>
      <c r="AT48" s="926"/>
    </row>
    <row r="49" spans="1:46" ht="57" customHeight="1" x14ac:dyDescent="0.4">
      <c r="A49" s="1524">
        <v>45801</v>
      </c>
      <c r="B49" s="692">
        <v>1</v>
      </c>
      <c r="C49" s="840">
        <v>20</v>
      </c>
      <c r="D49" s="840"/>
      <c r="E49" s="840">
        <v>6</v>
      </c>
      <c r="F49" s="841"/>
      <c r="G49" s="706" t="s">
        <v>113</v>
      </c>
      <c r="H49" s="849"/>
      <c r="I49" s="864" t="s">
        <v>152</v>
      </c>
      <c r="J49" s="858"/>
      <c r="K49" s="845"/>
      <c r="L49" s="846"/>
      <c r="M49" s="847"/>
      <c r="N49" s="847"/>
      <c r="O49" s="841"/>
      <c r="P49" s="706"/>
      <c r="Q49" s="849"/>
      <c r="R49" s="864"/>
      <c r="S49" s="858"/>
      <c r="T49" s="845"/>
      <c r="U49" s="846"/>
      <c r="V49" s="847"/>
      <c r="W49" s="847"/>
      <c r="X49" s="841"/>
      <c r="Y49" s="706"/>
      <c r="Z49" s="855"/>
      <c r="AA49" s="855"/>
      <c r="AB49" s="858"/>
      <c r="AC49" s="845"/>
      <c r="AD49" s="846"/>
      <c r="AE49" s="847"/>
      <c r="AF49" s="847"/>
      <c r="AG49" s="847"/>
      <c r="AH49" s="877"/>
      <c r="AI49" s="849"/>
      <c r="AJ49" s="850"/>
      <c r="AK49" s="926"/>
      <c r="AL49" s="853"/>
      <c r="AM49" s="846"/>
      <c r="AN49" s="878"/>
      <c r="AO49" s="848"/>
      <c r="AP49" s="878"/>
      <c r="AQ49" s="902"/>
      <c r="AR49" s="706"/>
      <c r="AS49" s="864"/>
      <c r="AT49" s="927"/>
    </row>
    <row r="50" spans="1:46" ht="66.75" customHeight="1" x14ac:dyDescent="0.4">
      <c r="A50" s="1525"/>
      <c r="B50" s="692">
        <v>2</v>
      </c>
      <c r="C50" s="840"/>
      <c r="D50" s="840"/>
      <c r="E50" s="840">
        <v>7</v>
      </c>
      <c r="F50" s="841"/>
      <c r="G50" s="849"/>
      <c r="H50" s="849"/>
      <c r="I50" s="864" t="s">
        <v>152</v>
      </c>
      <c r="J50" s="858"/>
      <c r="K50" s="845"/>
      <c r="L50" s="846"/>
      <c r="M50" s="847"/>
      <c r="N50" s="847"/>
      <c r="O50" s="841"/>
      <c r="P50" s="849"/>
      <c r="Q50" s="849"/>
      <c r="R50" s="864"/>
      <c r="S50" s="858"/>
      <c r="T50" s="845"/>
      <c r="U50" s="846"/>
      <c r="V50" s="847"/>
      <c r="W50" s="847">
        <v>4</v>
      </c>
      <c r="X50" s="841"/>
      <c r="Y50" s="849"/>
      <c r="Z50" s="849"/>
      <c r="AA50" s="864" t="s">
        <v>578</v>
      </c>
      <c r="AB50" s="858"/>
      <c r="AC50" s="845"/>
      <c r="AD50" s="846"/>
      <c r="AE50" s="847"/>
      <c r="AF50" s="847">
        <v>5</v>
      </c>
      <c r="AG50" s="847"/>
      <c r="AH50" s="877"/>
      <c r="AI50" s="849"/>
      <c r="AJ50" s="850" t="s">
        <v>520</v>
      </c>
      <c r="AK50" s="926"/>
      <c r="AL50" s="853"/>
      <c r="AM50" s="846"/>
      <c r="AN50" s="878"/>
      <c r="AO50" s="847"/>
      <c r="AP50" s="878"/>
      <c r="AQ50" s="902"/>
      <c r="AR50" s="706"/>
      <c r="AS50" s="864"/>
      <c r="AT50" s="928"/>
    </row>
    <row r="51" spans="1:46" ht="56.25" customHeight="1" x14ac:dyDescent="0.4">
      <c r="A51" s="1524">
        <v>45802</v>
      </c>
      <c r="B51" s="692">
        <v>1</v>
      </c>
      <c r="C51" s="840"/>
      <c r="D51" s="840"/>
      <c r="E51" s="840">
        <v>5</v>
      </c>
      <c r="F51" s="841"/>
      <c r="G51" s="849"/>
      <c r="H51" s="849"/>
      <c r="I51" s="864" t="s">
        <v>1106</v>
      </c>
      <c r="J51" s="858"/>
      <c r="K51" s="845"/>
      <c r="L51" s="846"/>
      <c r="M51" s="847"/>
      <c r="N51" s="847"/>
      <c r="O51" s="841"/>
      <c r="P51" s="849"/>
      <c r="Q51" s="849"/>
      <c r="R51" s="864"/>
      <c r="S51" s="858"/>
      <c r="T51" s="845"/>
      <c r="U51" s="846"/>
      <c r="V51" s="847"/>
      <c r="W51" s="847"/>
      <c r="X51" s="841"/>
      <c r="Y51" s="849"/>
      <c r="Z51" s="849"/>
      <c r="AA51" s="864"/>
      <c r="AB51" s="858"/>
      <c r="AC51" s="845"/>
      <c r="AD51" s="846"/>
      <c r="AE51" s="847"/>
      <c r="AF51" s="847"/>
      <c r="AG51" s="841"/>
      <c r="AH51" s="849"/>
      <c r="AI51" s="849"/>
      <c r="AJ51" s="864"/>
      <c r="AK51" s="858"/>
      <c r="AL51" s="853"/>
      <c r="AM51" s="846"/>
      <c r="AN51" s="878"/>
      <c r="AO51" s="854"/>
      <c r="AP51" s="878"/>
      <c r="AQ51" s="902"/>
      <c r="AR51" s="706"/>
      <c r="AS51" s="864"/>
      <c r="AT51" s="928"/>
    </row>
    <row r="52" spans="1:46" ht="66.75" customHeight="1" x14ac:dyDescent="0.4">
      <c r="A52" s="1525"/>
      <c r="B52" s="692">
        <v>2</v>
      </c>
      <c r="C52" s="840"/>
      <c r="D52" s="840"/>
      <c r="E52" s="840">
        <v>5</v>
      </c>
      <c r="F52" s="841"/>
      <c r="G52" s="706"/>
      <c r="H52" s="706"/>
      <c r="I52" s="864" t="s">
        <v>152</v>
      </c>
      <c r="J52" s="858"/>
      <c r="K52" s="845"/>
      <c r="L52" s="846"/>
      <c r="M52" s="847"/>
      <c r="N52" s="847"/>
      <c r="O52" s="841"/>
      <c r="P52" s="706"/>
      <c r="Q52" s="706"/>
      <c r="R52" s="864"/>
      <c r="S52" s="858"/>
      <c r="T52" s="845"/>
      <c r="U52" s="846"/>
      <c r="V52" s="847"/>
      <c r="W52" s="847">
        <v>4</v>
      </c>
      <c r="X52" s="841"/>
      <c r="Y52" s="706"/>
      <c r="Z52" s="706"/>
      <c r="AA52" s="864" t="s">
        <v>578</v>
      </c>
      <c r="AB52" s="858"/>
      <c r="AC52" s="845"/>
      <c r="AD52" s="846"/>
      <c r="AE52" s="847"/>
      <c r="AF52" s="847"/>
      <c r="AG52" s="841"/>
      <c r="AH52" s="706"/>
      <c r="AI52" s="706"/>
      <c r="AJ52" s="864"/>
      <c r="AK52" s="858"/>
      <c r="AL52" s="853"/>
      <c r="AM52" s="846"/>
      <c r="AN52" s="919"/>
      <c r="AO52" s="860"/>
      <c r="AP52" s="919"/>
      <c r="AQ52" s="848"/>
      <c r="AR52" s="706"/>
      <c r="AS52" s="864"/>
      <c r="AT52" s="929"/>
    </row>
    <row r="53" spans="1:46" ht="60" customHeight="1" x14ac:dyDescent="0.4">
      <c r="A53" s="1524">
        <v>45803</v>
      </c>
      <c r="B53" s="692">
        <v>1</v>
      </c>
      <c r="C53" s="840"/>
      <c r="D53" s="840"/>
      <c r="E53" s="840">
        <v>5</v>
      </c>
      <c r="F53" s="841"/>
      <c r="G53" s="849"/>
      <c r="H53" s="849"/>
      <c r="I53" s="843" t="s">
        <v>1106</v>
      </c>
      <c r="J53" s="858"/>
      <c r="K53" s="845"/>
      <c r="L53" s="846"/>
      <c r="M53" s="847"/>
      <c r="N53" s="847"/>
      <c r="O53" s="724"/>
      <c r="P53" s="706"/>
      <c r="Q53" s="706"/>
      <c r="R53" s="847"/>
      <c r="S53" s="858"/>
      <c r="T53" s="845"/>
      <c r="U53" s="846"/>
      <c r="V53" s="847"/>
      <c r="W53" s="847">
        <v>15</v>
      </c>
      <c r="X53" s="724"/>
      <c r="Y53" s="877"/>
      <c r="Z53" s="847"/>
      <c r="AA53" s="850" t="s">
        <v>1106</v>
      </c>
      <c r="AB53" s="724"/>
      <c r="AC53" s="845"/>
      <c r="AD53" s="846"/>
      <c r="AE53" s="855"/>
      <c r="AF53" s="847"/>
      <c r="AG53" s="724"/>
      <c r="AH53" s="848"/>
      <c r="AI53" s="847"/>
      <c r="AJ53" s="933"/>
      <c r="AK53" s="724"/>
      <c r="AL53" s="853"/>
      <c r="AM53" s="846"/>
      <c r="AN53" s="870"/>
      <c r="AO53" s="873"/>
      <c r="AP53" s="870"/>
      <c r="AQ53" s="877"/>
      <c r="AR53" s="706"/>
      <c r="AS53" s="919"/>
      <c r="AT53" s="930"/>
    </row>
    <row r="54" spans="1:46" ht="66.75" customHeight="1" x14ac:dyDescent="0.4">
      <c r="A54" s="1525"/>
      <c r="B54" s="725">
        <v>2</v>
      </c>
      <c r="C54" s="840"/>
      <c r="D54" s="840"/>
      <c r="E54" s="840">
        <v>31</v>
      </c>
      <c r="F54" s="841"/>
      <c r="G54" s="849"/>
      <c r="H54" s="706"/>
      <c r="I54" s="843" t="s">
        <v>152</v>
      </c>
      <c r="J54" s="858"/>
      <c r="K54" s="845"/>
      <c r="L54" s="846"/>
      <c r="M54" s="847"/>
      <c r="N54" s="847"/>
      <c r="O54" s="841"/>
      <c r="P54" s="706"/>
      <c r="Q54" s="706"/>
      <c r="R54" s="849"/>
      <c r="S54" s="858"/>
      <c r="T54" s="845"/>
      <c r="U54" s="846">
        <v>617</v>
      </c>
      <c r="V54" s="847"/>
      <c r="W54" s="847"/>
      <c r="X54" s="841"/>
      <c r="Y54" s="706" t="s">
        <v>1077</v>
      </c>
      <c r="Z54" s="706"/>
      <c r="AA54" s="850"/>
      <c r="AB54" s="858"/>
      <c r="AC54" s="845"/>
      <c r="AD54" s="846"/>
      <c r="AE54" s="847"/>
      <c r="AF54" s="847">
        <v>70</v>
      </c>
      <c r="AG54" s="724"/>
      <c r="AH54" s="848"/>
      <c r="AI54" s="858"/>
      <c r="AJ54" s="1006" t="s">
        <v>570</v>
      </c>
      <c r="AK54" s="867"/>
      <c r="AL54" s="853"/>
      <c r="AM54" s="846"/>
      <c r="AN54" s="870"/>
      <c r="AO54" s="875">
        <v>5</v>
      </c>
      <c r="AP54" s="870"/>
      <c r="AQ54" s="877"/>
      <c r="AR54" s="706"/>
      <c r="AS54" s="864" t="s">
        <v>1106</v>
      </c>
      <c r="AT54" s="928"/>
    </row>
    <row r="55" spans="1:46" ht="51.75" customHeight="1" x14ac:dyDescent="0.4">
      <c r="A55" s="1524">
        <v>45804</v>
      </c>
      <c r="B55" s="692">
        <v>1</v>
      </c>
      <c r="C55" s="949"/>
      <c r="D55" s="840"/>
      <c r="E55" s="840"/>
      <c r="F55" s="841"/>
      <c r="G55" s="849"/>
      <c r="H55" s="849"/>
      <c r="I55" s="843"/>
      <c r="J55" s="724"/>
      <c r="K55" s="845"/>
      <c r="L55" s="846">
        <v>15</v>
      </c>
      <c r="M55" s="847">
        <v>106</v>
      </c>
      <c r="N55" s="847"/>
      <c r="O55" s="724"/>
      <c r="P55" s="848" t="s">
        <v>1107</v>
      </c>
      <c r="Q55" s="706" t="s">
        <v>1108</v>
      </c>
      <c r="R55" s="847"/>
      <c r="S55" s="724"/>
      <c r="T55" s="845"/>
      <c r="U55" s="846"/>
      <c r="V55" s="847"/>
      <c r="W55" s="847">
        <v>5</v>
      </c>
      <c r="X55" s="724"/>
      <c r="Y55" s="848"/>
      <c r="Z55" s="849"/>
      <c r="AA55" s="850" t="s">
        <v>1106</v>
      </c>
      <c r="AB55" s="724"/>
      <c r="AC55" s="845"/>
      <c r="AD55" s="846"/>
      <c r="AE55" s="847"/>
      <c r="AF55" s="847"/>
      <c r="AG55" s="724"/>
      <c r="AH55" s="848"/>
      <c r="AI55" s="706"/>
      <c r="AJ55" s="850"/>
      <c r="AK55" s="724"/>
      <c r="AL55" s="853"/>
      <c r="AM55" s="846"/>
      <c r="AN55" s="870"/>
      <c r="AO55" s="847"/>
      <c r="AP55" s="870"/>
      <c r="AQ55" s="848"/>
      <c r="AR55" s="706"/>
      <c r="AS55" s="864"/>
      <c r="AT55" s="931"/>
    </row>
    <row r="56" spans="1:46" ht="66.75" customHeight="1" x14ac:dyDescent="0.4">
      <c r="A56" s="1525"/>
      <c r="B56" s="725">
        <v>2</v>
      </c>
      <c r="C56" s="949"/>
      <c r="D56" s="840"/>
      <c r="E56" s="840"/>
      <c r="F56" s="841"/>
      <c r="G56" s="706"/>
      <c r="H56" s="706"/>
      <c r="I56" s="843"/>
      <c r="J56" s="858"/>
      <c r="K56" s="845"/>
      <c r="L56" s="846"/>
      <c r="M56" s="847"/>
      <c r="N56" s="847"/>
      <c r="O56" s="841"/>
      <c r="P56" s="706"/>
      <c r="Q56" s="849"/>
      <c r="R56" s="706"/>
      <c r="S56" s="858"/>
      <c r="T56" s="845"/>
      <c r="U56" s="846"/>
      <c r="V56" s="847"/>
      <c r="W56" s="847">
        <v>4</v>
      </c>
      <c r="X56" s="841"/>
      <c r="Y56" s="877"/>
      <c r="Z56" s="849"/>
      <c r="AA56" s="850" t="s">
        <v>578</v>
      </c>
      <c r="AB56" s="858"/>
      <c r="AC56" s="845"/>
      <c r="AD56" s="846"/>
      <c r="AE56" s="847"/>
      <c r="AF56" s="847"/>
      <c r="AG56" s="841"/>
      <c r="AH56" s="706"/>
      <c r="AI56" s="849"/>
      <c r="AJ56" s="706"/>
      <c r="AK56" s="858"/>
      <c r="AL56" s="853"/>
      <c r="AM56" s="846"/>
      <c r="AN56" s="870"/>
      <c r="AO56" s="847"/>
      <c r="AP56" s="870"/>
      <c r="AQ56" s="706"/>
      <c r="AR56" s="706"/>
      <c r="AS56" s="847"/>
      <c r="AT56" s="910"/>
    </row>
    <row r="57" spans="1:46" ht="51.75" customHeight="1" x14ac:dyDescent="0.4">
      <c r="A57" s="1524">
        <v>45805</v>
      </c>
      <c r="B57" s="692">
        <v>1</v>
      </c>
      <c r="C57" s="949"/>
      <c r="D57" s="840"/>
      <c r="E57" s="840"/>
      <c r="F57" s="841"/>
      <c r="G57" s="706"/>
      <c r="H57" s="706"/>
      <c r="I57" s="864"/>
      <c r="J57" s="858"/>
      <c r="K57" s="845"/>
      <c r="L57" s="846"/>
      <c r="M57" s="847"/>
      <c r="N57" s="847"/>
      <c r="O57" s="841"/>
      <c r="P57" s="706"/>
      <c r="Q57" s="849"/>
      <c r="R57" s="706"/>
      <c r="S57" s="858"/>
      <c r="T57" s="845"/>
      <c r="U57" s="846"/>
      <c r="V57" s="847"/>
      <c r="W57" s="847"/>
      <c r="X57" s="841"/>
      <c r="Y57" s="706"/>
      <c r="Z57" s="849"/>
      <c r="AA57" s="855"/>
      <c r="AB57" s="858"/>
      <c r="AC57" s="845"/>
      <c r="AD57" s="846"/>
      <c r="AE57" s="847"/>
      <c r="AF57" s="847">
        <v>25</v>
      </c>
      <c r="AG57" s="841"/>
      <c r="AH57" s="706"/>
      <c r="AI57" s="849"/>
      <c r="AJ57" s="706" t="s">
        <v>152</v>
      </c>
      <c r="AK57" s="858"/>
      <c r="AL57" s="853"/>
      <c r="AM57" s="846"/>
      <c r="AN57" s="870"/>
      <c r="AO57" s="847">
        <v>7</v>
      </c>
      <c r="AP57" s="870"/>
      <c r="AQ57" s="706"/>
      <c r="AR57" s="706"/>
      <c r="AS57" s="847" t="s">
        <v>1106</v>
      </c>
      <c r="AT57" s="858"/>
    </row>
    <row r="58" spans="1:46" ht="66.75" customHeight="1" x14ac:dyDescent="0.4">
      <c r="A58" s="1525"/>
      <c r="B58" s="725">
        <v>2</v>
      </c>
      <c r="C58" s="949"/>
      <c r="D58" s="840"/>
      <c r="E58" s="840">
        <v>6</v>
      </c>
      <c r="F58" s="841"/>
      <c r="G58" s="706"/>
      <c r="H58" s="706"/>
      <c r="I58" s="843" t="s">
        <v>1106</v>
      </c>
      <c r="J58" s="858"/>
      <c r="K58" s="845"/>
      <c r="L58" s="846"/>
      <c r="M58" s="847"/>
      <c r="N58" s="847"/>
      <c r="O58" s="841"/>
      <c r="P58" s="706"/>
      <c r="Q58" s="849"/>
      <c r="R58" s="706"/>
      <c r="S58" s="858"/>
      <c r="T58" s="845"/>
      <c r="U58" s="846"/>
      <c r="V58" s="847"/>
      <c r="W58" s="847"/>
      <c r="X58" s="841"/>
      <c r="Y58" s="706"/>
      <c r="Z58" s="849"/>
      <c r="AA58" s="855"/>
      <c r="AB58" s="858"/>
      <c r="AC58" s="845"/>
      <c r="AD58" s="846"/>
      <c r="AE58" s="847"/>
      <c r="AF58" s="847"/>
      <c r="AG58" s="847"/>
      <c r="AH58" s="706"/>
      <c r="AI58" s="849"/>
      <c r="AJ58" s="847"/>
      <c r="AK58" s="858"/>
      <c r="AL58" s="853"/>
      <c r="AM58" s="846"/>
      <c r="AN58" s="847"/>
      <c r="AO58" s="847"/>
      <c r="AP58" s="846"/>
      <c r="AQ58" s="706"/>
      <c r="AR58" s="849"/>
      <c r="AS58" s="847"/>
      <c r="AT58" s="858"/>
    </row>
    <row r="59" spans="1:46" ht="49.5" customHeight="1" x14ac:dyDescent="0.4">
      <c r="A59" s="1524">
        <v>45806</v>
      </c>
      <c r="B59" s="692">
        <v>1</v>
      </c>
      <c r="C59" s="949"/>
      <c r="D59" s="840"/>
      <c r="E59" s="840"/>
      <c r="F59" s="841"/>
      <c r="G59" s="706"/>
      <c r="H59" s="849"/>
      <c r="I59" s="843"/>
      <c r="J59" s="858"/>
      <c r="K59" s="845"/>
      <c r="L59" s="846"/>
      <c r="M59" s="847"/>
      <c r="N59" s="847"/>
      <c r="O59" s="724"/>
      <c r="P59" s="848"/>
      <c r="Q59" s="855"/>
      <c r="R59" s="847"/>
      <c r="S59" s="858"/>
      <c r="T59" s="845"/>
      <c r="U59" s="846"/>
      <c r="V59" s="847"/>
      <c r="W59" s="847">
        <v>5</v>
      </c>
      <c r="X59" s="724"/>
      <c r="Y59" s="706"/>
      <c r="Z59" s="849"/>
      <c r="AA59" s="843" t="s">
        <v>578</v>
      </c>
      <c r="AB59" s="858"/>
      <c r="AC59" s="845"/>
      <c r="AD59" s="846"/>
      <c r="AE59" s="847"/>
      <c r="AF59" s="847"/>
      <c r="AG59" s="724"/>
      <c r="AH59" s="846"/>
      <c r="AI59" s="847"/>
      <c r="AJ59" s="706"/>
      <c r="AK59" s="858"/>
      <c r="AL59" s="853"/>
      <c r="AM59" s="846"/>
      <c r="AN59" s="847"/>
      <c r="AO59" s="847"/>
      <c r="AP59" s="847"/>
      <c r="AQ59" s="877"/>
      <c r="AR59" s="847"/>
      <c r="AS59" s="855"/>
      <c r="AT59" s="858"/>
    </row>
    <row r="60" spans="1:46" ht="66.75" customHeight="1" x14ac:dyDescent="0.4">
      <c r="A60" s="1525"/>
      <c r="B60" s="1003">
        <v>2</v>
      </c>
      <c r="C60" s="949"/>
      <c r="D60" s="840"/>
      <c r="E60" s="840"/>
      <c r="F60" s="841"/>
      <c r="G60" s="849"/>
      <c r="H60" s="706"/>
      <c r="I60" s="843"/>
      <c r="J60" s="858"/>
      <c r="K60" s="845"/>
      <c r="L60" s="846"/>
      <c r="M60" s="847"/>
      <c r="N60" s="847"/>
      <c r="O60" s="724"/>
      <c r="P60" s="848"/>
      <c r="Q60" s="706"/>
      <c r="R60" s="847"/>
      <c r="S60" s="858"/>
      <c r="T60" s="845"/>
      <c r="U60" s="846"/>
      <c r="V60" s="847"/>
      <c r="W60" s="847">
        <v>5</v>
      </c>
      <c r="X60" s="724"/>
      <c r="Y60" s="877"/>
      <c r="Z60" s="706"/>
      <c r="AA60" s="843" t="s">
        <v>578</v>
      </c>
      <c r="AB60" s="858"/>
      <c r="AC60" s="845"/>
      <c r="AD60" s="846"/>
      <c r="AE60" s="846"/>
      <c r="AF60" s="846"/>
      <c r="AG60" s="846"/>
      <c r="AH60" s="846"/>
      <c r="AI60" s="706"/>
      <c r="AJ60" s="855"/>
      <c r="AK60" s="858"/>
      <c r="AL60" s="853"/>
      <c r="AM60" s="846"/>
      <c r="AN60" s="847"/>
      <c r="AO60" s="847"/>
      <c r="AP60" s="847"/>
      <c r="AQ60" s="848"/>
      <c r="AR60" s="706"/>
      <c r="AS60" s="855"/>
      <c r="AT60" s="858"/>
    </row>
    <row r="61" spans="1:46" ht="66.75" customHeight="1" x14ac:dyDescent="0.4">
      <c r="A61" s="1008"/>
      <c r="B61" s="1003">
        <v>1</v>
      </c>
      <c r="C61" s="959"/>
      <c r="D61" s="934"/>
      <c r="E61" s="840"/>
      <c r="F61" s="885"/>
      <c r="G61" s="849"/>
      <c r="H61" s="882"/>
      <c r="I61" s="843"/>
      <c r="J61" s="858"/>
      <c r="K61" s="845"/>
      <c r="L61" s="846"/>
      <c r="M61" s="848"/>
      <c r="N61" s="847"/>
      <c r="O61" s="724"/>
      <c r="P61" s="932"/>
      <c r="Q61" s="706"/>
      <c r="R61" s="854"/>
      <c r="S61" s="880"/>
      <c r="T61" s="845"/>
      <c r="U61" s="846"/>
      <c r="V61" s="847"/>
      <c r="W61" s="847"/>
      <c r="X61" s="724"/>
      <c r="Y61" s="877"/>
      <c r="Z61" s="706"/>
      <c r="AA61" s="843"/>
      <c r="AB61" s="880"/>
      <c r="AC61" s="845"/>
      <c r="AD61" s="846"/>
      <c r="AE61" s="848"/>
      <c r="AF61" s="848"/>
      <c r="AG61" s="862"/>
      <c r="AH61" s="932"/>
      <c r="AI61" s="882"/>
      <c r="AJ61" s="933"/>
      <c r="AK61" s="880"/>
      <c r="AL61" s="853"/>
      <c r="AM61" s="846"/>
      <c r="AN61" s="847"/>
      <c r="AO61" s="847"/>
      <c r="AP61" s="847"/>
      <c r="AQ61" s="848"/>
      <c r="AR61" s="706"/>
      <c r="AS61" s="855"/>
      <c r="AT61" s="880"/>
    </row>
    <row r="62" spans="1:46" ht="66.75" customHeight="1" x14ac:dyDescent="0.4">
      <c r="A62" s="1008"/>
      <c r="B62" s="1003">
        <v>2</v>
      </c>
      <c r="C62" s="959"/>
      <c r="D62" s="934">
        <v>162</v>
      </c>
      <c r="E62" s="840">
        <v>17</v>
      </c>
      <c r="F62" s="885"/>
      <c r="G62" s="849"/>
      <c r="H62" s="882" t="s">
        <v>1111</v>
      </c>
      <c r="I62" s="843" t="s">
        <v>1106</v>
      </c>
      <c r="J62" s="858"/>
      <c r="K62" s="845"/>
      <c r="L62" s="846"/>
      <c r="M62" s="848">
        <v>131</v>
      </c>
      <c r="N62" s="847"/>
      <c r="O62" s="724"/>
      <c r="P62" s="932"/>
      <c r="Q62" s="706" t="s">
        <v>1109</v>
      </c>
      <c r="R62" s="854"/>
      <c r="S62" s="880"/>
      <c r="T62" s="845"/>
      <c r="U62" s="846"/>
      <c r="V62" s="847">
        <v>149</v>
      </c>
      <c r="W62" s="847"/>
      <c r="X62" s="724"/>
      <c r="Y62" s="877"/>
      <c r="Z62" s="706" t="s">
        <v>1110</v>
      </c>
      <c r="AA62" s="843"/>
      <c r="AB62" s="880"/>
      <c r="AC62" s="845"/>
      <c r="AD62" s="846"/>
      <c r="AE62" s="848"/>
      <c r="AF62" s="848">
        <v>145</v>
      </c>
      <c r="AG62" s="862"/>
      <c r="AH62" s="932"/>
      <c r="AI62" s="882" t="s">
        <v>1109</v>
      </c>
      <c r="AJ62" s="933"/>
      <c r="AK62" s="880"/>
      <c r="AL62" s="853"/>
      <c r="AM62" s="846"/>
      <c r="AN62" s="847">
        <v>137</v>
      </c>
      <c r="AO62" s="847"/>
      <c r="AP62" s="847"/>
      <c r="AQ62" s="848"/>
      <c r="AR62" s="706" t="s">
        <v>1109</v>
      </c>
      <c r="AS62" s="855"/>
      <c r="AT62" s="880"/>
    </row>
    <row r="63" spans="1:46" ht="51" customHeight="1" x14ac:dyDescent="0.4">
      <c r="A63" s="1524">
        <v>45808</v>
      </c>
      <c r="B63" s="692">
        <v>1</v>
      </c>
      <c r="C63" s="1009"/>
      <c r="D63" s="1010"/>
      <c r="E63" s="1011"/>
      <c r="F63" s="1012"/>
      <c r="G63" s="1013"/>
      <c r="H63" s="1014"/>
      <c r="I63" s="1015"/>
      <c r="J63" s="1016"/>
      <c r="K63" s="1017"/>
      <c r="L63" s="1018"/>
      <c r="M63" s="1018"/>
      <c r="N63" s="1019"/>
      <c r="O63" s="1020"/>
      <c r="P63" s="1021"/>
      <c r="Q63" s="1022"/>
      <c r="R63" s="1023"/>
      <c r="S63" s="1024"/>
      <c r="T63" s="1017"/>
      <c r="U63" s="1018"/>
      <c r="V63" s="1019"/>
      <c r="W63" s="1019"/>
      <c r="X63" s="1020"/>
      <c r="Y63" s="1025"/>
      <c r="Z63" s="1026"/>
      <c r="AA63" s="1015"/>
      <c r="AB63" s="1024"/>
      <c r="AC63" s="1017"/>
      <c r="AD63" s="1018"/>
      <c r="AE63" s="1019"/>
      <c r="AF63" s="1019"/>
      <c r="AG63" s="1020"/>
      <c r="AH63" s="1021"/>
      <c r="AI63" s="1027"/>
      <c r="AJ63" s="1027"/>
      <c r="AK63" s="1024"/>
      <c r="AL63" s="1028"/>
      <c r="AM63" s="1018"/>
      <c r="AN63" s="1019"/>
      <c r="AO63" s="1019"/>
      <c r="AP63" s="1019"/>
      <c r="AQ63" s="1025"/>
      <c r="AR63" s="1019"/>
      <c r="AS63" s="1026"/>
      <c r="AT63" s="1024"/>
    </row>
    <row r="64" spans="1:46" ht="66.75" customHeight="1" x14ac:dyDescent="0.5">
      <c r="A64" s="1525"/>
      <c r="B64" s="725">
        <v>2</v>
      </c>
      <c r="C64" s="959"/>
      <c r="D64" s="934"/>
      <c r="E64" s="934"/>
      <c r="F64" s="885"/>
      <c r="G64" s="881"/>
      <c r="H64" s="882"/>
      <c r="I64" s="843"/>
      <c r="J64" s="858"/>
      <c r="K64" s="845"/>
      <c r="L64" s="846"/>
      <c r="M64" s="847"/>
      <c r="N64" s="847"/>
      <c r="O64" s="724"/>
      <c r="P64" s="932"/>
      <c r="Q64" s="933"/>
      <c r="R64" s="854"/>
      <c r="S64" s="858"/>
      <c r="T64" s="845"/>
      <c r="U64" s="846"/>
      <c r="V64" s="847"/>
      <c r="W64" s="847"/>
      <c r="X64" s="724"/>
      <c r="Y64" s="877"/>
      <c r="Z64" s="933"/>
      <c r="AA64" s="843"/>
      <c r="AB64" s="858"/>
      <c r="AC64" s="845"/>
      <c r="AD64" s="846"/>
      <c r="AE64" s="847"/>
      <c r="AF64" s="847"/>
      <c r="AG64" s="1005">
        <v>4</v>
      </c>
      <c r="AH64" s="1005"/>
      <c r="AI64" s="1007"/>
      <c r="AJ64" t="s">
        <v>570</v>
      </c>
      <c r="AK64" s="858"/>
      <c r="AL64" s="853"/>
      <c r="AM64" s="846"/>
      <c r="AN64" s="847"/>
      <c r="AO64" s="847"/>
      <c r="AP64" s="847"/>
      <c r="AQ64" s="848"/>
      <c r="AR64" s="847"/>
      <c r="AS64" s="855"/>
      <c r="AT64" s="858"/>
    </row>
    <row r="65" spans="1:46" ht="18" x14ac:dyDescent="0.45">
      <c r="A65" s="255" t="s">
        <v>225</v>
      </c>
      <c r="B65" s="354"/>
      <c r="C65" s="757">
        <f>SUM(C3:C64)</f>
        <v>291</v>
      </c>
      <c r="D65" s="354">
        <f>SUM(D3:D64)</f>
        <v>263</v>
      </c>
      <c r="E65" s="757">
        <f>SUM(E3:E64)</f>
        <v>176</v>
      </c>
      <c r="F65" s="354">
        <f>SUM(F3:F64)</f>
        <v>315</v>
      </c>
      <c r="G65" s="255"/>
      <c r="H65" s="255"/>
      <c r="I65" s="255"/>
      <c r="J65" s="255"/>
      <c r="K65" s="255"/>
      <c r="L65" s="354">
        <f>SUM(L3:L64)</f>
        <v>973</v>
      </c>
      <c r="M65" s="354">
        <f>SUM(M3:M64)</f>
        <v>298</v>
      </c>
      <c r="N65" s="354">
        <f>SUM(N3:N64)</f>
        <v>0</v>
      </c>
      <c r="O65" s="354">
        <f>SUM(O3:O64)</f>
        <v>331</v>
      </c>
      <c r="P65" s="255"/>
      <c r="Q65" s="255"/>
      <c r="R65" s="255"/>
      <c r="S65" s="255"/>
      <c r="T65" s="255"/>
      <c r="U65" s="354">
        <f>SUM(U3:U64)</f>
        <v>617</v>
      </c>
      <c r="V65" s="354">
        <f>SUM(V3:V64)</f>
        <v>503</v>
      </c>
      <c r="W65" s="354">
        <f>SUM(W3:W64)</f>
        <v>386</v>
      </c>
      <c r="X65" s="354">
        <f>SUM(X3:X64)</f>
        <v>366</v>
      </c>
      <c r="Y65" s="255"/>
      <c r="Z65" s="255"/>
      <c r="AA65" s="255"/>
      <c r="AB65" s="255"/>
      <c r="AC65" s="255"/>
      <c r="AD65" s="354">
        <f>SUM(AD3:AD64)</f>
        <v>3613</v>
      </c>
      <c r="AE65" s="354">
        <f>SUM(AE3:AE64)</f>
        <v>67</v>
      </c>
      <c r="AF65" s="354">
        <f>SUM(AF3:AF64)</f>
        <v>275</v>
      </c>
      <c r="AG65" s="354">
        <f>SUM(AG3:AG64)</f>
        <v>328</v>
      </c>
      <c r="AH65" s="255"/>
      <c r="AI65" s="1004"/>
      <c r="AJ65" s="255"/>
      <c r="AK65" s="255"/>
      <c r="AL65" s="255"/>
      <c r="AM65" s="354">
        <f>SUM(AM3:AM64)</f>
        <v>369</v>
      </c>
      <c r="AN65" s="354">
        <f>SUM(AN3:AN64)</f>
        <v>204</v>
      </c>
      <c r="AO65" s="354">
        <f>SUM(AO3:AO64)</f>
        <v>12</v>
      </c>
      <c r="AP65" s="354">
        <f>SUM(AP3:AP64)</f>
        <v>314</v>
      </c>
      <c r="AQ65" s="255"/>
      <c r="AR65" s="255"/>
      <c r="AS65" s="255"/>
      <c r="AT65" s="255"/>
    </row>
    <row r="66" spans="1:46" x14ac:dyDescent="0.4">
      <c r="A66" s="423"/>
      <c r="B66" s="65"/>
      <c r="C66" s="423"/>
      <c r="D66" s="423"/>
      <c r="E66" s="423"/>
      <c r="F66" s="423"/>
      <c r="G66" s="423"/>
      <c r="H66" s="423"/>
      <c r="I66" s="423"/>
      <c r="J66" s="423"/>
      <c r="K66" s="423"/>
      <c r="L66" s="423"/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423"/>
      <c r="Y66" s="423"/>
      <c r="Z66" s="423"/>
      <c r="AA66" s="423"/>
      <c r="AB66" s="423"/>
      <c r="AC66" s="423"/>
      <c r="AD66" s="423"/>
      <c r="AE66" s="423"/>
      <c r="AF66" s="423"/>
      <c r="AG66" s="423"/>
      <c r="AH66" s="423"/>
      <c r="AI66" s="423"/>
      <c r="AJ66" s="423"/>
      <c r="AK66" s="423"/>
      <c r="AL66" s="423"/>
      <c r="AM66" s="423"/>
      <c r="AN66" s="423"/>
      <c r="AO66" s="423"/>
      <c r="AP66" s="423"/>
      <c r="AQ66" s="423"/>
      <c r="AR66" s="423"/>
      <c r="AS66" s="423"/>
      <c r="AT66" s="423"/>
    </row>
    <row r="67" spans="1:46" x14ac:dyDescent="0.4">
      <c r="A67" s="423"/>
      <c r="B67" s="65"/>
      <c r="C67" s="423"/>
      <c r="D67" s="423"/>
      <c r="E67" s="423"/>
      <c r="F67" s="423"/>
      <c r="G67" s="423"/>
      <c r="H67" s="423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23"/>
      <c r="X67" s="423"/>
      <c r="Y67" s="423"/>
      <c r="Z67" s="423"/>
      <c r="AA67" s="423"/>
      <c r="AB67" s="423"/>
      <c r="AC67" s="423"/>
      <c r="AD67" s="423"/>
      <c r="AE67" s="423"/>
      <c r="AF67" s="423"/>
      <c r="AG67" s="423"/>
      <c r="AH67" s="423"/>
      <c r="AI67" s="423"/>
      <c r="AJ67" s="423"/>
      <c r="AK67" s="423"/>
      <c r="AL67" s="423"/>
      <c r="AM67" s="423"/>
      <c r="AN67" s="423"/>
      <c r="AO67" s="423"/>
      <c r="AP67" s="423"/>
      <c r="AQ67" s="423"/>
      <c r="AR67" s="423"/>
      <c r="AS67" s="423"/>
      <c r="AT67" s="423"/>
    </row>
    <row r="68" spans="1:46" x14ac:dyDescent="0.4">
      <c r="A68" s="423"/>
      <c r="B68" s="65"/>
      <c r="C68" s="423"/>
      <c r="D68" s="423"/>
      <c r="E68" s="423"/>
      <c r="F68" s="423"/>
      <c r="G68" s="423"/>
      <c r="H68" s="423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23"/>
      <c r="X68" s="423"/>
      <c r="Y68" s="423"/>
      <c r="Z68" s="423"/>
      <c r="AA68" s="423"/>
      <c r="AB68" s="423"/>
      <c r="AC68" s="423"/>
      <c r="AD68" s="423"/>
      <c r="AE68" s="423"/>
      <c r="AF68" s="423"/>
      <c r="AG68" s="423"/>
      <c r="AH68" s="423"/>
      <c r="AI68" s="423"/>
      <c r="AJ68" s="423"/>
      <c r="AK68" s="423"/>
      <c r="AL68" s="423"/>
      <c r="AM68" s="423"/>
      <c r="AN68" s="423"/>
      <c r="AO68" s="423"/>
      <c r="AP68" s="423"/>
      <c r="AQ68" s="423"/>
      <c r="AR68" s="423"/>
      <c r="AS68" s="423"/>
      <c r="AT68" s="423"/>
    </row>
    <row r="69" spans="1:46" x14ac:dyDescent="0.4">
      <c r="A69" s="423"/>
      <c r="B69" s="65"/>
      <c r="C69" s="423"/>
      <c r="D69" s="423"/>
      <c r="E69" s="423"/>
      <c r="F69" s="423"/>
      <c r="G69" s="423"/>
      <c r="H69" s="423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23"/>
      <c r="X69" s="423"/>
      <c r="Y69" s="423"/>
      <c r="Z69" s="423"/>
      <c r="AA69" s="423"/>
      <c r="AB69" s="423"/>
      <c r="AC69" s="423"/>
      <c r="AD69" s="423"/>
      <c r="AE69" s="423"/>
      <c r="AF69" s="423"/>
      <c r="AG69" s="423"/>
      <c r="AH69" s="423"/>
      <c r="AI69" s="423"/>
      <c r="AJ69" s="423"/>
      <c r="AK69" s="423"/>
      <c r="AL69" s="423"/>
      <c r="AM69" s="423"/>
      <c r="AN69" s="423"/>
      <c r="AO69" s="423"/>
      <c r="AP69" s="423"/>
      <c r="AQ69" s="423"/>
      <c r="AR69" s="423"/>
      <c r="AS69" s="423"/>
      <c r="AT69" s="423"/>
    </row>
    <row r="70" spans="1:46" x14ac:dyDescent="0.4">
      <c r="A70" s="423"/>
      <c r="B70" s="65"/>
      <c r="C70" s="423"/>
      <c r="D70" s="423"/>
      <c r="E70" s="423"/>
      <c r="F70" s="423"/>
      <c r="G70" s="423"/>
      <c r="H70" s="423"/>
      <c r="I70" s="423"/>
      <c r="J70" s="423"/>
      <c r="K70" s="423"/>
      <c r="L70" s="423"/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423"/>
      <c r="Y70" s="423"/>
      <c r="Z70" s="423"/>
      <c r="AA70" s="423"/>
      <c r="AB70" s="423"/>
      <c r="AC70" s="423"/>
      <c r="AD70" s="423"/>
      <c r="AE70" s="423"/>
      <c r="AF70" s="423"/>
      <c r="AG70" s="423"/>
      <c r="AH70" s="423"/>
      <c r="AI70" s="423"/>
      <c r="AJ70" s="423"/>
      <c r="AK70" s="423"/>
      <c r="AL70" s="423"/>
      <c r="AM70" s="423"/>
      <c r="AN70" s="423"/>
      <c r="AO70" s="423"/>
      <c r="AP70" s="423"/>
      <c r="AQ70" s="423"/>
      <c r="AR70" s="423"/>
      <c r="AS70" s="423"/>
      <c r="AT70" s="423"/>
    </row>
    <row r="71" spans="1:46" x14ac:dyDescent="0.4">
      <c r="A71" s="423"/>
      <c r="B71" s="65"/>
      <c r="C71" s="423"/>
      <c r="D71" s="423"/>
      <c r="E71" s="423"/>
      <c r="F71" s="423"/>
      <c r="G71" s="423"/>
      <c r="H71" s="423"/>
      <c r="I71" s="423"/>
      <c r="J71" s="423"/>
      <c r="K71" s="423"/>
      <c r="L71" s="423"/>
      <c r="M71" s="423"/>
      <c r="N71" s="423"/>
      <c r="O71" s="423"/>
      <c r="P71" s="423"/>
      <c r="Q71" s="423"/>
      <c r="R71" s="423"/>
      <c r="S71" s="423"/>
      <c r="T71" s="423"/>
      <c r="U71" s="423"/>
      <c r="V71" s="423"/>
      <c r="W71" s="423"/>
      <c r="X71" s="423"/>
      <c r="Y71" s="423"/>
      <c r="Z71" s="423"/>
      <c r="AA71" s="423"/>
      <c r="AB71" s="423"/>
      <c r="AC71" s="423"/>
      <c r="AD71" s="423"/>
      <c r="AE71" s="423"/>
      <c r="AF71" s="423"/>
      <c r="AG71" s="423"/>
      <c r="AH71" s="423"/>
      <c r="AI71" s="423"/>
      <c r="AJ71" s="423"/>
      <c r="AK71" s="423"/>
      <c r="AL71" s="423"/>
      <c r="AM71" s="423"/>
      <c r="AN71" s="423"/>
      <c r="AO71" s="423"/>
      <c r="AP71" s="423"/>
      <c r="AQ71" s="423"/>
      <c r="AR71" s="423"/>
      <c r="AS71" s="423"/>
      <c r="AT71" s="423"/>
    </row>
    <row r="72" spans="1:46" ht="7.5" customHeight="1" thickBot="1" x14ac:dyDescent="0.45">
      <c r="A72" s="423"/>
      <c r="B72" s="65"/>
      <c r="C72" s="423"/>
      <c r="D72" s="423"/>
      <c r="E72" s="423"/>
      <c r="F72" s="423"/>
      <c r="G72" s="423"/>
      <c r="H72" s="423"/>
      <c r="I72" s="423"/>
      <c r="J72" s="423"/>
      <c r="K72" s="423"/>
      <c r="L72" s="423"/>
      <c r="M72" s="423"/>
      <c r="N72" s="423"/>
      <c r="O72" s="423"/>
      <c r="P72" s="423"/>
      <c r="Q72" s="423"/>
      <c r="R72" s="423"/>
      <c r="S72" s="423"/>
      <c r="T72" s="423"/>
      <c r="U72" s="423"/>
      <c r="V72" s="423"/>
      <c r="W72" s="423"/>
      <c r="X72" s="423"/>
      <c r="Y72" s="423"/>
      <c r="Z72" s="423"/>
      <c r="AA72" s="423"/>
      <c r="AB72" s="423"/>
      <c r="AC72" s="423"/>
      <c r="AD72" s="423"/>
      <c r="AE72" s="423"/>
      <c r="AF72" s="423"/>
      <c r="AG72" s="423"/>
      <c r="AH72" s="423"/>
      <c r="AI72" s="423"/>
      <c r="AJ72" s="423"/>
      <c r="AK72" s="423"/>
      <c r="AL72" s="423"/>
      <c r="AM72" s="423"/>
      <c r="AN72" s="423"/>
      <c r="AO72" s="423"/>
      <c r="AP72" s="423"/>
      <c r="AQ72" s="423"/>
      <c r="AR72" s="423"/>
      <c r="AS72" s="423"/>
      <c r="AT72" s="423"/>
    </row>
    <row r="73" spans="1:46" ht="15" hidden="1" thickBot="1" x14ac:dyDescent="0.45">
      <c r="A73" s="423"/>
      <c r="B73" s="65"/>
      <c r="C73" s="423"/>
      <c r="D73" s="423"/>
      <c r="E73" s="423"/>
      <c r="F73" s="423"/>
      <c r="G73" s="423"/>
      <c r="H73" s="423"/>
      <c r="I73" s="423"/>
      <c r="J73" s="423"/>
      <c r="K73" s="423"/>
      <c r="L73" s="423"/>
      <c r="M73" s="423"/>
      <c r="N73" s="423"/>
      <c r="O73" s="423"/>
      <c r="P73" s="423"/>
      <c r="Q73" s="423"/>
      <c r="R73" s="423"/>
      <c r="S73" s="423"/>
      <c r="T73" s="423"/>
      <c r="U73" s="423"/>
      <c r="V73" s="423"/>
      <c r="W73" s="423"/>
      <c r="X73" s="423"/>
      <c r="Y73" s="423"/>
      <c r="Z73" s="423"/>
      <c r="AA73" s="423"/>
      <c r="AB73" s="423"/>
      <c r="AC73" s="423"/>
      <c r="AD73" s="423"/>
      <c r="AE73" s="423"/>
      <c r="AF73" s="423"/>
      <c r="AG73" s="423"/>
      <c r="AH73" s="423"/>
      <c r="AI73" s="423"/>
      <c r="AJ73" s="423"/>
      <c r="AK73" s="423"/>
      <c r="AL73" s="423"/>
      <c r="AM73" s="423"/>
      <c r="AN73" s="423"/>
      <c r="AO73" s="423"/>
      <c r="AP73" s="423"/>
      <c r="AQ73" s="423"/>
      <c r="AR73" s="423"/>
      <c r="AS73" s="423"/>
      <c r="AT73" s="423"/>
    </row>
    <row r="74" spans="1:46" ht="39.75" customHeight="1" thickBot="1" x14ac:dyDescent="0.5">
      <c r="A74" s="423"/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  <c r="K74" s="423"/>
      <c r="L74" s="423"/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423"/>
      <c r="Y74" s="423"/>
      <c r="Z74" s="423"/>
      <c r="AA74" s="423"/>
      <c r="AB74" s="423"/>
      <c r="AC74" s="423"/>
      <c r="AD74" s="423"/>
      <c r="AE74" s="423"/>
      <c r="AF74" s="423"/>
      <c r="AG74" s="423"/>
      <c r="AH74" s="423"/>
      <c r="AI74" s="423"/>
      <c r="AJ74" s="423"/>
      <c r="AK74" s="423"/>
      <c r="AL74" s="423"/>
      <c r="AM74" s="423"/>
      <c r="AN74" s="423"/>
      <c r="AO74" s="423"/>
      <c r="AP74" s="423"/>
      <c r="AQ74" s="423"/>
      <c r="AR74" s="423"/>
      <c r="AS74" s="423"/>
      <c r="AT74" s="423"/>
    </row>
    <row r="75" spans="1:46" ht="38.25" customHeight="1" thickBot="1" x14ac:dyDescent="0.5">
      <c r="A75" s="423"/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  <c r="K75" s="423"/>
      <c r="L75" s="423"/>
      <c r="M75" s="423"/>
      <c r="N75" s="423"/>
      <c r="O75" s="423"/>
      <c r="P75" s="423"/>
      <c r="Q75" s="423"/>
      <c r="R75" s="423"/>
      <c r="S75" s="423"/>
      <c r="T75" s="423"/>
      <c r="U75" s="423"/>
      <c r="V75" s="423"/>
      <c r="W75" s="423"/>
      <c r="X75" s="423"/>
      <c r="Y75" s="423"/>
      <c r="Z75" s="423"/>
      <c r="AA75" s="423"/>
      <c r="AB75" s="423"/>
      <c r="AC75" s="423"/>
      <c r="AD75" s="423"/>
      <c r="AE75" s="423"/>
      <c r="AF75" s="423"/>
      <c r="AG75" s="423"/>
      <c r="AH75" s="423"/>
      <c r="AI75" s="423"/>
      <c r="AJ75" s="423"/>
      <c r="AK75" s="423"/>
      <c r="AL75" s="423"/>
      <c r="AM75" s="423"/>
      <c r="AN75" s="423"/>
      <c r="AO75" s="423"/>
      <c r="AP75" s="423"/>
      <c r="AQ75" s="423"/>
      <c r="AR75" s="423"/>
      <c r="AS75" s="423"/>
      <c r="AT75" s="423"/>
    </row>
    <row r="76" spans="1:46" ht="30.75" customHeight="1" x14ac:dyDescent="0.4">
      <c r="A76" s="423"/>
      <c r="B76" s="541" t="s">
        <v>218</v>
      </c>
      <c r="C76" s="542">
        <f>C65</f>
        <v>291</v>
      </c>
      <c r="D76" s="543">
        <f>C76/60</f>
        <v>4.8499999999999996</v>
      </c>
      <c r="E76" s="542">
        <f>D65</f>
        <v>263</v>
      </c>
      <c r="F76" s="544">
        <f>E76/60</f>
        <v>4.3833333333333337</v>
      </c>
      <c r="G76" s="542">
        <f>E65</f>
        <v>176</v>
      </c>
      <c r="H76" s="543">
        <f>G76/60</f>
        <v>2.9333333333333331</v>
      </c>
      <c r="I76" s="542">
        <f>F65</f>
        <v>315</v>
      </c>
      <c r="J76" s="543">
        <f>I76/60</f>
        <v>5.25</v>
      </c>
      <c r="K76" s="423"/>
      <c r="L76" s="423"/>
      <c r="M76" s="423"/>
      <c r="N76" s="423"/>
      <c r="O76" s="423"/>
      <c r="P76" s="423"/>
      <c r="Q76" s="423"/>
      <c r="R76" s="423"/>
      <c r="S76" s="423"/>
      <c r="T76" s="423"/>
      <c r="U76" s="423"/>
      <c r="V76" s="423"/>
      <c r="W76" s="423"/>
      <c r="X76" s="423"/>
      <c r="Y76" s="423"/>
      <c r="Z76" s="423"/>
      <c r="AA76" s="423"/>
      <c r="AB76" s="423"/>
      <c r="AC76" s="423"/>
      <c r="AD76" s="423"/>
      <c r="AE76" s="423"/>
      <c r="AF76" s="423"/>
      <c r="AG76" s="423"/>
      <c r="AH76" s="423"/>
      <c r="AI76" s="423"/>
      <c r="AJ76" s="423"/>
      <c r="AK76" s="423"/>
      <c r="AL76" s="423"/>
      <c r="AM76" s="423"/>
      <c r="AN76" s="423"/>
      <c r="AO76" s="423"/>
      <c r="AP76" s="423"/>
      <c r="AQ76" s="423"/>
      <c r="AR76" s="423"/>
      <c r="AS76" s="423"/>
      <c r="AT76" s="423"/>
    </row>
    <row r="77" spans="1:46" ht="32.25" customHeight="1" x14ac:dyDescent="0.4">
      <c r="A77" s="423"/>
      <c r="B77" s="541" t="s">
        <v>219</v>
      </c>
      <c r="C77" s="545">
        <f>L65</f>
        <v>973</v>
      </c>
      <c r="D77" s="546">
        <f>C77/60</f>
        <v>16.216666666666665</v>
      </c>
      <c r="E77" s="545">
        <f>M65</f>
        <v>298</v>
      </c>
      <c r="F77" s="547">
        <f>E77/60</f>
        <v>4.9666666666666668</v>
      </c>
      <c r="G77" s="545">
        <f>N65</f>
        <v>0</v>
      </c>
      <c r="H77" s="546">
        <f>G77/60</f>
        <v>0</v>
      </c>
      <c r="I77" s="545">
        <f>O65</f>
        <v>331</v>
      </c>
      <c r="J77" s="546">
        <f>I77/60</f>
        <v>5.5166666666666666</v>
      </c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23"/>
      <c r="X77" s="423"/>
      <c r="Y77" s="423"/>
      <c r="Z77" s="423"/>
      <c r="AA77" s="423"/>
      <c r="AB77" s="423"/>
      <c r="AC77" s="423"/>
      <c r="AD77" s="423"/>
      <c r="AE77" s="423"/>
      <c r="AF77" s="423"/>
      <c r="AG77" s="423"/>
      <c r="AH77" s="423"/>
      <c r="AI77" s="423"/>
      <c r="AJ77" s="423"/>
      <c r="AK77" s="423"/>
      <c r="AL77" s="423"/>
      <c r="AM77" s="423"/>
      <c r="AN77" s="423"/>
      <c r="AO77" s="423"/>
      <c r="AP77" s="423"/>
      <c r="AQ77" s="423"/>
      <c r="AR77" s="423"/>
      <c r="AS77" s="423"/>
      <c r="AT77" s="423"/>
    </row>
    <row r="78" spans="1:46" ht="25.5" customHeight="1" x14ac:dyDescent="0.4">
      <c r="A78" s="423"/>
      <c r="B78" s="541" t="s">
        <v>220</v>
      </c>
      <c r="C78" s="545">
        <f>U65</f>
        <v>617</v>
      </c>
      <c r="D78" s="546">
        <f>C78/60</f>
        <v>10.283333333333333</v>
      </c>
      <c r="E78" s="545">
        <f>V65</f>
        <v>503</v>
      </c>
      <c r="F78" s="547">
        <f>E78/60</f>
        <v>8.3833333333333329</v>
      </c>
      <c r="G78" s="545">
        <f>W65</f>
        <v>386</v>
      </c>
      <c r="H78" s="546">
        <f>G78/60</f>
        <v>6.4333333333333336</v>
      </c>
      <c r="I78" s="545">
        <f>X65</f>
        <v>366</v>
      </c>
      <c r="J78" s="546">
        <f>I78/60</f>
        <v>6.1</v>
      </c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23"/>
      <c r="X78" s="423"/>
      <c r="Y78" s="423"/>
      <c r="Z78" s="423"/>
      <c r="AA78" s="423"/>
      <c r="AB78" s="423"/>
      <c r="AC78" s="423"/>
      <c r="AD78" s="423"/>
      <c r="AE78" s="423"/>
      <c r="AF78" s="423"/>
      <c r="AG78" s="423"/>
      <c r="AH78" s="423"/>
      <c r="AI78" s="423"/>
      <c r="AJ78" s="423"/>
      <c r="AK78" s="423"/>
      <c r="AL78" s="423"/>
      <c r="AM78" s="423"/>
      <c r="AN78" s="423"/>
      <c r="AO78" s="423"/>
      <c r="AP78" s="423"/>
      <c r="AQ78" s="423"/>
      <c r="AR78" s="423"/>
      <c r="AS78" s="423"/>
      <c r="AT78" s="423"/>
    </row>
    <row r="79" spans="1:46" ht="27.75" customHeight="1" thickBot="1" x14ac:dyDescent="0.45">
      <c r="A79" s="423"/>
      <c r="B79" s="541" t="s">
        <v>221</v>
      </c>
      <c r="C79" s="548">
        <f>AD65</f>
        <v>3613</v>
      </c>
      <c r="D79" s="549">
        <f>C79/60</f>
        <v>60.216666666666669</v>
      </c>
      <c r="E79" s="548">
        <f>AE65</f>
        <v>67</v>
      </c>
      <c r="F79" s="550">
        <f>E79/60</f>
        <v>1.1166666666666667</v>
      </c>
      <c r="G79" s="548">
        <f>AF65</f>
        <v>275</v>
      </c>
      <c r="H79" s="549">
        <f>G79/60</f>
        <v>4.583333333333333</v>
      </c>
      <c r="I79" s="548">
        <f>AG65</f>
        <v>328</v>
      </c>
      <c r="J79" s="549">
        <f>I79/60</f>
        <v>5.4666666666666668</v>
      </c>
      <c r="K79" s="423"/>
      <c r="L79" s="423"/>
      <c r="M79" s="423"/>
      <c r="N79" s="423"/>
      <c r="O79" s="423"/>
      <c r="P79" s="423"/>
      <c r="Q79" s="423"/>
      <c r="R79" s="423"/>
      <c r="S79" s="423"/>
      <c r="T79" s="423"/>
      <c r="U79" s="423"/>
      <c r="V79" s="423"/>
      <c r="W79" s="423"/>
      <c r="X79" s="423"/>
      <c r="Y79" s="423"/>
      <c r="Z79" s="423"/>
      <c r="AA79" s="423"/>
      <c r="AB79" s="423"/>
      <c r="AC79" s="423"/>
      <c r="AD79" s="423"/>
      <c r="AE79" s="423"/>
      <c r="AF79" s="423"/>
      <c r="AG79" s="423"/>
      <c r="AH79" s="423"/>
      <c r="AI79" s="423"/>
      <c r="AJ79" s="423"/>
      <c r="AK79" s="423"/>
      <c r="AL79" s="423"/>
      <c r="AM79" s="423"/>
      <c r="AN79" s="423"/>
      <c r="AO79" s="423"/>
      <c r="AP79" s="423"/>
      <c r="AQ79" s="423"/>
      <c r="AR79" s="423"/>
      <c r="AS79" s="423"/>
      <c r="AT79" s="423"/>
    </row>
    <row r="80" spans="1:46" ht="31.5" customHeight="1" thickBot="1" x14ac:dyDescent="0.45">
      <c r="A80" s="423"/>
      <c r="B80" s="541" t="s">
        <v>488</v>
      </c>
      <c r="C80" s="643">
        <f>AM65</f>
        <v>369</v>
      </c>
      <c r="D80" s="642">
        <f>C80/60</f>
        <v>6.15</v>
      </c>
      <c r="E80" s="643">
        <f>AN65</f>
        <v>204</v>
      </c>
      <c r="F80" s="644">
        <f>E80/60</f>
        <v>3.4</v>
      </c>
      <c r="G80" s="643">
        <f>AO65</f>
        <v>12</v>
      </c>
      <c r="H80" s="642">
        <f>G80/60</f>
        <v>0.2</v>
      </c>
      <c r="I80" s="643">
        <f>AP65</f>
        <v>314</v>
      </c>
      <c r="J80" s="642">
        <f>I80/60</f>
        <v>5.2333333333333334</v>
      </c>
      <c r="K80" s="423"/>
      <c r="L80" s="423"/>
      <c r="M80" s="423"/>
      <c r="N80" s="423"/>
      <c r="O80" s="423"/>
      <c r="P80" s="423"/>
      <c r="Q80" s="423"/>
      <c r="R80" s="423"/>
      <c r="S80" s="423"/>
      <c r="T80" s="423"/>
      <c r="U80" s="423"/>
      <c r="V80" s="423"/>
      <c r="W80" s="423"/>
      <c r="X80" s="423"/>
      <c r="Y80" s="423"/>
      <c r="Z80" s="423"/>
      <c r="AA80" s="423"/>
      <c r="AB80" s="423"/>
      <c r="AC80" s="423"/>
      <c r="AD80" s="423"/>
      <c r="AE80" s="423"/>
      <c r="AF80" s="423"/>
      <c r="AG80" s="423"/>
      <c r="AH80" s="423"/>
      <c r="AI80" s="423"/>
      <c r="AJ80" s="423"/>
      <c r="AK80" s="423"/>
      <c r="AL80" s="423"/>
      <c r="AM80" s="423"/>
      <c r="AN80" s="423"/>
      <c r="AO80" s="423"/>
      <c r="AP80" s="423"/>
      <c r="AQ80" s="423"/>
      <c r="AR80" s="423"/>
      <c r="AS80" s="423"/>
      <c r="AT80" s="423"/>
    </row>
    <row r="81" spans="1:46" ht="18.45" thickBot="1" x14ac:dyDescent="0.5">
      <c r="A81" s="423"/>
      <c r="B81" s="354"/>
      <c r="C81" s="255"/>
      <c r="D81" s="255"/>
      <c r="E81" s="255"/>
      <c r="F81" s="255"/>
      <c r="G81" s="255"/>
      <c r="H81" s="255"/>
      <c r="I81" s="255"/>
      <c r="J81" s="255"/>
      <c r="K81" s="423"/>
      <c r="L81" s="423"/>
      <c r="M81" s="423"/>
      <c r="N81" s="423"/>
      <c r="O81" s="423"/>
      <c r="P81" s="423"/>
      <c r="Q81" s="423"/>
      <c r="R81" s="423"/>
      <c r="S81" s="423"/>
      <c r="T81" s="423"/>
      <c r="U81" s="423"/>
      <c r="V81" s="423"/>
      <c r="W81" s="423"/>
      <c r="X81" s="423"/>
      <c r="Y81" s="423"/>
      <c r="Z81" s="423"/>
      <c r="AA81" s="423"/>
      <c r="AB81" s="423"/>
      <c r="AC81" s="423"/>
      <c r="AD81" s="423"/>
      <c r="AE81" s="423"/>
      <c r="AF81" s="423"/>
      <c r="AG81" s="423"/>
      <c r="AH81" s="423"/>
      <c r="AI81" s="423"/>
      <c r="AJ81" s="423"/>
      <c r="AK81" s="423"/>
      <c r="AL81" s="423"/>
      <c r="AM81" s="423"/>
      <c r="AN81" s="423"/>
      <c r="AO81" s="423"/>
      <c r="AP81" s="423"/>
      <c r="AQ81" s="423"/>
      <c r="AR81" s="423"/>
      <c r="AS81" s="423"/>
      <c r="AT81" s="423"/>
    </row>
    <row r="82" spans="1:46" ht="38.25" customHeight="1" thickBot="1" x14ac:dyDescent="0.5">
      <c r="A82" s="423"/>
      <c r="B82" s="551" t="s">
        <v>217</v>
      </c>
      <c r="C82" s="556"/>
      <c r="D82" s="557">
        <f>SUM(D76:D80)</f>
        <v>97.716666666666669</v>
      </c>
      <c r="E82" s="556">
        <v>1322</v>
      </c>
      <c r="F82" s="557">
        <f>SUM(F76:F80)</f>
        <v>22.25</v>
      </c>
      <c r="G82" s="556">
        <v>832</v>
      </c>
      <c r="H82" s="557">
        <f>SUM(H76:H80)</f>
        <v>14.149999999999999</v>
      </c>
      <c r="I82" s="556">
        <v>1650</v>
      </c>
      <c r="J82" s="558">
        <v>2750</v>
      </c>
      <c r="K82" s="423"/>
      <c r="L82" s="423"/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23"/>
      <c r="X82" s="423"/>
      <c r="Y82" s="423"/>
      <c r="Z82" s="423"/>
      <c r="AA82" s="423"/>
      <c r="AB82" s="423"/>
      <c r="AC82" s="423"/>
      <c r="AD82" s="423"/>
      <c r="AE82" s="423"/>
      <c r="AF82" s="423"/>
      <c r="AG82" s="423"/>
      <c r="AH82" s="423"/>
      <c r="AI82" s="423"/>
      <c r="AJ82" s="423"/>
      <c r="AK82" s="423"/>
      <c r="AL82" s="423"/>
      <c r="AM82" s="423"/>
      <c r="AN82" s="423"/>
      <c r="AO82" s="423"/>
      <c r="AP82" s="423"/>
      <c r="AQ82" s="423"/>
      <c r="AR82" s="423"/>
      <c r="AS82" s="423"/>
      <c r="AT82" s="423"/>
    </row>
    <row r="83" spans="1:46" x14ac:dyDescent="0.4">
      <c r="A83" s="423"/>
      <c r="B83" s="65"/>
      <c r="C83" s="423"/>
      <c r="D83" s="423"/>
      <c r="E83" s="423"/>
      <c r="F83" s="423"/>
      <c r="G83" s="423"/>
      <c r="H83" s="423"/>
      <c r="I83" s="423"/>
      <c r="J83" s="423"/>
      <c r="K83" s="423"/>
      <c r="L83" s="423"/>
      <c r="M83" s="423"/>
      <c r="N83" s="423"/>
      <c r="O83" s="423"/>
      <c r="P83" s="423"/>
      <c r="Q83" s="423"/>
      <c r="R83" s="423"/>
      <c r="S83" s="423"/>
      <c r="T83" s="423"/>
      <c r="U83" s="423"/>
      <c r="V83" s="423"/>
      <c r="W83" s="423"/>
      <c r="X83" s="423"/>
      <c r="Y83" s="423"/>
      <c r="Z83" s="423"/>
      <c r="AA83" s="423"/>
      <c r="AB83" s="423"/>
      <c r="AC83" s="423"/>
      <c r="AD83" s="423"/>
      <c r="AE83" s="423"/>
      <c r="AF83" s="423"/>
      <c r="AG83" s="423"/>
      <c r="AH83" s="423"/>
      <c r="AI83" s="423"/>
      <c r="AJ83" s="423"/>
      <c r="AK83" s="423"/>
      <c r="AL83" s="423"/>
      <c r="AM83" s="423"/>
      <c r="AN83" s="423"/>
      <c r="AO83" s="423"/>
      <c r="AP83" s="423"/>
      <c r="AQ83" s="423"/>
      <c r="AR83" s="423"/>
      <c r="AS83" s="423"/>
      <c r="AT83" s="423"/>
    </row>
    <row r="84" spans="1:46" x14ac:dyDescent="0.4">
      <c r="A84" s="423"/>
      <c r="B84" s="65"/>
      <c r="C84" s="423"/>
      <c r="D84" s="423"/>
      <c r="E84" s="423"/>
      <c r="F84" s="423"/>
      <c r="G84" s="423"/>
      <c r="H84" s="423"/>
      <c r="I84" s="423"/>
      <c r="J84" s="423"/>
      <c r="K84" s="423"/>
      <c r="L84" s="423"/>
      <c r="M84" s="423"/>
      <c r="N84" s="423"/>
      <c r="O84" s="423"/>
      <c r="P84" s="423"/>
      <c r="Q84" s="423"/>
      <c r="R84" s="423"/>
      <c r="S84" s="423"/>
      <c r="T84" s="423"/>
      <c r="U84" s="423"/>
      <c r="V84" s="423"/>
      <c r="W84" s="423"/>
      <c r="X84" s="423"/>
      <c r="Y84" s="423"/>
      <c r="Z84" s="423"/>
      <c r="AA84" s="423"/>
      <c r="AB84" s="423"/>
      <c r="AC84" s="423"/>
      <c r="AD84" s="423"/>
      <c r="AE84" s="423"/>
      <c r="AF84" s="423"/>
      <c r="AG84" s="423"/>
      <c r="AH84" s="423"/>
      <c r="AI84" s="423"/>
      <c r="AJ84" s="423"/>
      <c r="AK84" s="423"/>
      <c r="AL84" s="423"/>
      <c r="AM84" s="423"/>
      <c r="AN84" s="423"/>
      <c r="AO84" s="423"/>
      <c r="AP84" s="423"/>
      <c r="AQ84" s="423"/>
      <c r="AR84" s="423"/>
      <c r="AS84" s="423"/>
      <c r="AT84" s="423"/>
    </row>
    <row r="85" spans="1:46" x14ac:dyDescent="0.4">
      <c r="A85" s="423"/>
      <c r="B85" s="65"/>
      <c r="C85" s="423"/>
      <c r="D85" s="423"/>
      <c r="E85" s="423"/>
      <c r="F85" s="423"/>
      <c r="G85" s="423"/>
      <c r="H85" s="423"/>
      <c r="I85" s="423"/>
      <c r="J85" s="423"/>
      <c r="K85" s="423"/>
      <c r="L85" s="423"/>
      <c r="M85" s="423"/>
      <c r="N85" s="423"/>
      <c r="O85" s="423"/>
      <c r="P85" s="423"/>
      <c r="Q85" s="423"/>
      <c r="R85" s="423"/>
      <c r="S85" s="423"/>
      <c r="T85" s="423"/>
      <c r="U85" s="423"/>
      <c r="V85" s="423"/>
      <c r="W85" s="423"/>
      <c r="X85" s="423"/>
      <c r="Y85" s="423"/>
      <c r="Z85" s="423"/>
      <c r="AA85" s="423"/>
      <c r="AB85" s="423"/>
      <c r="AC85" s="423"/>
      <c r="AD85" s="423"/>
      <c r="AE85" s="423"/>
      <c r="AF85" s="423"/>
      <c r="AG85" s="423"/>
      <c r="AH85" s="423"/>
      <c r="AI85" s="423"/>
      <c r="AJ85" s="423"/>
      <c r="AK85" s="423"/>
      <c r="AL85" s="423"/>
      <c r="AM85" s="423"/>
      <c r="AN85" s="423"/>
      <c r="AO85" s="423"/>
      <c r="AP85" s="423"/>
      <c r="AQ85" s="423"/>
      <c r="AR85" s="423"/>
      <c r="AS85" s="423"/>
      <c r="AT85" s="423"/>
    </row>
    <row r="86" spans="1:46" x14ac:dyDescent="0.4">
      <c r="A86" s="423"/>
      <c r="B86" s="65"/>
      <c r="C86" s="423"/>
      <c r="D86" s="423"/>
      <c r="E86" s="423"/>
      <c r="F86" s="423"/>
      <c r="G86" s="423"/>
      <c r="H86" s="423"/>
      <c r="I86" s="423"/>
      <c r="J86" s="423"/>
      <c r="K86" s="423"/>
      <c r="L86" s="423"/>
      <c r="M86" s="423"/>
      <c r="N86" s="423"/>
      <c r="O86" s="423"/>
      <c r="P86" s="423"/>
      <c r="Q86" s="423"/>
      <c r="R86" s="423"/>
      <c r="S86" s="423"/>
      <c r="T86" s="423"/>
      <c r="U86" s="423"/>
      <c r="V86" s="423"/>
      <c r="W86" s="423"/>
      <c r="X86" s="423"/>
      <c r="Y86" s="423"/>
      <c r="Z86" s="423"/>
      <c r="AA86" s="423"/>
      <c r="AB86" s="423"/>
      <c r="AC86" s="423"/>
      <c r="AD86" s="423"/>
      <c r="AE86" s="423"/>
      <c r="AF86" s="423"/>
      <c r="AG86" s="423"/>
      <c r="AH86" s="423"/>
      <c r="AI86" s="423"/>
      <c r="AJ86" s="423"/>
      <c r="AK86" s="423"/>
      <c r="AL86" s="423"/>
      <c r="AM86" s="423"/>
      <c r="AN86" s="423"/>
      <c r="AO86" s="423"/>
      <c r="AP86" s="423"/>
      <c r="AQ86" s="423"/>
      <c r="AR86" s="423"/>
      <c r="AS86" s="423"/>
      <c r="AT86" s="423"/>
    </row>
    <row r="87" spans="1:46" x14ac:dyDescent="0.4">
      <c r="A87" s="423"/>
      <c r="B87" s="65"/>
      <c r="C87" s="423"/>
      <c r="D87" s="423"/>
      <c r="E87" s="423"/>
      <c r="F87" s="423"/>
      <c r="G87" s="423"/>
      <c r="H87" s="423"/>
      <c r="I87" s="423"/>
      <c r="J87" s="423"/>
      <c r="K87" s="423"/>
      <c r="L87" s="423"/>
      <c r="M87" s="423"/>
      <c r="N87" s="423"/>
      <c r="O87" s="423"/>
      <c r="P87" s="423"/>
      <c r="Q87" s="423"/>
      <c r="R87" s="423"/>
      <c r="S87" s="423"/>
      <c r="T87" s="423"/>
      <c r="U87" s="423"/>
      <c r="V87" s="423"/>
      <c r="W87" s="423"/>
      <c r="X87" s="423"/>
      <c r="Y87" s="423"/>
      <c r="Z87" s="423"/>
      <c r="AA87" s="423"/>
      <c r="AB87" s="423"/>
      <c r="AC87" s="423"/>
      <c r="AD87" s="423"/>
      <c r="AE87" s="423"/>
      <c r="AF87" s="423"/>
      <c r="AG87" s="423"/>
      <c r="AH87" s="423"/>
      <c r="AI87" s="423"/>
      <c r="AJ87" s="423"/>
      <c r="AK87" s="423"/>
      <c r="AL87" s="423"/>
      <c r="AM87" s="423"/>
      <c r="AN87" s="423"/>
      <c r="AO87" s="423"/>
      <c r="AP87" s="423"/>
      <c r="AQ87" s="423"/>
      <c r="AR87" s="423"/>
      <c r="AS87" s="423"/>
      <c r="AT87" s="423"/>
    </row>
    <row r="88" spans="1:46" x14ac:dyDescent="0.4">
      <c r="A88" s="423"/>
      <c r="B88" s="65"/>
      <c r="C88" s="423"/>
      <c r="D88" s="423"/>
      <c r="E88" s="423"/>
      <c r="F88" s="423"/>
      <c r="G88" s="423"/>
      <c r="H88" s="423"/>
      <c r="I88" s="423"/>
      <c r="J88" s="423"/>
      <c r="K88" s="423"/>
      <c r="L88" s="423"/>
      <c r="M88" s="423"/>
      <c r="N88" s="423"/>
      <c r="O88" s="423"/>
      <c r="P88" s="423"/>
      <c r="Q88" s="423"/>
      <c r="R88" s="423"/>
      <c r="S88" s="423"/>
      <c r="T88" s="423"/>
      <c r="U88" s="423"/>
      <c r="V88" s="423"/>
      <c r="W88" s="423"/>
      <c r="X88" s="423"/>
      <c r="Y88" s="423"/>
      <c r="Z88" s="423"/>
      <c r="AA88" s="423"/>
      <c r="AB88" s="423"/>
      <c r="AC88" s="423"/>
      <c r="AD88" s="423"/>
      <c r="AE88" s="423"/>
      <c r="AF88" s="423"/>
      <c r="AG88" s="423"/>
      <c r="AH88" s="423"/>
      <c r="AI88" s="423"/>
      <c r="AJ88" s="423"/>
      <c r="AK88" s="423"/>
      <c r="AL88" s="423"/>
      <c r="AM88" s="423"/>
      <c r="AN88" s="423"/>
      <c r="AO88" s="423"/>
      <c r="AP88" s="423"/>
      <c r="AQ88" s="423"/>
      <c r="AR88" s="423"/>
      <c r="AS88" s="423"/>
      <c r="AT88" s="423"/>
    </row>
    <row r="89" spans="1:46" x14ac:dyDescent="0.4">
      <c r="A89" s="423"/>
      <c r="B89" s="65"/>
      <c r="C89" s="423"/>
      <c r="D89" s="423"/>
      <c r="E89" s="423"/>
      <c r="F89" s="423"/>
      <c r="G89" s="423"/>
      <c r="H89" s="423"/>
      <c r="I89" s="423"/>
      <c r="J89" s="423"/>
      <c r="K89" s="423"/>
      <c r="L89" s="423"/>
      <c r="M89" s="423"/>
      <c r="N89" s="423"/>
      <c r="O89" s="423"/>
      <c r="P89" s="423"/>
      <c r="Q89" s="423"/>
      <c r="R89" s="423"/>
      <c r="S89" s="423"/>
      <c r="T89" s="423"/>
      <c r="U89" s="423"/>
      <c r="V89" s="423"/>
      <c r="W89" s="423"/>
      <c r="X89" s="423"/>
      <c r="Y89" s="423"/>
      <c r="Z89" s="423"/>
      <c r="AA89" s="423"/>
      <c r="AB89" s="423"/>
      <c r="AC89" s="423"/>
      <c r="AD89" s="423"/>
      <c r="AE89" s="423"/>
      <c r="AF89" s="423"/>
      <c r="AG89" s="423"/>
      <c r="AH89" s="423"/>
      <c r="AI89" s="423"/>
      <c r="AJ89" s="423"/>
      <c r="AK89" s="423"/>
      <c r="AL89" s="423"/>
      <c r="AM89" s="423"/>
      <c r="AN89" s="423"/>
      <c r="AO89" s="423"/>
      <c r="AP89" s="423"/>
      <c r="AQ89" s="423"/>
      <c r="AR89" s="423"/>
      <c r="AS89" s="423"/>
      <c r="AT89" s="423"/>
    </row>
    <row r="90" spans="1:46" x14ac:dyDescent="0.4">
      <c r="A90" s="423"/>
      <c r="B90" s="65"/>
      <c r="C90" s="423"/>
      <c r="D90" s="423"/>
      <c r="E90" s="423"/>
      <c r="F90" s="423"/>
      <c r="G90" s="423"/>
      <c r="H90" s="423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423"/>
      <c r="Y90" s="423"/>
      <c r="Z90" s="423"/>
      <c r="AA90" s="423"/>
      <c r="AB90" s="423"/>
      <c r="AC90" s="423"/>
      <c r="AD90" s="423"/>
      <c r="AE90" s="423"/>
      <c r="AF90" s="423"/>
      <c r="AG90" s="423"/>
      <c r="AH90" s="423"/>
      <c r="AI90" s="423"/>
      <c r="AJ90" s="423"/>
      <c r="AK90" s="423"/>
      <c r="AL90" s="423"/>
      <c r="AM90" s="423"/>
      <c r="AN90" s="423"/>
      <c r="AO90" s="423"/>
      <c r="AP90" s="423"/>
      <c r="AQ90" s="423"/>
      <c r="AR90" s="423"/>
      <c r="AS90" s="423"/>
      <c r="AT90" s="423"/>
    </row>
    <row r="91" spans="1:46" x14ac:dyDescent="0.4">
      <c r="A91" s="423"/>
      <c r="B91" s="65"/>
      <c r="C91" s="423"/>
      <c r="D91" s="423"/>
      <c r="E91" s="423"/>
      <c r="F91" s="423"/>
      <c r="G91" s="423"/>
      <c r="H91" s="423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23"/>
      <c r="X91" s="423"/>
      <c r="Y91" s="423"/>
      <c r="Z91" s="423"/>
      <c r="AA91" s="423"/>
      <c r="AB91" s="423"/>
      <c r="AC91" s="423"/>
      <c r="AD91" s="423"/>
      <c r="AE91" s="423"/>
      <c r="AF91" s="423"/>
      <c r="AG91" s="423"/>
      <c r="AH91" s="423"/>
      <c r="AI91" s="423"/>
      <c r="AJ91" s="423"/>
      <c r="AK91" s="423"/>
      <c r="AL91" s="423"/>
      <c r="AM91" s="423"/>
      <c r="AN91" s="423"/>
      <c r="AO91" s="423"/>
      <c r="AP91" s="423"/>
      <c r="AQ91" s="423"/>
      <c r="AR91" s="423"/>
      <c r="AS91" s="423"/>
      <c r="AT91" s="423"/>
    </row>
    <row r="92" spans="1:46" x14ac:dyDescent="0.4">
      <c r="A92" s="423"/>
      <c r="B92" s="65"/>
      <c r="C92" s="423"/>
      <c r="D92" s="423"/>
      <c r="E92" s="423"/>
      <c r="F92" s="423"/>
      <c r="G92" s="423"/>
      <c r="H92" s="423"/>
      <c r="I92" s="423"/>
      <c r="J92" s="423"/>
      <c r="K92" s="423"/>
      <c r="L92" s="423"/>
      <c r="M92" s="423"/>
      <c r="N92" s="423"/>
      <c r="O92" s="423"/>
      <c r="P92" s="423"/>
      <c r="Q92" s="423"/>
      <c r="R92" s="423"/>
      <c r="S92" s="423"/>
      <c r="T92" s="423"/>
      <c r="U92" s="423"/>
      <c r="V92" s="423"/>
      <c r="W92" s="423"/>
      <c r="X92" s="423"/>
      <c r="Y92" s="423"/>
      <c r="Z92" s="423"/>
      <c r="AA92" s="423"/>
      <c r="AB92" s="423"/>
      <c r="AC92" s="423"/>
      <c r="AD92" s="423"/>
      <c r="AE92" s="423"/>
      <c r="AF92" s="423"/>
      <c r="AG92" s="423"/>
      <c r="AH92" s="423"/>
      <c r="AI92" s="423"/>
      <c r="AJ92" s="423"/>
      <c r="AK92" s="423"/>
      <c r="AL92" s="423"/>
      <c r="AM92" s="423"/>
      <c r="AN92" s="423"/>
      <c r="AO92" s="423"/>
      <c r="AP92" s="423"/>
      <c r="AQ92" s="423"/>
      <c r="AR92" s="423"/>
      <c r="AS92" s="423"/>
      <c r="AT92" s="423"/>
    </row>
    <row r="93" spans="1:46" x14ac:dyDescent="0.4">
      <c r="A93" s="423"/>
      <c r="B93" s="65"/>
      <c r="C93" s="423"/>
      <c r="D93" s="423"/>
      <c r="E93" s="423"/>
      <c r="F93" s="423"/>
      <c r="G93" s="423"/>
      <c r="H93" s="423"/>
      <c r="I93" s="423"/>
      <c r="J93" s="423"/>
      <c r="K93" s="423"/>
      <c r="L93" s="423"/>
      <c r="M93" s="423"/>
      <c r="N93" s="423"/>
      <c r="O93" s="423"/>
      <c r="P93" s="423"/>
      <c r="Q93" s="423"/>
      <c r="R93" s="423"/>
      <c r="S93" s="423"/>
      <c r="T93" s="423"/>
      <c r="U93" s="423"/>
      <c r="V93" s="423"/>
      <c r="W93" s="423"/>
      <c r="X93" s="423"/>
      <c r="Y93" s="423"/>
      <c r="Z93" s="423"/>
      <c r="AA93" s="423"/>
      <c r="AB93" s="423"/>
      <c r="AC93" s="423"/>
      <c r="AD93" s="423"/>
      <c r="AE93" s="423"/>
      <c r="AF93" s="423"/>
      <c r="AG93" s="423"/>
      <c r="AH93" s="423"/>
      <c r="AI93" s="423"/>
      <c r="AJ93" s="423"/>
      <c r="AK93" s="423"/>
      <c r="AL93" s="423"/>
      <c r="AM93" s="423"/>
      <c r="AN93" s="423"/>
      <c r="AO93" s="423"/>
      <c r="AP93" s="423"/>
      <c r="AQ93" s="423"/>
      <c r="AR93" s="423"/>
      <c r="AS93" s="423"/>
      <c r="AT93" s="423"/>
    </row>
    <row r="94" spans="1:46" x14ac:dyDescent="0.4">
      <c r="A94" s="423"/>
      <c r="B94" s="65"/>
      <c r="C94" s="423"/>
      <c r="D94" s="423"/>
      <c r="E94" s="423"/>
      <c r="F94" s="423"/>
      <c r="G94" s="423"/>
      <c r="H94" s="423"/>
      <c r="I94" s="423"/>
      <c r="J94" s="423"/>
      <c r="K94" s="423"/>
      <c r="L94" s="423"/>
      <c r="M94" s="423"/>
      <c r="N94" s="423"/>
      <c r="O94" s="423"/>
      <c r="P94" s="423"/>
      <c r="Q94" s="423"/>
      <c r="R94" s="423"/>
      <c r="S94" s="423"/>
      <c r="T94" s="423"/>
      <c r="U94" s="423"/>
      <c r="V94" s="423"/>
      <c r="W94" s="423"/>
      <c r="X94" s="423"/>
      <c r="Y94" s="423"/>
      <c r="Z94" s="423"/>
      <c r="AA94" s="423"/>
      <c r="AB94" s="423"/>
      <c r="AC94" s="423"/>
      <c r="AD94" s="423"/>
      <c r="AE94" s="423"/>
      <c r="AF94" s="423"/>
      <c r="AG94" s="423"/>
      <c r="AH94" s="423"/>
      <c r="AI94" s="423"/>
      <c r="AJ94" s="423"/>
      <c r="AK94" s="423"/>
      <c r="AL94" s="423"/>
      <c r="AM94" s="423"/>
      <c r="AN94" s="423"/>
      <c r="AO94" s="423"/>
      <c r="AP94" s="423"/>
      <c r="AQ94" s="423"/>
      <c r="AR94" s="423"/>
      <c r="AS94" s="423"/>
      <c r="AT94" s="423"/>
    </row>
    <row r="95" spans="1:46" x14ac:dyDescent="0.4">
      <c r="A95" s="423"/>
      <c r="B95" s="65"/>
      <c r="C95" s="423"/>
      <c r="D95" s="423"/>
      <c r="E95" s="423"/>
      <c r="F95" s="423"/>
      <c r="G95" s="423"/>
      <c r="H95" s="423"/>
      <c r="I95" s="423"/>
      <c r="J95" s="423"/>
      <c r="K95" s="423"/>
      <c r="L95" s="423"/>
      <c r="M95" s="423"/>
      <c r="N95" s="423"/>
      <c r="O95" s="423"/>
      <c r="P95" s="423"/>
      <c r="Q95" s="423"/>
      <c r="R95" s="423"/>
      <c r="S95" s="423"/>
      <c r="T95" s="423"/>
      <c r="U95" s="423"/>
      <c r="V95" s="423"/>
      <c r="W95" s="423"/>
      <c r="X95" s="423"/>
      <c r="Y95" s="423"/>
      <c r="Z95" s="423"/>
      <c r="AA95" s="423"/>
      <c r="AB95" s="423"/>
      <c r="AC95" s="423"/>
      <c r="AD95" s="423"/>
      <c r="AE95" s="423"/>
      <c r="AF95" s="423"/>
      <c r="AG95" s="423"/>
      <c r="AH95" s="423"/>
      <c r="AI95" s="423"/>
      <c r="AJ95" s="423"/>
      <c r="AK95" s="423"/>
      <c r="AL95" s="423"/>
      <c r="AM95" s="423"/>
      <c r="AN95" s="423"/>
      <c r="AO95" s="423"/>
      <c r="AP95" s="423"/>
      <c r="AQ95" s="423"/>
      <c r="AR95" s="423"/>
      <c r="AS95" s="423"/>
      <c r="AT95" s="423"/>
    </row>
    <row r="96" spans="1:46" x14ac:dyDescent="0.4">
      <c r="A96" s="423"/>
      <c r="B96" s="65"/>
      <c r="C96" s="423"/>
      <c r="D96" s="423"/>
      <c r="E96" s="423"/>
      <c r="F96" s="423"/>
      <c r="G96" s="423"/>
      <c r="H96" s="423"/>
      <c r="I96" s="423"/>
      <c r="J96" s="423"/>
      <c r="K96" s="423"/>
      <c r="L96" s="423"/>
      <c r="M96" s="423"/>
      <c r="N96" s="423"/>
      <c r="O96" s="423"/>
      <c r="P96" s="423"/>
      <c r="Q96" s="423"/>
      <c r="R96" s="423"/>
      <c r="S96" s="423"/>
      <c r="T96" s="423"/>
      <c r="U96" s="423"/>
      <c r="V96" s="423"/>
      <c r="W96" s="423"/>
      <c r="X96" s="423"/>
      <c r="Y96" s="423"/>
      <c r="Z96" s="423"/>
      <c r="AA96" s="423"/>
      <c r="AB96" s="423"/>
      <c r="AC96" s="423"/>
      <c r="AD96" s="423"/>
      <c r="AE96" s="423"/>
      <c r="AF96" s="423"/>
      <c r="AG96" s="423"/>
      <c r="AH96" s="423"/>
      <c r="AI96" s="423"/>
      <c r="AJ96" s="423"/>
      <c r="AK96" s="423"/>
      <c r="AL96" s="423"/>
      <c r="AM96" s="423"/>
      <c r="AN96" s="423"/>
      <c r="AO96" s="423"/>
      <c r="AP96" s="423"/>
      <c r="AQ96" s="423"/>
      <c r="AR96" s="423"/>
      <c r="AS96" s="423"/>
      <c r="AT96" s="423"/>
    </row>
    <row r="97" spans="1:46" x14ac:dyDescent="0.4">
      <c r="A97" s="423"/>
      <c r="B97" s="65"/>
      <c r="C97" s="423"/>
      <c r="D97" s="423"/>
      <c r="E97" s="423"/>
      <c r="F97" s="423"/>
      <c r="G97" s="423"/>
      <c r="H97" s="423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23"/>
      <c r="X97" s="423"/>
      <c r="Y97" s="423"/>
      <c r="Z97" s="423"/>
      <c r="AA97" s="423"/>
      <c r="AB97" s="423"/>
      <c r="AC97" s="423"/>
      <c r="AD97" s="423"/>
      <c r="AE97" s="423"/>
      <c r="AF97" s="423"/>
      <c r="AG97" s="423"/>
      <c r="AH97" s="423"/>
      <c r="AI97" s="423"/>
      <c r="AJ97" s="423"/>
      <c r="AK97" s="423"/>
      <c r="AL97" s="423"/>
      <c r="AM97" s="423"/>
      <c r="AN97" s="423"/>
      <c r="AO97" s="423"/>
      <c r="AP97" s="423"/>
      <c r="AQ97" s="423"/>
      <c r="AR97" s="423"/>
      <c r="AS97" s="423"/>
      <c r="AT97" s="423"/>
    </row>
    <row r="98" spans="1:46" x14ac:dyDescent="0.4">
      <c r="A98" s="423"/>
      <c r="B98" s="65"/>
      <c r="C98" s="423"/>
      <c r="D98" s="423"/>
      <c r="E98" s="423"/>
      <c r="F98" s="423"/>
      <c r="G98" s="423"/>
      <c r="H98" s="423"/>
      <c r="I98" s="423"/>
      <c r="J98" s="423"/>
      <c r="K98" s="423"/>
      <c r="L98" s="423"/>
      <c r="M98" s="423"/>
      <c r="N98" s="423"/>
      <c r="O98" s="423"/>
      <c r="P98" s="423"/>
      <c r="Q98" s="423"/>
      <c r="R98" s="423"/>
      <c r="S98" s="423"/>
      <c r="T98" s="423"/>
      <c r="U98" s="423"/>
      <c r="V98" s="423"/>
      <c r="W98" s="423"/>
      <c r="X98" s="423"/>
      <c r="Y98" s="423"/>
      <c r="Z98" s="423"/>
      <c r="AA98" s="423"/>
      <c r="AB98" s="423"/>
      <c r="AC98" s="423"/>
      <c r="AD98" s="423"/>
      <c r="AE98" s="423"/>
      <c r="AF98" s="423"/>
      <c r="AG98" s="423"/>
      <c r="AH98" s="423"/>
      <c r="AI98" s="423"/>
      <c r="AJ98" s="423"/>
      <c r="AK98" s="423"/>
      <c r="AL98" s="423"/>
      <c r="AM98" s="423"/>
      <c r="AN98" s="423"/>
      <c r="AO98" s="423"/>
      <c r="AP98" s="423"/>
      <c r="AQ98" s="423"/>
      <c r="AR98" s="423"/>
      <c r="AS98" s="423"/>
      <c r="AT98" s="423"/>
    </row>
    <row r="99" spans="1:46" x14ac:dyDescent="0.4">
      <c r="A99" s="423"/>
      <c r="B99" s="65"/>
      <c r="C99" s="423"/>
      <c r="D99" s="423"/>
      <c r="E99" s="423"/>
      <c r="F99" s="423"/>
      <c r="G99" s="423"/>
      <c r="H99" s="423"/>
      <c r="I99" s="423"/>
      <c r="J99" s="423"/>
      <c r="K99" s="423"/>
      <c r="L99" s="423"/>
      <c r="M99" s="423"/>
      <c r="N99" s="423"/>
      <c r="O99" s="423"/>
      <c r="P99" s="423"/>
      <c r="Q99" s="423"/>
      <c r="R99" s="423"/>
      <c r="S99" s="423"/>
      <c r="T99" s="423"/>
      <c r="U99" s="423"/>
      <c r="V99" s="423"/>
      <c r="W99" s="423"/>
      <c r="X99" s="423"/>
      <c r="Y99" s="423"/>
      <c r="Z99" s="423"/>
      <c r="AA99" s="423"/>
      <c r="AB99" s="423"/>
      <c r="AC99" s="423"/>
      <c r="AD99" s="423"/>
      <c r="AE99" s="423"/>
      <c r="AF99" s="423"/>
      <c r="AG99" s="423"/>
      <c r="AH99" s="423"/>
      <c r="AI99" s="423"/>
      <c r="AJ99" s="423"/>
      <c r="AK99" s="423"/>
      <c r="AL99" s="423"/>
      <c r="AM99" s="423"/>
      <c r="AN99" s="423"/>
      <c r="AO99" s="423"/>
      <c r="AP99" s="423"/>
      <c r="AQ99" s="423"/>
      <c r="AR99" s="423"/>
      <c r="AS99" s="423"/>
      <c r="AT99" s="423"/>
    </row>
    <row r="100" spans="1:46" x14ac:dyDescent="0.4">
      <c r="A100" s="423"/>
      <c r="B100" s="65"/>
      <c r="C100" s="423"/>
      <c r="D100" s="423"/>
      <c r="E100" s="423"/>
      <c r="F100" s="423"/>
      <c r="G100" s="423"/>
      <c r="H100" s="423"/>
      <c r="I100" s="423"/>
      <c r="J100" s="423"/>
      <c r="K100" s="423"/>
      <c r="L100" s="423"/>
      <c r="M100" s="423"/>
      <c r="N100" s="423"/>
      <c r="O100" s="423"/>
      <c r="P100" s="423"/>
      <c r="Q100" s="423"/>
      <c r="R100" s="423"/>
      <c r="S100" s="423"/>
      <c r="T100" s="423"/>
      <c r="U100" s="423"/>
      <c r="V100" s="423"/>
      <c r="W100" s="423"/>
      <c r="X100" s="423"/>
      <c r="Y100" s="423"/>
      <c r="Z100" s="423"/>
      <c r="AA100" s="423"/>
      <c r="AB100" s="423"/>
      <c r="AC100" s="423"/>
      <c r="AD100" s="423"/>
      <c r="AE100" s="423"/>
      <c r="AF100" s="423"/>
      <c r="AG100" s="423"/>
      <c r="AH100" s="423"/>
      <c r="AI100" s="423"/>
      <c r="AJ100" s="423"/>
      <c r="AK100" s="423"/>
      <c r="AL100" s="423"/>
      <c r="AM100" s="423"/>
      <c r="AN100" s="423"/>
      <c r="AO100" s="423"/>
      <c r="AP100" s="423"/>
      <c r="AQ100" s="423"/>
      <c r="AR100" s="423"/>
      <c r="AS100" s="423"/>
      <c r="AT100" s="423"/>
    </row>
    <row r="101" spans="1:46" x14ac:dyDescent="0.4">
      <c r="A101" s="423"/>
      <c r="B101" s="65"/>
      <c r="C101" s="423"/>
      <c r="D101" s="423"/>
      <c r="E101" s="423"/>
      <c r="F101" s="423"/>
      <c r="G101" s="423"/>
      <c r="H101" s="423"/>
      <c r="I101" s="423"/>
      <c r="J101" s="423"/>
      <c r="K101" s="423"/>
      <c r="L101" s="423"/>
      <c r="M101" s="423"/>
      <c r="N101" s="423"/>
      <c r="O101" s="423"/>
      <c r="P101" s="423"/>
      <c r="Q101" s="423"/>
      <c r="R101" s="423"/>
      <c r="S101" s="423"/>
      <c r="T101" s="423"/>
      <c r="U101" s="423"/>
      <c r="V101" s="423"/>
      <c r="W101" s="423"/>
      <c r="X101" s="423"/>
      <c r="Y101" s="423"/>
      <c r="Z101" s="423"/>
      <c r="AA101" s="423"/>
      <c r="AB101" s="423"/>
      <c r="AC101" s="423"/>
      <c r="AD101" s="423"/>
      <c r="AE101" s="423"/>
      <c r="AF101" s="423"/>
      <c r="AG101" s="423"/>
      <c r="AH101" s="423"/>
      <c r="AI101" s="423"/>
      <c r="AJ101" s="423"/>
      <c r="AK101" s="423"/>
      <c r="AL101" s="423"/>
      <c r="AM101" s="423"/>
      <c r="AN101" s="423"/>
      <c r="AO101" s="423"/>
      <c r="AP101" s="423"/>
      <c r="AQ101" s="423"/>
      <c r="AR101" s="423"/>
      <c r="AS101" s="423"/>
      <c r="AT101" s="423"/>
    </row>
    <row r="102" spans="1:46" x14ac:dyDescent="0.4">
      <c r="A102" s="423"/>
      <c r="B102" s="65"/>
      <c r="C102" s="423"/>
      <c r="D102" s="423"/>
      <c r="E102" s="423"/>
      <c r="F102" s="423"/>
      <c r="G102" s="423"/>
      <c r="H102" s="423"/>
      <c r="I102" s="423"/>
      <c r="J102" s="423"/>
      <c r="K102" s="423"/>
      <c r="L102" s="423"/>
      <c r="M102" s="423"/>
      <c r="N102" s="423"/>
      <c r="O102" s="423"/>
      <c r="P102" s="423"/>
      <c r="Q102" s="423"/>
      <c r="R102" s="423"/>
      <c r="S102" s="423"/>
      <c r="T102" s="423"/>
      <c r="U102" s="423"/>
      <c r="V102" s="423"/>
      <c r="W102" s="423"/>
      <c r="X102" s="423"/>
      <c r="Y102" s="423"/>
      <c r="Z102" s="423"/>
      <c r="AA102" s="423"/>
      <c r="AB102" s="423"/>
      <c r="AC102" s="423"/>
      <c r="AD102" s="423"/>
      <c r="AE102" s="423"/>
      <c r="AF102" s="423"/>
      <c r="AG102" s="423"/>
      <c r="AH102" s="423"/>
      <c r="AI102" s="423"/>
      <c r="AJ102" s="423"/>
      <c r="AK102" s="423"/>
      <c r="AL102" s="423"/>
      <c r="AM102" s="423"/>
      <c r="AN102" s="423"/>
      <c r="AO102" s="423"/>
      <c r="AP102" s="423"/>
      <c r="AQ102" s="423"/>
      <c r="AR102" s="423"/>
      <c r="AS102" s="423"/>
      <c r="AT102" s="423"/>
    </row>
    <row r="103" spans="1:46" x14ac:dyDescent="0.4">
      <c r="A103" s="423"/>
      <c r="B103" s="65"/>
      <c r="C103" s="423"/>
      <c r="D103" s="423"/>
      <c r="E103" s="423"/>
      <c r="F103" s="423"/>
      <c r="G103" s="423"/>
      <c r="H103" s="423"/>
      <c r="I103" s="423"/>
      <c r="J103" s="423"/>
      <c r="K103" s="423"/>
      <c r="L103" s="423"/>
      <c r="M103" s="423"/>
      <c r="N103" s="423"/>
      <c r="O103" s="423"/>
      <c r="P103" s="423"/>
      <c r="Q103" s="423"/>
      <c r="R103" s="423"/>
      <c r="S103" s="423"/>
      <c r="T103" s="423"/>
      <c r="U103" s="423"/>
      <c r="V103" s="423"/>
      <c r="W103" s="423"/>
      <c r="X103" s="423"/>
      <c r="Y103" s="423"/>
      <c r="Z103" s="423"/>
      <c r="AA103" s="423"/>
      <c r="AB103" s="423"/>
      <c r="AC103" s="423"/>
      <c r="AD103" s="423"/>
      <c r="AE103" s="423"/>
      <c r="AF103" s="423"/>
      <c r="AG103" s="423"/>
      <c r="AH103" s="423"/>
      <c r="AI103" s="423"/>
      <c r="AJ103" s="423"/>
      <c r="AK103" s="423"/>
      <c r="AL103" s="423"/>
      <c r="AM103" s="423"/>
      <c r="AN103" s="423"/>
      <c r="AO103" s="423"/>
      <c r="AP103" s="423"/>
      <c r="AQ103" s="423"/>
      <c r="AR103" s="423"/>
      <c r="AS103" s="423"/>
      <c r="AT103" s="423"/>
    </row>
    <row r="104" spans="1:46" x14ac:dyDescent="0.4">
      <c r="A104" s="423"/>
      <c r="B104" s="65"/>
      <c r="C104" s="423"/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/>
      <c r="R104" s="423"/>
      <c r="S104" s="423"/>
      <c r="T104" s="423"/>
      <c r="U104" s="423"/>
      <c r="V104" s="423"/>
      <c r="W104" s="423"/>
      <c r="X104" s="423"/>
      <c r="Y104" s="423"/>
      <c r="Z104" s="423"/>
      <c r="AA104" s="423"/>
      <c r="AB104" s="423"/>
      <c r="AC104" s="423"/>
      <c r="AD104" s="423"/>
      <c r="AE104" s="423"/>
      <c r="AF104" s="423"/>
      <c r="AG104" s="423"/>
      <c r="AH104" s="423"/>
      <c r="AI104" s="423"/>
      <c r="AJ104" s="423"/>
      <c r="AK104" s="423"/>
      <c r="AL104" s="423"/>
      <c r="AM104" s="423"/>
      <c r="AN104" s="423"/>
      <c r="AO104" s="423"/>
      <c r="AP104" s="423"/>
      <c r="AQ104" s="423"/>
      <c r="AR104" s="423"/>
      <c r="AS104" s="423"/>
      <c r="AT104" s="423"/>
    </row>
    <row r="105" spans="1:46" x14ac:dyDescent="0.4">
      <c r="A105" s="423"/>
      <c r="B105" s="65"/>
      <c r="C105" s="423"/>
      <c r="D105" s="423"/>
      <c r="E105" s="423"/>
      <c r="F105" s="423"/>
      <c r="G105" s="423"/>
      <c r="H105" s="423"/>
      <c r="I105" s="423"/>
      <c r="J105" s="423"/>
      <c r="K105" s="423"/>
      <c r="L105" s="423"/>
      <c r="M105" s="423"/>
      <c r="N105" s="423"/>
      <c r="O105" s="423"/>
      <c r="P105" s="423"/>
      <c r="Q105" s="423"/>
      <c r="R105" s="423"/>
      <c r="S105" s="423"/>
      <c r="T105" s="423"/>
      <c r="U105" s="423"/>
      <c r="V105" s="423"/>
      <c r="W105" s="423"/>
      <c r="X105" s="423"/>
      <c r="Y105" s="423"/>
      <c r="Z105" s="423"/>
      <c r="AA105" s="423"/>
      <c r="AB105" s="423"/>
      <c r="AC105" s="423"/>
      <c r="AD105" s="423"/>
      <c r="AE105" s="423"/>
      <c r="AF105" s="423"/>
      <c r="AG105" s="423"/>
      <c r="AH105" s="423"/>
      <c r="AI105" s="423"/>
      <c r="AJ105" s="423"/>
      <c r="AK105" s="423"/>
      <c r="AL105" s="423"/>
      <c r="AM105" s="423"/>
      <c r="AN105" s="423"/>
      <c r="AO105" s="423"/>
      <c r="AP105" s="423"/>
      <c r="AQ105" s="423"/>
      <c r="AR105" s="423"/>
      <c r="AS105" s="423"/>
      <c r="AT105" s="423"/>
    </row>
    <row r="106" spans="1:46" x14ac:dyDescent="0.4">
      <c r="A106" s="423"/>
      <c r="B106" s="65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3"/>
      <c r="P106" s="423"/>
      <c r="Q106" s="423"/>
      <c r="R106" s="423"/>
      <c r="S106" s="423"/>
      <c r="T106" s="423"/>
      <c r="U106" s="423"/>
      <c r="V106" s="423"/>
      <c r="W106" s="423"/>
      <c r="X106" s="423"/>
      <c r="Y106" s="423"/>
      <c r="Z106" s="423"/>
      <c r="AA106" s="423"/>
      <c r="AB106" s="423"/>
      <c r="AC106" s="423"/>
      <c r="AD106" s="423"/>
      <c r="AE106" s="423"/>
      <c r="AF106" s="423"/>
      <c r="AG106" s="423"/>
      <c r="AH106" s="423"/>
      <c r="AI106" s="423"/>
      <c r="AJ106" s="423"/>
      <c r="AK106" s="423"/>
      <c r="AL106" s="423"/>
      <c r="AM106" s="423"/>
      <c r="AN106" s="423"/>
      <c r="AO106" s="423"/>
      <c r="AP106" s="423"/>
      <c r="AQ106" s="423"/>
      <c r="AR106" s="423"/>
      <c r="AS106" s="423"/>
      <c r="AT106" s="423"/>
    </row>
    <row r="107" spans="1:46" x14ac:dyDescent="0.4">
      <c r="A107" s="423"/>
      <c r="B107" s="65"/>
      <c r="C107" s="423"/>
      <c r="D107" s="423"/>
      <c r="E107" s="423"/>
      <c r="F107" s="423"/>
      <c r="G107" s="423"/>
      <c r="H107" s="423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23"/>
      <c r="X107" s="423"/>
      <c r="Y107" s="423"/>
      <c r="Z107" s="423"/>
      <c r="AA107" s="423"/>
      <c r="AB107" s="423"/>
      <c r="AC107" s="423"/>
      <c r="AD107" s="423"/>
      <c r="AE107" s="423"/>
      <c r="AF107" s="423"/>
      <c r="AG107" s="423"/>
      <c r="AH107" s="423"/>
      <c r="AI107" s="423"/>
      <c r="AJ107" s="423"/>
      <c r="AK107" s="423"/>
      <c r="AL107" s="423"/>
      <c r="AM107" s="423"/>
      <c r="AN107" s="423"/>
      <c r="AO107" s="423"/>
      <c r="AP107" s="423"/>
      <c r="AQ107" s="423"/>
      <c r="AR107" s="423"/>
      <c r="AS107" s="423"/>
      <c r="AT107" s="423"/>
    </row>
    <row r="108" spans="1:46" x14ac:dyDescent="0.4">
      <c r="A108" s="423"/>
      <c r="B108" s="65"/>
      <c r="C108" s="423"/>
      <c r="D108" s="423"/>
      <c r="E108" s="423"/>
      <c r="F108" s="423"/>
      <c r="G108" s="423"/>
      <c r="H108" s="423"/>
      <c r="I108" s="423"/>
      <c r="J108" s="423"/>
      <c r="K108" s="423"/>
      <c r="L108" s="423"/>
      <c r="M108" s="423"/>
      <c r="N108" s="423"/>
      <c r="O108" s="423"/>
      <c r="P108" s="423"/>
      <c r="Q108" s="423"/>
      <c r="R108" s="423"/>
      <c r="S108" s="423"/>
      <c r="T108" s="423"/>
      <c r="U108" s="423"/>
      <c r="V108" s="423"/>
      <c r="W108" s="423"/>
      <c r="X108" s="423"/>
      <c r="Y108" s="423"/>
      <c r="Z108" s="423"/>
      <c r="AA108" s="423"/>
      <c r="AB108" s="423"/>
      <c r="AC108" s="423"/>
      <c r="AD108" s="423"/>
      <c r="AE108" s="423"/>
      <c r="AF108" s="423"/>
      <c r="AG108" s="423"/>
      <c r="AH108" s="423"/>
      <c r="AI108" s="423"/>
      <c r="AJ108" s="423"/>
      <c r="AK108" s="423"/>
      <c r="AL108" s="423"/>
      <c r="AM108" s="423"/>
      <c r="AN108" s="423"/>
      <c r="AO108" s="423"/>
      <c r="AP108" s="423"/>
      <c r="AQ108" s="423"/>
      <c r="AR108" s="423"/>
      <c r="AS108" s="423"/>
      <c r="AT108" s="423"/>
    </row>
    <row r="109" spans="1:46" x14ac:dyDescent="0.4">
      <c r="A109" s="423"/>
      <c r="B109" s="65"/>
      <c r="C109" s="423"/>
      <c r="D109" s="423"/>
      <c r="E109" s="423"/>
      <c r="F109" s="423"/>
      <c r="G109" s="423"/>
      <c r="H109" s="423"/>
      <c r="I109" s="423"/>
      <c r="J109" s="423"/>
      <c r="K109" s="423"/>
      <c r="L109" s="423"/>
      <c r="M109" s="423"/>
      <c r="N109" s="423"/>
      <c r="O109" s="423"/>
      <c r="P109" s="423"/>
      <c r="Q109" s="423"/>
      <c r="R109" s="423"/>
      <c r="S109" s="423"/>
      <c r="T109" s="423"/>
      <c r="U109" s="423"/>
      <c r="V109" s="423"/>
      <c r="W109" s="423"/>
      <c r="X109" s="423"/>
      <c r="Y109" s="423"/>
      <c r="Z109" s="423"/>
      <c r="AA109" s="423"/>
      <c r="AB109" s="423"/>
      <c r="AC109" s="423"/>
      <c r="AD109" s="423"/>
      <c r="AE109" s="423"/>
      <c r="AF109" s="423"/>
      <c r="AG109" s="423"/>
      <c r="AH109" s="423"/>
      <c r="AI109" s="423"/>
      <c r="AJ109" s="423"/>
      <c r="AK109" s="423"/>
      <c r="AL109" s="423"/>
      <c r="AM109" s="423"/>
      <c r="AN109" s="423"/>
      <c r="AO109" s="423"/>
      <c r="AP109" s="423"/>
      <c r="AQ109" s="423"/>
      <c r="AR109" s="423"/>
      <c r="AS109" s="423"/>
      <c r="AT109" s="423"/>
    </row>
    <row r="110" spans="1:46" x14ac:dyDescent="0.4">
      <c r="A110" s="423"/>
      <c r="B110" s="65"/>
      <c r="C110" s="423"/>
      <c r="D110" s="423"/>
      <c r="E110" s="423"/>
      <c r="F110" s="423"/>
      <c r="G110" s="423"/>
      <c r="H110" s="423"/>
      <c r="I110" s="423"/>
      <c r="J110" s="423"/>
      <c r="K110" s="423"/>
      <c r="L110" s="423"/>
      <c r="M110" s="423"/>
      <c r="N110" s="423"/>
      <c r="O110" s="423"/>
      <c r="P110" s="423"/>
      <c r="Q110" s="423"/>
      <c r="R110" s="423"/>
      <c r="S110" s="423"/>
      <c r="T110" s="423"/>
      <c r="U110" s="423"/>
      <c r="V110" s="423"/>
      <c r="W110" s="423"/>
      <c r="X110" s="423"/>
      <c r="Y110" s="423"/>
      <c r="Z110" s="423"/>
      <c r="AA110" s="423"/>
      <c r="AB110" s="423"/>
      <c r="AC110" s="423"/>
      <c r="AD110" s="423"/>
      <c r="AE110" s="423"/>
      <c r="AF110" s="423"/>
      <c r="AG110" s="423"/>
      <c r="AH110" s="423"/>
      <c r="AI110" s="423"/>
      <c r="AJ110" s="423"/>
      <c r="AK110" s="423"/>
      <c r="AL110" s="423"/>
      <c r="AM110" s="423"/>
      <c r="AN110" s="423"/>
      <c r="AO110" s="423"/>
      <c r="AP110" s="423"/>
      <c r="AQ110" s="423"/>
      <c r="AR110" s="423"/>
      <c r="AS110" s="423"/>
      <c r="AT110" s="423"/>
    </row>
    <row r="111" spans="1:46" x14ac:dyDescent="0.4">
      <c r="A111" s="423"/>
      <c r="B111" s="65"/>
      <c r="C111" s="423"/>
      <c r="D111" s="423"/>
      <c r="E111" s="423"/>
      <c r="F111" s="423"/>
      <c r="G111" s="423"/>
      <c r="H111" s="423"/>
      <c r="I111" s="423"/>
      <c r="J111" s="423"/>
      <c r="K111" s="423"/>
      <c r="L111" s="423"/>
      <c r="M111" s="423"/>
      <c r="N111" s="423"/>
      <c r="O111" s="423"/>
      <c r="P111" s="423"/>
      <c r="Q111" s="423"/>
      <c r="R111" s="423"/>
      <c r="S111" s="423"/>
      <c r="T111" s="423"/>
      <c r="U111" s="423"/>
      <c r="V111" s="423"/>
      <c r="W111" s="423"/>
      <c r="X111" s="423"/>
      <c r="Y111" s="423"/>
      <c r="Z111" s="423"/>
      <c r="AA111" s="423"/>
      <c r="AB111" s="423"/>
      <c r="AC111" s="423"/>
      <c r="AD111" s="423"/>
      <c r="AE111" s="423"/>
      <c r="AF111" s="423"/>
      <c r="AG111" s="423"/>
      <c r="AH111" s="423"/>
      <c r="AI111" s="423"/>
      <c r="AJ111" s="423"/>
      <c r="AK111" s="423"/>
      <c r="AL111" s="423"/>
      <c r="AM111" s="423"/>
      <c r="AN111" s="423"/>
      <c r="AO111" s="423"/>
      <c r="AP111" s="423"/>
      <c r="AQ111" s="423"/>
      <c r="AR111" s="423"/>
      <c r="AS111" s="423"/>
      <c r="AT111" s="423"/>
    </row>
    <row r="112" spans="1:46" x14ac:dyDescent="0.4">
      <c r="A112" s="423"/>
      <c r="B112" s="65"/>
      <c r="C112" s="423"/>
      <c r="D112" s="423"/>
      <c r="E112" s="423"/>
      <c r="F112" s="423"/>
      <c r="G112" s="423"/>
      <c r="H112" s="423"/>
      <c r="I112" s="423"/>
      <c r="J112" s="423"/>
      <c r="K112" s="423"/>
      <c r="L112" s="423"/>
      <c r="M112" s="423"/>
      <c r="N112" s="423"/>
      <c r="O112" s="423"/>
      <c r="P112" s="423"/>
      <c r="Q112" s="423"/>
      <c r="R112" s="423"/>
      <c r="S112" s="423"/>
      <c r="T112" s="423"/>
      <c r="U112" s="423"/>
      <c r="V112" s="423"/>
      <c r="W112" s="423"/>
      <c r="X112" s="423"/>
      <c r="Y112" s="423"/>
      <c r="Z112" s="423"/>
      <c r="AA112" s="423"/>
      <c r="AB112" s="423"/>
      <c r="AC112" s="423"/>
      <c r="AD112" s="423"/>
      <c r="AE112" s="423"/>
      <c r="AF112" s="423"/>
      <c r="AG112" s="423"/>
      <c r="AH112" s="423"/>
      <c r="AI112" s="423"/>
      <c r="AJ112" s="423"/>
      <c r="AK112" s="423"/>
      <c r="AL112" s="423"/>
      <c r="AM112" s="423"/>
      <c r="AN112" s="423"/>
      <c r="AO112" s="423"/>
      <c r="AP112" s="423"/>
      <c r="AQ112" s="423"/>
      <c r="AR112" s="423"/>
      <c r="AS112" s="423"/>
      <c r="AT112" s="423"/>
    </row>
    <row r="113" spans="1:46" x14ac:dyDescent="0.4">
      <c r="A113" s="423"/>
      <c r="B113" s="65"/>
      <c r="C113" s="423"/>
      <c r="D113" s="423"/>
      <c r="E113" s="423"/>
      <c r="F113" s="423"/>
      <c r="G113" s="423"/>
      <c r="H113" s="423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23"/>
      <c r="X113" s="423"/>
      <c r="Y113" s="423"/>
      <c r="Z113" s="423"/>
      <c r="AA113" s="423"/>
      <c r="AB113" s="423"/>
      <c r="AC113" s="423"/>
      <c r="AD113" s="423"/>
      <c r="AE113" s="423"/>
      <c r="AF113" s="423"/>
      <c r="AG113" s="423"/>
      <c r="AH113" s="423"/>
      <c r="AI113" s="423"/>
      <c r="AJ113" s="423"/>
      <c r="AK113" s="423"/>
      <c r="AL113" s="423"/>
      <c r="AM113" s="423"/>
      <c r="AN113" s="423"/>
      <c r="AO113" s="423"/>
      <c r="AP113" s="423"/>
      <c r="AQ113" s="423"/>
      <c r="AR113" s="423"/>
      <c r="AS113" s="423"/>
      <c r="AT113" s="423"/>
    </row>
    <row r="114" spans="1:46" x14ac:dyDescent="0.4">
      <c r="A114" s="423"/>
      <c r="B114" s="65"/>
      <c r="C114" s="423"/>
      <c r="D114" s="423"/>
      <c r="E114" s="423"/>
      <c r="F114" s="423"/>
      <c r="G114" s="423"/>
      <c r="H114" s="423"/>
      <c r="I114" s="423"/>
      <c r="J114" s="423"/>
      <c r="K114" s="423"/>
      <c r="L114" s="423"/>
      <c r="M114" s="423"/>
      <c r="N114" s="423"/>
      <c r="O114" s="423"/>
      <c r="P114" s="423"/>
      <c r="Q114" s="423"/>
      <c r="R114" s="423"/>
      <c r="S114" s="423"/>
      <c r="T114" s="423"/>
      <c r="U114" s="423"/>
      <c r="V114" s="423"/>
      <c r="W114" s="423"/>
      <c r="X114" s="423"/>
      <c r="Y114" s="423"/>
      <c r="Z114" s="423"/>
      <c r="AA114" s="423"/>
      <c r="AB114" s="423"/>
      <c r="AC114" s="423"/>
      <c r="AD114" s="423"/>
      <c r="AE114" s="423"/>
      <c r="AF114" s="423"/>
      <c r="AG114" s="423"/>
      <c r="AH114" s="423"/>
      <c r="AI114" s="423"/>
      <c r="AJ114" s="423"/>
      <c r="AK114" s="423"/>
      <c r="AL114" s="423"/>
      <c r="AM114" s="423"/>
      <c r="AN114" s="423"/>
      <c r="AO114" s="423"/>
      <c r="AP114" s="423"/>
      <c r="AQ114" s="423"/>
      <c r="AR114" s="423"/>
      <c r="AS114" s="423"/>
      <c r="AT114" s="423"/>
    </row>
    <row r="115" spans="1:46" x14ac:dyDescent="0.4">
      <c r="A115" s="423"/>
      <c r="B115" s="65"/>
      <c r="C115" s="423"/>
      <c r="D115" s="423"/>
      <c r="E115" s="423"/>
      <c r="F115" s="423"/>
      <c r="G115" s="423"/>
      <c r="H115" s="423"/>
      <c r="I115" s="423"/>
      <c r="J115" s="423"/>
      <c r="K115" s="423"/>
      <c r="L115" s="423"/>
      <c r="M115" s="423"/>
      <c r="N115" s="423"/>
      <c r="O115" s="423"/>
      <c r="P115" s="423"/>
      <c r="Q115" s="423"/>
      <c r="R115" s="423"/>
      <c r="S115" s="423"/>
      <c r="T115" s="423"/>
      <c r="U115" s="423"/>
      <c r="V115" s="423"/>
      <c r="W115" s="423"/>
      <c r="X115" s="423"/>
      <c r="Y115" s="423"/>
      <c r="Z115" s="423"/>
      <c r="AA115" s="423"/>
      <c r="AB115" s="423"/>
      <c r="AC115" s="423"/>
      <c r="AD115" s="423"/>
      <c r="AE115" s="423"/>
      <c r="AF115" s="423"/>
      <c r="AG115" s="423"/>
      <c r="AH115" s="423"/>
      <c r="AI115" s="423"/>
      <c r="AJ115" s="423"/>
      <c r="AK115" s="423"/>
      <c r="AL115" s="423"/>
      <c r="AM115" s="423"/>
      <c r="AN115" s="423"/>
      <c r="AO115" s="423"/>
      <c r="AP115" s="423"/>
      <c r="AQ115" s="423"/>
      <c r="AR115" s="423"/>
      <c r="AS115" s="423"/>
      <c r="AT115" s="423"/>
    </row>
    <row r="116" spans="1:46" x14ac:dyDescent="0.4">
      <c r="A116" s="423"/>
      <c r="B116" s="65"/>
      <c r="C116" s="423"/>
      <c r="D116" s="423"/>
      <c r="E116" s="423"/>
      <c r="F116" s="423"/>
      <c r="G116" s="423"/>
      <c r="H116" s="423"/>
      <c r="I116" s="423"/>
      <c r="J116" s="423"/>
      <c r="K116" s="423"/>
      <c r="L116" s="423"/>
      <c r="M116" s="423"/>
      <c r="N116" s="423"/>
      <c r="O116" s="423"/>
      <c r="P116" s="423"/>
      <c r="Q116" s="423"/>
      <c r="R116" s="423"/>
      <c r="S116" s="423"/>
      <c r="T116" s="423"/>
      <c r="U116" s="423"/>
      <c r="V116" s="423"/>
      <c r="W116" s="423"/>
      <c r="X116" s="423"/>
      <c r="Y116" s="423"/>
      <c r="Z116" s="423"/>
      <c r="AA116" s="423"/>
      <c r="AB116" s="423"/>
      <c r="AC116" s="423"/>
      <c r="AD116" s="423"/>
      <c r="AE116" s="423"/>
      <c r="AF116" s="423"/>
      <c r="AG116" s="423"/>
      <c r="AH116" s="423"/>
      <c r="AI116" s="423"/>
      <c r="AJ116" s="423"/>
      <c r="AK116" s="423"/>
      <c r="AL116" s="423"/>
      <c r="AM116" s="423"/>
      <c r="AN116" s="423"/>
      <c r="AO116" s="423"/>
      <c r="AP116" s="423"/>
      <c r="AQ116" s="423"/>
      <c r="AR116" s="423"/>
      <c r="AS116" s="423"/>
      <c r="AT116" s="423"/>
    </row>
    <row r="117" spans="1:46" x14ac:dyDescent="0.4">
      <c r="A117" s="423"/>
      <c r="B117" s="65"/>
      <c r="C117" s="423"/>
      <c r="D117" s="423"/>
      <c r="E117" s="423"/>
      <c r="F117" s="423"/>
      <c r="G117" s="423"/>
      <c r="H117" s="423"/>
      <c r="I117" s="423"/>
      <c r="J117" s="423"/>
      <c r="K117" s="423"/>
      <c r="L117" s="423"/>
      <c r="M117" s="423"/>
      <c r="N117" s="423"/>
      <c r="O117" s="423"/>
      <c r="P117" s="423"/>
      <c r="Q117" s="423"/>
      <c r="R117" s="423"/>
      <c r="S117" s="423"/>
      <c r="T117" s="423"/>
      <c r="U117" s="423"/>
      <c r="V117" s="423"/>
      <c r="W117" s="423"/>
      <c r="X117" s="423"/>
      <c r="Y117" s="423"/>
      <c r="Z117" s="423"/>
      <c r="AA117" s="423"/>
      <c r="AB117" s="423"/>
      <c r="AC117" s="423"/>
      <c r="AD117" s="423"/>
      <c r="AE117" s="423"/>
      <c r="AF117" s="423"/>
      <c r="AG117" s="423"/>
      <c r="AH117" s="423"/>
      <c r="AI117" s="423"/>
      <c r="AJ117" s="423"/>
      <c r="AK117" s="423"/>
      <c r="AL117" s="423"/>
      <c r="AM117" s="423"/>
      <c r="AN117" s="423"/>
      <c r="AO117" s="423"/>
      <c r="AP117" s="423"/>
      <c r="AQ117" s="423"/>
      <c r="AR117" s="423"/>
      <c r="AS117" s="423"/>
      <c r="AT117" s="423"/>
    </row>
  </sheetData>
  <mergeCells count="45">
    <mergeCell ref="A7:A8"/>
    <mergeCell ref="A9:A10"/>
    <mergeCell ref="A11:A12"/>
    <mergeCell ref="A5:A6"/>
    <mergeCell ref="C1:F1"/>
    <mergeCell ref="AM1:AP1"/>
    <mergeCell ref="AQ1:AT1"/>
    <mergeCell ref="A3:A4"/>
    <mergeCell ref="U1:X1"/>
    <mergeCell ref="Y1:AB1"/>
    <mergeCell ref="G1:J1"/>
    <mergeCell ref="L1:O1"/>
    <mergeCell ref="P1:S1"/>
    <mergeCell ref="AD1:AG1"/>
    <mergeCell ref="AH1:AK1"/>
    <mergeCell ref="A13:A14"/>
    <mergeCell ref="AH14:AJ14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41:A42"/>
    <mergeCell ref="A43:A44"/>
    <mergeCell ref="A45:A46"/>
    <mergeCell ref="A47:A48"/>
    <mergeCell ref="A49:A50"/>
    <mergeCell ref="A51:A52"/>
    <mergeCell ref="C74:D74"/>
    <mergeCell ref="E74:F74"/>
    <mergeCell ref="G74:H74"/>
    <mergeCell ref="I74:J74"/>
    <mergeCell ref="A53:A54"/>
    <mergeCell ref="A55:A56"/>
    <mergeCell ref="A57:A58"/>
    <mergeCell ref="A59:A60"/>
    <mergeCell ref="A63:A64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T87"/>
  <sheetViews>
    <sheetView topLeftCell="A49" workbookViewId="0">
      <selection activeCell="H37" sqref="H37"/>
    </sheetView>
  </sheetViews>
  <sheetFormatPr defaultRowHeight="14.6" x14ac:dyDescent="0.4"/>
  <cols>
    <col min="1" max="1" width="11.84375" customWidth="1"/>
    <col min="7" max="9" width="15" customWidth="1"/>
    <col min="10" max="10" width="19.53515625" customWidth="1"/>
    <col min="16" max="18" width="15" customWidth="1"/>
    <col min="19" max="19" width="18.3046875" customWidth="1"/>
    <col min="25" max="27" width="15" customWidth="1"/>
    <col min="28" max="28" width="17.3046875" customWidth="1"/>
    <col min="34" max="36" width="15" customWidth="1"/>
    <col min="37" max="37" width="18" customWidth="1"/>
    <col min="43" max="45" width="15" customWidth="1"/>
    <col min="46" max="46" width="18.3046875" customWidth="1"/>
  </cols>
  <sheetData>
    <row r="1" spans="1:46" ht="15.45" x14ac:dyDescent="0.4">
      <c r="A1" s="423"/>
      <c r="B1" s="65"/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15.45" x14ac:dyDescent="0.4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7" t="s">
        <v>199</v>
      </c>
      <c r="AI2" s="655" t="s">
        <v>200</v>
      </c>
      <c r="AJ2" s="655" t="s">
        <v>201</v>
      </c>
      <c r="AK2" s="655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7" t="s">
        <v>199</v>
      </c>
      <c r="AR2" s="655" t="s">
        <v>200</v>
      </c>
      <c r="AS2" s="655" t="s">
        <v>201</v>
      </c>
      <c r="AT2" s="655" t="s">
        <v>204</v>
      </c>
    </row>
    <row r="3" spans="1:46" x14ac:dyDescent="0.4">
      <c r="A3" s="1478">
        <v>45809</v>
      </c>
      <c r="B3" s="501">
        <v>1</v>
      </c>
      <c r="C3" s="1029"/>
      <c r="D3" s="1030"/>
      <c r="E3" s="1031"/>
      <c r="F3" s="1032"/>
      <c r="G3" s="1033"/>
      <c r="H3" s="1034"/>
      <c r="I3" s="1035"/>
      <c r="J3" s="1036"/>
      <c r="K3" s="1037"/>
      <c r="L3" s="1038"/>
      <c r="M3" s="1039"/>
      <c r="N3" s="1039"/>
      <c r="O3" s="1040"/>
      <c r="P3" s="1041"/>
      <c r="Q3" s="1042"/>
      <c r="R3" s="1042"/>
      <c r="S3" s="1040"/>
      <c r="T3" s="1037"/>
      <c r="U3" s="1038"/>
      <c r="V3" s="1039"/>
      <c r="W3" s="1031"/>
      <c r="X3" s="1043"/>
      <c r="Y3" s="1044"/>
      <c r="Z3" s="1041"/>
      <c r="AA3" s="1035"/>
      <c r="AB3" s="1045"/>
      <c r="AC3" s="1037"/>
      <c r="AD3" s="1038"/>
      <c r="AE3" s="1039"/>
      <c r="AF3" s="1031"/>
      <c r="AG3" s="1040"/>
      <c r="AH3" s="1041"/>
      <c r="AI3" s="1041"/>
      <c r="AJ3" s="1046"/>
      <c r="AK3" s="1040"/>
      <c r="AL3" s="1047"/>
      <c r="AM3" s="1038"/>
      <c r="AN3" s="1039"/>
      <c r="AO3" s="1031"/>
      <c r="AP3" s="1040"/>
      <c r="AQ3" s="1041"/>
      <c r="AR3" s="1048"/>
      <c r="AS3" s="1046"/>
      <c r="AT3" s="1040"/>
    </row>
    <row r="4" spans="1:46" x14ac:dyDescent="0.4">
      <c r="A4" s="1477"/>
      <c r="B4" s="472">
        <v>2</v>
      </c>
      <c r="C4" s="1049"/>
      <c r="D4" s="1050"/>
      <c r="E4" s="1050">
        <v>7</v>
      </c>
      <c r="F4" s="1051"/>
      <c r="G4" s="1052"/>
      <c r="H4" s="1034"/>
      <c r="I4" s="1053" t="s">
        <v>152</v>
      </c>
      <c r="J4" s="1054"/>
      <c r="K4" s="1037"/>
      <c r="L4" s="1055"/>
      <c r="M4" s="1031"/>
      <c r="N4" s="1031"/>
      <c r="O4" s="1043"/>
      <c r="P4" s="1056"/>
      <c r="Q4" s="1034"/>
      <c r="R4" s="1057"/>
      <c r="S4" s="1043"/>
      <c r="T4" s="1037"/>
      <c r="U4" s="1055"/>
      <c r="V4" s="1046"/>
      <c r="W4" s="1031"/>
      <c r="X4" s="1043"/>
      <c r="Y4" s="1044"/>
      <c r="Z4" s="1035"/>
      <c r="AA4" s="1058"/>
      <c r="AB4" s="1059"/>
      <c r="AC4" s="1037"/>
      <c r="AD4" s="1055"/>
      <c r="AE4" s="1031"/>
      <c r="AF4" s="1031"/>
      <c r="AG4" s="1043"/>
      <c r="AH4" s="1056"/>
      <c r="AI4" s="1035"/>
      <c r="AJ4" s="1031"/>
      <c r="AK4" s="1043"/>
      <c r="AL4" s="1047"/>
      <c r="AM4" s="1055"/>
      <c r="AN4" s="1031"/>
      <c r="AO4" s="1031"/>
      <c r="AP4" s="1043"/>
      <c r="AQ4" s="1056"/>
      <c r="AR4" s="1035"/>
      <c r="AS4" s="1031"/>
      <c r="AT4" s="1043"/>
    </row>
    <row r="5" spans="1:46" x14ac:dyDescent="0.4">
      <c r="A5" s="1478">
        <v>46175</v>
      </c>
      <c r="B5" s="472">
        <v>1</v>
      </c>
      <c r="C5" s="1049"/>
      <c r="D5" s="1050"/>
      <c r="E5" s="1050"/>
      <c r="F5" s="1051"/>
      <c r="G5" s="1052"/>
      <c r="H5" s="1052"/>
      <c r="I5" s="1053"/>
      <c r="J5" s="1054"/>
      <c r="K5" s="1037"/>
      <c r="L5" s="1055"/>
      <c r="M5" s="1031"/>
      <c r="N5" s="1031"/>
      <c r="O5" s="1043"/>
      <c r="P5" s="1056"/>
      <c r="Q5" s="1031"/>
      <c r="R5" s="1031"/>
      <c r="S5" s="1043"/>
      <c r="T5" s="1037"/>
      <c r="U5" s="1055"/>
      <c r="V5" s="1031"/>
      <c r="W5" s="1031"/>
      <c r="X5" s="1043"/>
      <c r="Y5" s="1044"/>
      <c r="Z5" s="1034"/>
      <c r="AA5" s="1058"/>
      <c r="AB5" s="1060"/>
      <c r="AC5" s="1037"/>
      <c r="AD5" s="1055"/>
      <c r="AE5" s="1031"/>
      <c r="AF5" s="1031"/>
      <c r="AG5" s="1043"/>
      <c r="AH5" s="1056"/>
      <c r="AI5" s="1031"/>
      <c r="AJ5" s="1061"/>
      <c r="AK5" s="1043"/>
      <c r="AL5" s="1047"/>
      <c r="AM5" s="1055"/>
      <c r="AN5" s="1031"/>
      <c r="AO5" s="1031"/>
      <c r="AP5" s="1043"/>
      <c r="AQ5" s="1056"/>
      <c r="AR5" s="1031"/>
      <c r="AS5" s="1046"/>
      <c r="AT5" s="1062"/>
    </row>
    <row r="6" spans="1:46" x14ac:dyDescent="0.4">
      <c r="A6" s="1477"/>
      <c r="B6" s="472">
        <v>2</v>
      </c>
      <c r="C6" s="1049"/>
      <c r="D6" s="1050"/>
      <c r="E6" s="1050"/>
      <c r="F6" s="1051"/>
      <c r="G6" s="1033"/>
      <c r="H6" s="1035"/>
      <c r="I6" s="1053"/>
      <c r="J6" s="1063"/>
      <c r="K6" s="1037"/>
      <c r="L6" s="1055"/>
      <c r="M6" s="1031"/>
      <c r="N6" s="1031"/>
      <c r="O6" s="1043"/>
      <c r="P6" s="1056"/>
      <c r="Q6" s="1034"/>
      <c r="R6" s="1031"/>
      <c r="S6" s="1063"/>
      <c r="T6" s="1037"/>
      <c r="U6" s="1055"/>
      <c r="V6" s="1031"/>
      <c r="W6" s="1031">
        <v>5</v>
      </c>
      <c r="X6" s="1043"/>
      <c r="Y6" s="1044"/>
      <c r="Z6" s="1034"/>
      <c r="AA6" s="1058" t="s">
        <v>325</v>
      </c>
      <c r="AB6" s="1063"/>
      <c r="AC6" s="1037"/>
      <c r="AD6" s="1055"/>
      <c r="AE6" s="1031"/>
      <c r="AF6" s="1031">
        <v>5</v>
      </c>
      <c r="AG6" s="1043"/>
      <c r="AH6" s="1056"/>
      <c r="AI6" s="1031"/>
      <c r="AJ6" s="1031" t="s">
        <v>336</v>
      </c>
      <c r="AK6" s="1063"/>
      <c r="AL6" s="1047"/>
      <c r="AM6" s="1055"/>
      <c r="AN6" s="1031"/>
      <c r="AO6" s="1031"/>
      <c r="AP6" s="1064"/>
      <c r="AQ6" s="1043"/>
      <c r="AR6" s="1056"/>
      <c r="AS6" s="1046"/>
      <c r="AT6" s="1063"/>
    </row>
    <row r="7" spans="1:46" x14ac:dyDescent="0.4">
      <c r="A7" s="1478">
        <v>45811</v>
      </c>
      <c r="B7" s="472">
        <v>1</v>
      </c>
      <c r="C7" s="1049"/>
      <c r="D7" s="1050"/>
      <c r="E7" s="1050">
        <v>10</v>
      </c>
      <c r="F7" s="1051"/>
      <c r="G7" s="1033"/>
      <c r="H7" s="1035"/>
      <c r="I7" s="1063" t="s">
        <v>152</v>
      </c>
      <c r="J7" s="1063"/>
      <c r="K7" s="1037"/>
      <c r="L7" s="1055"/>
      <c r="M7" s="1056"/>
      <c r="N7" s="1031"/>
      <c r="O7" s="1043"/>
      <c r="P7" s="1056"/>
      <c r="Q7" s="1065"/>
      <c r="R7" s="1031"/>
      <c r="S7" s="1043"/>
      <c r="T7" s="1037"/>
      <c r="U7" s="1055"/>
      <c r="V7" s="1031"/>
      <c r="W7" s="1031"/>
      <c r="X7" s="1043"/>
      <c r="Y7" s="1044"/>
      <c r="Z7" s="1034"/>
      <c r="AA7" s="1058"/>
      <c r="AB7" s="1043"/>
      <c r="AC7" s="1037"/>
      <c r="AD7" s="1055"/>
      <c r="AE7" s="1031"/>
      <c r="AF7" s="1031"/>
      <c r="AG7" s="1043"/>
      <c r="AH7" s="1056"/>
      <c r="AI7" s="1065"/>
      <c r="AJ7" s="1063"/>
      <c r="AK7" s="1043"/>
      <c r="AL7" s="1047"/>
      <c r="AM7" s="1055"/>
      <c r="AN7" s="1031"/>
      <c r="AO7" s="1031"/>
      <c r="AP7" s="1064"/>
      <c r="AQ7" s="1043"/>
      <c r="AR7" s="1056"/>
      <c r="AS7" s="1065"/>
      <c r="AT7" s="1066"/>
    </row>
    <row r="8" spans="1:46" x14ac:dyDescent="0.4">
      <c r="A8" s="1477"/>
      <c r="B8" s="472">
        <v>2</v>
      </c>
      <c r="C8" s="1049">
        <v>567</v>
      </c>
      <c r="D8" s="1050"/>
      <c r="E8" s="1050"/>
      <c r="F8" s="1051"/>
      <c r="G8" s="1052" t="s">
        <v>1077</v>
      </c>
      <c r="H8" s="1035"/>
      <c r="I8" s="1053"/>
      <c r="J8" s="1063"/>
      <c r="K8" s="1037"/>
      <c r="L8" s="1055"/>
      <c r="M8" s="1031"/>
      <c r="N8" s="1031"/>
      <c r="O8" s="1043"/>
      <c r="P8" s="1044"/>
      <c r="Q8" s="1031"/>
      <c r="R8" s="1046"/>
      <c r="S8" s="1063"/>
      <c r="T8" s="1037"/>
      <c r="U8" s="1055"/>
      <c r="V8" s="1055"/>
      <c r="W8" s="1055">
        <v>7</v>
      </c>
      <c r="X8" s="1043"/>
      <c r="Y8" s="1044"/>
      <c r="Z8" s="1067"/>
      <c r="AA8" s="1044" t="s">
        <v>152</v>
      </c>
      <c r="AB8" s="1063"/>
      <c r="AC8" s="1037"/>
      <c r="AD8" s="1055"/>
      <c r="AE8" s="1031"/>
      <c r="AF8" s="1031"/>
      <c r="AG8" s="1043"/>
      <c r="AH8" s="1056"/>
      <c r="AI8" s="1046"/>
      <c r="AJ8" s="1035"/>
      <c r="AK8" s="1063"/>
      <c r="AL8" s="1047"/>
      <c r="AM8" s="1055"/>
      <c r="AN8" s="1031"/>
      <c r="AO8" s="1031"/>
      <c r="AP8" s="1064"/>
      <c r="AQ8" s="1043"/>
      <c r="AR8" s="1056"/>
      <c r="AS8" s="1031"/>
      <c r="AT8" s="1063"/>
    </row>
    <row r="9" spans="1:46" x14ac:dyDescent="0.4">
      <c r="A9" s="1478">
        <v>45812</v>
      </c>
      <c r="B9" s="472">
        <v>1</v>
      </c>
      <c r="C9" s="1049"/>
      <c r="D9" s="1050"/>
      <c r="E9" s="1050"/>
      <c r="F9" s="1051"/>
      <c r="G9" s="1052"/>
      <c r="H9" s="1034"/>
      <c r="I9" s="1053"/>
      <c r="J9" s="1063"/>
      <c r="K9" s="1037"/>
      <c r="L9" s="1055"/>
      <c r="M9" s="1031"/>
      <c r="N9" s="1031"/>
      <c r="O9" s="1043"/>
      <c r="P9" s="1044"/>
      <c r="Q9" s="1031"/>
      <c r="R9" s="1046"/>
      <c r="S9" s="1063"/>
      <c r="T9" s="1037"/>
      <c r="U9" s="1055"/>
      <c r="V9" s="1031"/>
      <c r="W9" s="1031"/>
      <c r="X9" s="1043"/>
      <c r="Y9" s="1044"/>
      <c r="Z9" s="1031"/>
      <c r="AA9" s="1058"/>
      <c r="AB9" s="1063"/>
      <c r="AC9" s="1037"/>
      <c r="AD9" s="1055"/>
      <c r="AE9" s="1031"/>
      <c r="AF9" s="1031"/>
      <c r="AG9" s="1043"/>
      <c r="AH9" s="1056"/>
      <c r="AI9" s="1031"/>
      <c r="AJ9" s="1031"/>
      <c r="AK9" s="1063"/>
      <c r="AL9" s="1047"/>
      <c r="AM9" s="1055"/>
      <c r="AN9" s="1031"/>
      <c r="AO9" s="1031"/>
      <c r="AP9" s="1064"/>
      <c r="AQ9" s="1043"/>
      <c r="AR9" s="1056"/>
      <c r="AS9" s="1031"/>
      <c r="AT9" s="1068"/>
    </row>
    <row r="10" spans="1:46" x14ac:dyDescent="0.4">
      <c r="A10" s="1477"/>
      <c r="B10" s="472">
        <v>2</v>
      </c>
      <c r="C10" s="1049"/>
      <c r="D10" s="1049"/>
      <c r="E10" s="1049"/>
      <c r="F10" s="1051"/>
      <c r="G10" s="1069"/>
      <c r="H10" s="1070"/>
      <c r="I10" s="1071"/>
      <c r="J10" s="1063"/>
      <c r="K10" s="1037"/>
      <c r="L10" s="1055"/>
      <c r="M10" s="1031"/>
      <c r="N10" s="1031"/>
      <c r="O10" s="1043"/>
      <c r="P10" s="1044"/>
      <c r="Q10" s="1031"/>
      <c r="R10" s="1046"/>
      <c r="S10" s="1063"/>
      <c r="T10" s="1037"/>
      <c r="U10" s="1055"/>
      <c r="V10" s="1031"/>
      <c r="W10" s="1031">
        <v>5</v>
      </c>
      <c r="X10" s="1043"/>
      <c r="Y10" s="1044"/>
      <c r="Z10" s="1044"/>
      <c r="AA10" s="1058" t="s">
        <v>152</v>
      </c>
      <c r="AB10" s="1063"/>
      <c r="AC10" s="1037"/>
      <c r="AD10" s="1055"/>
      <c r="AE10" s="1031"/>
      <c r="AF10" s="1031"/>
      <c r="AG10" s="1043"/>
      <c r="AH10" s="1044"/>
      <c r="AI10" s="1046"/>
      <c r="AJ10" s="1035"/>
      <c r="AK10" s="1063"/>
      <c r="AL10" s="1047"/>
      <c r="AM10" s="1055"/>
      <c r="AN10" s="1031"/>
      <c r="AO10" s="1031"/>
      <c r="AP10" s="1064"/>
      <c r="AQ10" s="1043"/>
      <c r="AR10" s="1056"/>
      <c r="AS10" s="1031"/>
      <c r="AT10" s="1063"/>
    </row>
    <row r="11" spans="1:46" x14ac:dyDescent="0.4">
      <c r="A11" s="1478">
        <v>45813</v>
      </c>
      <c r="B11" s="472">
        <v>1</v>
      </c>
      <c r="C11" s="1049"/>
      <c r="D11" s="1049"/>
      <c r="E11" s="1049"/>
      <c r="F11" s="1051"/>
      <c r="G11" s="1069"/>
      <c r="H11" s="1070"/>
      <c r="I11" s="1071"/>
      <c r="J11" s="1054"/>
      <c r="K11" s="1037"/>
      <c r="L11" s="1055"/>
      <c r="M11" s="1031"/>
      <c r="N11" s="1031"/>
      <c r="O11" s="1043"/>
      <c r="P11" s="1044"/>
      <c r="Q11" s="1031"/>
      <c r="R11" s="1046"/>
      <c r="S11" s="1043"/>
      <c r="T11" s="1037"/>
      <c r="U11" s="1055"/>
      <c r="V11" s="1031"/>
      <c r="W11" s="1031"/>
      <c r="X11" s="1043"/>
      <c r="Y11" s="1044"/>
      <c r="Z11" s="1031"/>
      <c r="AA11" s="1058"/>
      <c r="AB11" s="1043"/>
      <c r="AC11" s="1037"/>
      <c r="AD11" s="1055">
        <v>10</v>
      </c>
      <c r="AE11" s="1031"/>
      <c r="AF11" s="1031"/>
      <c r="AG11" s="1043"/>
      <c r="AH11" s="1056" t="s">
        <v>743</v>
      </c>
      <c r="AI11" s="1031"/>
      <c r="AJ11" s="1035"/>
      <c r="AK11" s="1043"/>
      <c r="AL11" s="1047"/>
      <c r="AM11" s="1055"/>
      <c r="AN11" s="1031"/>
      <c r="AO11" s="1031"/>
      <c r="AP11" s="1043"/>
      <c r="AQ11" s="1056"/>
      <c r="AR11" s="1031"/>
      <c r="AS11" s="1031"/>
      <c r="AT11" s="1062"/>
    </row>
    <row r="12" spans="1:46" x14ac:dyDescent="0.4">
      <c r="A12" s="1477"/>
      <c r="B12" s="472">
        <v>2</v>
      </c>
      <c r="C12" s="1049"/>
      <c r="D12" s="1050"/>
      <c r="E12" s="1050"/>
      <c r="F12" s="1051"/>
      <c r="G12" s="1052"/>
      <c r="H12" s="1034"/>
      <c r="I12" s="1053"/>
      <c r="J12" s="1063"/>
      <c r="K12" s="1037"/>
      <c r="L12" s="1055"/>
      <c r="M12" s="1031"/>
      <c r="N12" s="1031"/>
      <c r="O12" s="1043"/>
      <c r="P12" s="1044"/>
      <c r="Q12" s="1031"/>
      <c r="R12" s="1046"/>
      <c r="S12" s="1063"/>
      <c r="T12" s="1037"/>
      <c r="U12" s="1055"/>
      <c r="V12" s="1031"/>
      <c r="W12" s="1031">
        <v>13</v>
      </c>
      <c r="X12" s="1043"/>
      <c r="Y12" s="1044"/>
      <c r="Z12" s="1031"/>
      <c r="AA12" s="1058" t="s">
        <v>325</v>
      </c>
      <c r="AB12" s="1063"/>
      <c r="AC12" s="1037"/>
      <c r="AD12" s="1055"/>
      <c r="AE12" s="1031"/>
      <c r="AF12" s="1031">
        <v>7</v>
      </c>
      <c r="AG12" s="1043"/>
      <c r="AH12" s="1056"/>
      <c r="AI12" s="1046"/>
      <c r="AJ12" s="1046" t="s">
        <v>325</v>
      </c>
      <c r="AK12" s="1063"/>
      <c r="AL12" s="1047"/>
      <c r="AM12" s="1055"/>
      <c r="AN12" s="1031"/>
      <c r="AO12" s="1031"/>
      <c r="AP12" s="1043"/>
      <c r="AQ12" s="1056"/>
      <c r="AR12" s="1031"/>
      <c r="AS12" s="1046"/>
      <c r="AT12" s="1063"/>
    </row>
    <row r="13" spans="1:46" x14ac:dyDescent="0.4">
      <c r="A13" s="1478">
        <v>45814</v>
      </c>
      <c r="B13" s="472">
        <v>1</v>
      </c>
      <c r="C13" s="1049"/>
      <c r="D13" s="1050"/>
      <c r="E13" s="1050"/>
      <c r="F13" s="1051"/>
      <c r="G13" s="1052"/>
      <c r="H13" s="1034"/>
      <c r="I13" s="1053"/>
      <c r="J13" s="1063"/>
      <c r="K13" s="1037"/>
      <c r="L13" s="1055"/>
      <c r="M13" s="1031"/>
      <c r="N13" s="1031"/>
      <c r="O13" s="1051"/>
      <c r="P13" s="1056"/>
      <c r="Q13" s="1031"/>
      <c r="R13" s="1031"/>
      <c r="S13" s="1063"/>
      <c r="T13" s="1037"/>
      <c r="U13" s="1055"/>
      <c r="V13" s="1031"/>
      <c r="W13" s="1031"/>
      <c r="X13" s="1051"/>
      <c r="Y13" s="1044"/>
      <c r="Z13" s="1046"/>
      <c r="AA13" s="1058"/>
      <c r="AB13" s="1063"/>
      <c r="AC13" s="1037"/>
      <c r="AD13" s="1055"/>
      <c r="AE13" s="1031"/>
      <c r="AF13" s="1031"/>
      <c r="AG13" s="1051"/>
      <c r="AH13" s="1056"/>
      <c r="AI13" s="1031"/>
      <c r="AJ13" s="1046"/>
      <c r="AK13" s="1063"/>
      <c r="AL13" s="1047"/>
      <c r="AM13" s="1055"/>
      <c r="AN13" s="1031"/>
      <c r="AO13" s="1031"/>
      <c r="AP13" s="1051"/>
      <c r="AQ13" s="1056"/>
      <c r="AR13" s="1031"/>
      <c r="AS13" s="1031"/>
      <c r="AT13" s="1063"/>
    </row>
    <row r="14" spans="1:46" x14ac:dyDescent="0.4">
      <c r="A14" s="1477"/>
      <c r="B14" s="472">
        <v>2</v>
      </c>
      <c r="C14" s="1049"/>
      <c r="D14" s="1050"/>
      <c r="E14" s="1050"/>
      <c r="F14" s="1051"/>
      <c r="G14" s="1052"/>
      <c r="H14" s="1035"/>
      <c r="I14" s="1053"/>
      <c r="J14" s="1063"/>
      <c r="K14" s="1037"/>
      <c r="L14" s="1055"/>
      <c r="M14" s="1031"/>
      <c r="N14" s="1031"/>
      <c r="O14" s="1051"/>
      <c r="P14" s="1044"/>
      <c r="Q14" s="1031"/>
      <c r="R14" s="1031"/>
      <c r="S14" s="1063"/>
      <c r="T14" s="1037"/>
      <c r="U14" s="1055"/>
      <c r="V14" s="1031"/>
      <c r="W14" s="1031"/>
      <c r="X14" s="1051"/>
      <c r="Y14" s="1044"/>
      <c r="Z14" s="1046"/>
      <c r="AA14" s="1058"/>
      <c r="AB14" s="1063"/>
      <c r="AC14" s="1037"/>
      <c r="AD14" s="1055"/>
      <c r="AE14" s="1031"/>
      <c r="AF14" s="1031"/>
      <c r="AG14" s="1051"/>
      <c r="AH14" s="1533"/>
      <c r="AI14" s="1534"/>
      <c r="AJ14" s="1535"/>
      <c r="AK14" s="1063"/>
      <c r="AL14" s="1047"/>
      <c r="AM14" s="1055"/>
      <c r="AN14" s="1031"/>
      <c r="AO14" s="1031">
        <v>5</v>
      </c>
      <c r="AP14" s="1051"/>
      <c r="AQ14" s="1044"/>
      <c r="AR14" s="1031"/>
      <c r="AS14" s="1058" t="s">
        <v>325</v>
      </c>
      <c r="AT14" s="1063"/>
    </row>
    <row r="15" spans="1:46" x14ac:dyDescent="0.4">
      <c r="A15" s="1478">
        <v>45815</v>
      </c>
      <c r="B15" s="472">
        <v>1</v>
      </c>
      <c r="C15" s="1049"/>
      <c r="D15" s="1050"/>
      <c r="E15" s="1031"/>
      <c r="F15" s="1051"/>
      <c r="G15" s="1052"/>
      <c r="H15" s="1035"/>
      <c r="I15" s="1053"/>
      <c r="J15" s="1063"/>
      <c r="K15" s="1037"/>
      <c r="L15" s="1055"/>
      <c r="M15" s="1031"/>
      <c r="N15" s="1031"/>
      <c r="O15" s="1051"/>
      <c r="P15" s="1033"/>
      <c r="Q15" s="1035"/>
      <c r="R15" s="1035"/>
      <c r="S15" s="1063"/>
      <c r="T15" s="1037"/>
      <c r="U15" s="1055"/>
      <c r="V15" s="1031"/>
      <c r="W15" s="1031">
        <v>6</v>
      </c>
      <c r="X15" s="1051"/>
      <c r="Y15" s="1052"/>
      <c r="Z15" s="1035"/>
      <c r="AA15" s="1058" t="s">
        <v>325</v>
      </c>
      <c r="AB15" s="1063"/>
      <c r="AC15" s="1037"/>
      <c r="AD15" s="1055"/>
      <c r="AE15" s="1031"/>
      <c r="AF15" s="1037"/>
      <c r="AG15" s="1051"/>
      <c r="AH15" s="1033"/>
      <c r="AI15" s="1035"/>
      <c r="AJ15" s="1046"/>
      <c r="AK15" s="1063"/>
      <c r="AL15" s="1047"/>
      <c r="AM15" s="1055"/>
      <c r="AN15" s="1031"/>
      <c r="AO15" s="1037"/>
      <c r="AP15" s="1033"/>
      <c r="AQ15" s="1035"/>
      <c r="AR15" s="1035"/>
      <c r="AS15" s="1035"/>
      <c r="AT15" s="1063"/>
    </row>
    <row r="16" spans="1:46" x14ac:dyDescent="0.4">
      <c r="A16" s="1477"/>
      <c r="B16" s="472">
        <v>2</v>
      </c>
      <c r="C16" s="1049"/>
      <c r="D16" s="1049"/>
      <c r="E16" s="1049"/>
      <c r="F16" s="1051"/>
      <c r="G16" s="1072"/>
      <c r="H16" s="1073"/>
      <c r="I16" s="1074"/>
      <c r="J16" s="1063"/>
      <c r="K16" s="1037"/>
      <c r="L16" s="1055"/>
      <c r="M16" s="1031"/>
      <c r="N16" s="1031"/>
      <c r="O16" s="1051"/>
      <c r="P16" s="1072"/>
      <c r="Q16" s="1073"/>
      <c r="R16" s="1074"/>
      <c r="S16" s="1063"/>
      <c r="T16" s="1037"/>
      <c r="U16" s="1055"/>
      <c r="V16" s="1031"/>
      <c r="W16" s="1031"/>
      <c r="X16" s="1051"/>
      <c r="Y16" s="1072"/>
      <c r="Z16" s="1073"/>
      <c r="AA16" s="1074"/>
      <c r="AB16" s="1063"/>
      <c r="AC16" s="1037"/>
      <c r="AD16" s="1055"/>
      <c r="AE16" s="1031"/>
      <c r="AF16" s="1031"/>
      <c r="AG16" s="1051"/>
      <c r="AH16" s="1075"/>
      <c r="AI16" s="1073"/>
      <c r="AJ16" s="1074"/>
      <c r="AK16" s="1063"/>
      <c r="AL16" s="1047"/>
      <c r="AM16" s="1055"/>
      <c r="AN16" s="1031"/>
      <c r="AO16" s="1031"/>
      <c r="AP16" s="1051"/>
      <c r="AQ16" s="1072"/>
      <c r="AR16" s="1073"/>
      <c r="AS16" s="1074"/>
      <c r="AT16" s="1063"/>
    </row>
    <row r="17" spans="1:46" x14ac:dyDescent="0.4">
      <c r="A17" s="1478">
        <v>45816</v>
      </c>
      <c r="B17" s="534">
        <v>1</v>
      </c>
      <c r="C17" s="1049"/>
      <c r="D17" s="1050"/>
      <c r="E17" s="1050">
        <v>8</v>
      </c>
      <c r="F17" s="1051"/>
      <c r="G17" s="1033"/>
      <c r="H17" s="1034"/>
      <c r="I17" s="1053" t="s">
        <v>325</v>
      </c>
      <c r="J17" s="1063"/>
      <c r="K17" s="1037"/>
      <c r="L17" s="1055"/>
      <c r="M17" s="1031"/>
      <c r="N17" s="1031"/>
      <c r="O17" s="1051"/>
      <c r="P17" s="1033"/>
      <c r="Q17" s="1034"/>
      <c r="R17" s="1035"/>
      <c r="S17" s="1063"/>
      <c r="T17" s="1037"/>
      <c r="U17" s="1055"/>
      <c r="V17" s="1031"/>
      <c r="W17" s="1031">
        <v>7</v>
      </c>
      <c r="X17" s="1051"/>
      <c r="Y17" s="1052"/>
      <c r="Z17" s="1034"/>
      <c r="AA17" s="1053" t="s">
        <v>325</v>
      </c>
      <c r="AB17" s="1063"/>
      <c r="AC17" s="1037"/>
      <c r="AD17" s="1055"/>
      <c r="AE17" s="1031"/>
      <c r="AF17" s="1031"/>
      <c r="AG17" s="1051"/>
      <c r="AH17" s="1033"/>
      <c r="AI17" s="1034"/>
      <c r="AJ17" s="1035"/>
      <c r="AK17" s="1063"/>
      <c r="AL17" s="1047"/>
      <c r="AM17" s="1055"/>
      <c r="AN17" s="1031"/>
      <c r="AO17" s="1031"/>
      <c r="AP17" s="1033"/>
      <c r="AQ17" s="1076"/>
      <c r="AR17" s="1077"/>
      <c r="AS17" s="1078"/>
      <c r="AT17" s="1063"/>
    </row>
    <row r="18" spans="1:46" x14ac:dyDescent="0.4">
      <c r="A18" s="1477"/>
      <c r="B18" s="472">
        <v>2</v>
      </c>
      <c r="C18" s="1049">
        <v>10</v>
      </c>
      <c r="D18" s="1050"/>
      <c r="E18" s="1050">
        <v>10</v>
      </c>
      <c r="F18" s="1051"/>
      <c r="G18" s="1052" t="s">
        <v>743</v>
      </c>
      <c r="H18" s="1079"/>
      <c r="I18" s="1053" t="s">
        <v>152</v>
      </c>
      <c r="J18" s="1063"/>
      <c r="K18" s="1037"/>
      <c r="L18" s="1055"/>
      <c r="M18" s="1031"/>
      <c r="N18" s="1031"/>
      <c r="O18" s="1051"/>
      <c r="P18" s="1052"/>
      <c r="Q18" s="1035"/>
      <c r="R18" s="1034"/>
      <c r="S18" s="1063"/>
      <c r="T18" s="1037"/>
      <c r="U18" s="1055"/>
      <c r="V18" s="1031"/>
      <c r="W18" s="1050"/>
      <c r="X18" s="1051"/>
      <c r="Y18" s="1052"/>
      <c r="Z18" s="1035"/>
      <c r="AA18" s="1053"/>
      <c r="AB18" s="1063"/>
      <c r="AC18" s="1037"/>
      <c r="AD18" s="1055"/>
      <c r="AE18" s="1031"/>
      <c r="AF18" s="1031"/>
      <c r="AG18" s="1051"/>
      <c r="AH18" s="1052"/>
      <c r="AI18" s="1035"/>
      <c r="AJ18" s="1034"/>
      <c r="AK18" s="1063"/>
      <c r="AL18" s="1047"/>
      <c r="AM18" s="1055"/>
      <c r="AN18" s="1031"/>
      <c r="AO18" s="1031">
        <v>13</v>
      </c>
      <c r="AP18" s="1080"/>
      <c r="AQ18" s="1532" t="s">
        <v>97</v>
      </c>
      <c r="AR18" s="1532"/>
      <c r="AS18" s="1532"/>
      <c r="AT18" s="1081"/>
    </row>
    <row r="19" spans="1:46" ht="25.5" customHeight="1" x14ac:dyDescent="0.4">
      <c r="A19" s="1478">
        <v>45817</v>
      </c>
      <c r="B19" s="472">
        <v>1</v>
      </c>
      <c r="C19" s="1037"/>
      <c r="D19" s="1050"/>
      <c r="E19" s="1050"/>
      <c r="F19" s="1051"/>
      <c r="G19" s="1082"/>
      <c r="H19" s="1031"/>
      <c r="I19" s="1053"/>
      <c r="J19" s="1063"/>
      <c r="K19" s="1037"/>
      <c r="L19" s="1055"/>
      <c r="M19" s="1031"/>
      <c r="N19" s="1031"/>
      <c r="O19" s="1051"/>
      <c r="P19" s="1055"/>
      <c r="Q19" s="1031"/>
      <c r="R19" s="1031"/>
      <c r="S19" s="1063"/>
      <c r="T19" s="1037"/>
      <c r="U19" s="1055"/>
      <c r="V19" s="1031"/>
      <c r="W19" s="1031">
        <v>10</v>
      </c>
      <c r="X19" s="1051"/>
      <c r="Y19" s="1055"/>
      <c r="Z19" s="1046"/>
      <c r="AA19" s="1053" t="s">
        <v>325</v>
      </c>
      <c r="AB19" s="1063"/>
      <c r="AC19" s="1037"/>
      <c r="AD19" s="1055"/>
      <c r="AE19" s="1031"/>
      <c r="AF19" s="1031"/>
      <c r="AG19" s="1051"/>
      <c r="AH19" s="1055"/>
      <c r="AI19" s="1031"/>
      <c r="AJ19" s="1058"/>
      <c r="AK19" s="1063"/>
      <c r="AL19" s="1047"/>
      <c r="AM19" s="1055"/>
      <c r="AN19" s="1031"/>
      <c r="AO19" s="1031"/>
      <c r="AP19" s="1080"/>
      <c r="AQ19" s="1083"/>
      <c r="AR19" s="1083"/>
      <c r="AS19" s="1084"/>
      <c r="AT19" s="1081"/>
    </row>
    <row r="20" spans="1:46" ht="24" customHeight="1" x14ac:dyDescent="0.4">
      <c r="A20" s="1477"/>
      <c r="B20" s="472">
        <v>2</v>
      </c>
      <c r="C20" s="1049"/>
      <c r="D20" s="1050"/>
      <c r="E20" s="1050"/>
      <c r="F20" s="1051"/>
      <c r="G20" s="1082"/>
      <c r="H20" s="1046"/>
      <c r="I20" s="1053"/>
      <c r="J20" s="1063"/>
      <c r="K20" s="1037"/>
      <c r="L20" s="1055"/>
      <c r="M20" s="1031"/>
      <c r="N20" s="1031"/>
      <c r="O20" s="1051"/>
      <c r="P20" s="1082"/>
      <c r="Q20" s="1046"/>
      <c r="R20" s="1053"/>
      <c r="S20" s="1063"/>
      <c r="T20" s="1037"/>
      <c r="U20" s="1055"/>
      <c r="V20" s="1031"/>
      <c r="W20" s="1031">
        <v>10</v>
      </c>
      <c r="X20" s="1051"/>
      <c r="Y20" s="1082"/>
      <c r="Z20" s="1046"/>
      <c r="AA20" s="1053" t="s">
        <v>152</v>
      </c>
      <c r="AB20" s="1063"/>
      <c r="AC20" s="1037"/>
      <c r="AD20" s="1055"/>
      <c r="AE20" s="1031"/>
      <c r="AF20" s="1031"/>
      <c r="AG20" s="1051"/>
      <c r="AH20" s="1082"/>
      <c r="AI20" s="1046"/>
      <c r="AJ20" s="1053"/>
      <c r="AK20" s="1063"/>
      <c r="AL20" s="1047"/>
      <c r="AM20" s="1055">
        <v>101</v>
      </c>
      <c r="AN20" s="1031"/>
      <c r="AO20" s="1031"/>
      <c r="AP20" s="1051"/>
      <c r="AQ20" s="1085" t="s">
        <v>1112</v>
      </c>
      <c r="AR20" s="1058"/>
      <c r="AS20" s="1086"/>
      <c r="AT20" s="1063"/>
    </row>
    <row r="21" spans="1:46" ht="29.25" customHeight="1" x14ac:dyDescent="0.4">
      <c r="A21" s="1478">
        <v>45818</v>
      </c>
      <c r="B21" s="472">
        <v>1</v>
      </c>
      <c r="C21" s="1049"/>
      <c r="D21" s="1050"/>
      <c r="E21" s="1050"/>
      <c r="F21" s="1051"/>
      <c r="G21" s="1087"/>
      <c r="H21" s="1034"/>
      <c r="I21" s="1053"/>
      <c r="J21" s="1088"/>
      <c r="K21" s="1037"/>
      <c r="L21" s="1055"/>
      <c r="M21" s="1031"/>
      <c r="N21" s="1031"/>
      <c r="O21" s="1051"/>
      <c r="P21" s="1055"/>
      <c r="Q21" s="1031"/>
      <c r="R21" s="1031"/>
      <c r="S21" s="1088"/>
      <c r="T21" s="1037"/>
      <c r="U21" s="1055"/>
      <c r="V21" s="1031"/>
      <c r="W21" s="1031">
        <v>78</v>
      </c>
      <c r="X21" s="1051"/>
      <c r="Y21" s="1082"/>
      <c r="Z21" s="1031"/>
      <c r="AA21" s="1053" t="s">
        <v>1113</v>
      </c>
      <c r="AB21" s="1088"/>
      <c r="AC21" s="1037"/>
      <c r="AD21" s="1055"/>
      <c r="AE21" s="1031"/>
      <c r="AF21" s="1031"/>
      <c r="AG21" s="1051"/>
      <c r="AH21" s="1055"/>
      <c r="AI21" s="1031"/>
      <c r="AJ21" s="1053"/>
      <c r="AK21" s="1088"/>
      <c r="AL21" s="1047"/>
      <c r="AM21" s="1055"/>
      <c r="AN21" s="1031"/>
      <c r="AO21" s="1031"/>
      <c r="AP21" s="1051"/>
      <c r="AQ21" s="1055"/>
      <c r="AR21" s="1046"/>
      <c r="AS21" s="1064"/>
      <c r="AT21" s="1088"/>
    </row>
    <row r="22" spans="1:46" ht="28.5" customHeight="1" x14ac:dyDescent="0.4">
      <c r="A22" s="1477"/>
      <c r="B22" s="472">
        <v>2</v>
      </c>
      <c r="C22" s="1049"/>
      <c r="D22" s="1050"/>
      <c r="E22" s="1050"/>
      <c r="F22" s="1051"/>
      <c r="G22" s="1089"/>
      <c r="H22" s="1035"/>
      <c r="I22" s="1053"/>
      <c r="J22" s="1088"/>
      <c r="K22" s="1037"/>
      <c r="L22" s="1055"/>
      <c r="M22" s="1031"/>
      <c r="N22" s="1031"/>
      <c r="O22" s="1051"/>
      <c r="P22" s="1044"/>
      <c r="Q22" s="1035"/>
      <c r="R22" s="1031"/>
      <c r="S22" s="1088"/>
      <c r="T22" s="1037"/>
      <c r="U22" s="1055"/>
      <c r="V22" s="1031"/>
      <c r="W22" s="1031"/>
      <c r="X22" s="1051"/>
      <c r="Y22" s="1082"/>
      <c r="Z22" s="1035"/>
      <c r="AA22" s="1058"/>
      <c r="AB22" s="1088"/>
      <c r="AC22" s="1037"/>
      <c r="AD22" s="1055"/>
      <c r="AE22" s="1031"/>
      <c r="AF22" s="1031"/>
      <c r="AG22" s="1051"/>
      <c r="AH22" s="1055"/>
      <c r="AI22" s="1031"/>
      <c r="AJ22" s="1058"/>
      <c r="AK22" s="1088"/>
      <c r="AL22" s="1047"/>
      <c r="AM22" s="1055"/>
      <c r="AN22" s="1031"/>
      <c r="AO22" s="1031">
        <v>11</v>
      </c>
      <c r="AP22" s="1051"/>
      <c r="AQ22" s="1055"/>
      <c r="AR22" s="1035"/>
      <c r="AS22" s="1058" t="s">
        <v>325</v>
      </c>
      <c r="AT22" s="1088"/>
    </row>
    <row r="23" spans="1:46" ht="29.25" customHeight="1" x14ac:dyDescent="0.4">
      <c r="A23" s="1478">
        <v>45819</v>
      </c>
      <c r="B23" s="534">
        <v>1</v>
      </c>
      <c r="C23" s="1049"/>
      <c r="D23" s="1050"/>
      <c r="E23" s="1050"/>
      <c r="F23" s="1051">
        <v>22</v>
      </c>
      <c r="G23" s="1033"/>
      <c r="H23" s="1034"/>
      <c r="I23" s="1053"/>
      <c r="J23" s="1063" t="s">
        <v>1107</v>
      </c>
      <c r="K23" s="1037"/>
      <c r="L23" s="1055"/>
      <c r="M23" s="1031"/>
      <c r="N23" s="1031"/>
      <c r="O23" s="1051"/>
      <c r="P23" s="1033"/>
      <c r="Q23" s="1034"/>
      <c r="R23" s="1035"/>
      <c r="S23" s="1063"/>
      <c r="T23" s="1037"/>
      <c r="U23" s="1055"/>
      <c r="V23" s="1031"/>
      <c r="W23" s="1031">
        <v>35</v>
      </c>
      <c r="X23" s="1051"/>
      <c r="Y23" s="1082"/>
      <c r="Z23" s="1035"/>
      <c r="AA23" s="1053" t="s">
        <v>152</v>
      </c>
      <c r="AB23" s="1063"/>
      <c r="AC23" s="1037"/>
      <c r="AD23" s="1055"/>
      <c r="AE23" s="1031"/>
      <c r="AF23" s="1056"/>
      <c r="AG23" s="1051"/>
      <c r="AH23" s="1055"/>
      <c r="AI23" s="1034"/>
      <c r="AJ23" s="1035"/>
      <c r="AK23" s="1063"/>
      <c r="AL23" s="1047"/>
      <c r="AM23" s="1055"/>
      <c r="AN23" s="1031"/>
      <c r="AO23" s="1031"/>
      <c r="AP23" s="1051"/>
      <c r="AQ23" s="1031"/>
      <c r="AR23" s="1034"/>
      <c r="AS23" s="1066"/>
      <c r="AT23" s="1063"/>
    </row>
    <row r="24" spans="1:46" ht="23.25" customHeight="1" x14ac:dyDescent="0.4">
      <c r="A24" s="1477"/>
      <c r="B24" s="472">
        <v>2</v>
      </c>
      <c r="C24" s="1049"/>
      <c r="D24" s="1050"/>
      <c r="E24" s="1050"/>
      <c r="F24" s="1051"/>
      <c r="G24" s="1033"/>
      <c r="H24" s="1035"/>
      <c r="I24" s="1053"/>
      <c r="J24" s="1063"/>
      <c r="K24" s="1037"/>
      <c r="L24" s="1055"/>
      <c r="M24" s="1031"/>
      <c r="N24" s="1031"/>
      <c r="O24" s="1051"/>
      <c r="P24" s="1033"/>
      <c r="Q24" s="1034"/>
      <c r="R24" s="1035"/>
      <c r="S24" s="1063"/>
      <c r="T24" s="1037"/>
      <c r="U24" s="1031"/>
      <c r="V24" s="1051"/>
      <c r="W24" s="1033" t="s">
        <v>1114</v>
      </c>
      <c r="X24" s="1051"/>
      <c r="Y24" s="1053"/>
      <c r="Z24" s="1034"/>
      <c r="AA24" s="1053" t="s">
        <v>152</v>
      </c>
      <c r="AB24" s="1063"/>
      <c r="AC24" s="1037"/>
      <c r="AD24" s="1055"/>
      <c r="AE24" s="1031"/>
      <c r="AF24" s="1056"/>
      <c r="AG24" s="1051"/>
      <c r="AH24" s="1053"/>
      <c r="AI24" s="1034"/>
      <c r="AJ24" s="1035"/>
      <c r="AK24" s="1063"/>
      <c r="AL24" s="1047"/>
      <c r="AM24" s="1055"/>
      <c r="AN24" s="1031"/>
      <c r="AO24" s="1031"/>
      <c r="AP24" s="1051"/>
      <c r="AQ24" s="1034"/>
      <c r="AR24" s="1034"/>
      <c r="AS24" s="1063"/>
      <c r="AT24" s="1063"/>
    </row>
    <row r="25" spans="1:46" ht="29.25" customHeight="1" x14ac:dyDescent="0.4">
      <c r="A25" s="1478">
        <v>45820</v>
      </c>
      <c r="B25" s="472">
        <v>1</v>
      </c>
      <c r="C25" s="1049"/>
      <c r="D25" s="1050"/>
      <c r="E25" s="1050">
        <v>20</v>
      </c>
      <c r="F25" s="1051"/>
      <c r="G25" s="1033"/>
      <c r="H25" s="1034"/>
      <c r="I25" s="1053" t="s">
        <v>325</v>
      </c>
      <c r="J25" s="1063"/>
      <c r="K25" s="1037"/>
      <c r="L25" s="1055"/>
      <c r="M25" s="1031"/>
      <c r="N25" s="1031"/>
      <c r="O25" s="1051"/>
      <c r="P25" s="1055"/>
      <c r="Q25" s="1034"/>
      <c r="R25" s="1031"/>
      <c r="S25" s="1063"/>
      <c r="T25" s="1037"/>
      <c r="U25" s="1055"/>
      <c r="V25" s="1031"/>
      <c r="W25" s="1031">
        <v>35</v>
      </c>
      <c r="X25" s="1051"/>
      <c r="Y25" s="1082"/>
      <c r="Z25" s="1046"/>
      <c r="AA25" s="1058" t="s">
        <v>152</v>
      </c>
      <c r="AB25" s="1063"/>
      <c r="AC25" s="1037"/>
      <c r="AD25" s="1055"/>
      <c r="AE25" s="1031"/>
      <c r="AF25" s="1031"/>
      <c r="AG25" s="1051"/>
      <c r="AH25" s="1031"/>
      <c r="AI25" s="1046"/>
      <c r="AJ25" s="1035"/>
      <c r="AK25" s="1063"/>
      <c r="AL25" s="1047"/>
      <c r="AM25" s="1055"/>
      <c r="AN25" s="1031"/>
      <c r="AO25" s="1031">
        <v>10</v>
      </c>
      <c r="AP25" s="1051"/>
      <c r="AQ25" s="1031"/>
      <c r="AR25" s="1031"/>
      <c r="AS25" s="1064" t="s">
        <v>152</v>
      </c>
      <c r="AT25" s="1063"/>
    </row>
    <row r="26" spans="1:46" ht="25.5" customHeight="1" x14ac:dyDescent="0.4">
      <c r="A26" s="1477"/>
      <c r="B26" s="472">
        <v>2</v>
      </c>
      <c r="C26" s="1049"/>
      <c r="D26" s="1050"/>
      <c r="E26" s="1050">
        <v>8</v>
      </c>
      <c r="F26" s="1051"/>
      <c r="G26" s="1033"/>
      <c r="H26" s="1035"/>
      <c r="I26" s="1053" t="s">
        <v>152</v>
      </c>
      <c r="J26" s="1063"/>
      <c r="K26" s="1037"/>
      <c r="L26" s="1055"/>
      <c r="M26" s="1031"/>
      <c r="N26" s="1031"/>
      <c r="O26" s="1051"/>
      <c r="P26" s="1033"/>
      <c r="Q26" s="1035"/>
      <c r="R26" s="1066"/>
      <c r="S26" s="1063"/>
      <c r="T26" s="1037"/>
      <c r="U26" s="1055"/>
      <c r="V26" s="1050"/>
      <c r="W26" s="1031">
        <v>26</v>
      </c>
      <c r="X26" s="1051"/>
      <c r="Y26" s="1053"/>
      <c r="Z26" s="1035"/>
      <c r="AA26" s="1058" t="s">
        <v>152</v>
      </c>
      <c r="AB26" s="1063"/>
      <c r="AC26" s="1037"/>
      <c r="AD26" s="1055"/>
      <c r="AE26" s="1050"/>
      <c r="AF26" s="1031"/>
      <c r="AG26" s="1051"/>
      <c r="AH26" s="1053"/>
      <c r="AI26" s="1035"/>
      <c r="AJ26" s="1066"/>
      <c r="AK26" s="1063"/>
      <c r="AL26" s="1047"/>
      <c r="AM26" s="1055"/>
      <c r="AN26" s="1050"/>
      <c r="AO26" s="1031"/>
      <c r="AP26" s="1051"/>
      <c r="AQ26" s="1033"/>
      <c r="AR26" s="1035"/>
      <c r="AS26" s="1064"/>
      <c r="AT26" s="1063"/>
    </row>
    <row r="27" spans="1:46" ht="22.5" customHeight="1" x14ac:dyDescent="0.4">
      <c r="A27" s="1478">
        <v>45821</v>
      </c>
      <c r="B27" s="534">
        <v>1</v>
      </c>
      <c r="C27" s="1049"/>
      <c r="D27" s="1050"/>
      <c r="E27" s="1050"/>
      <c r="F27" s="1051"/>
      <c r="G27" s="1033"/>
      <c r="H27" s="1034"/>
      <c r="I27" s="1066"/>
      <c r="J27" s="1063"/>
      <c r="K27" s="1037"/>
      <c r="L27" s="1055"/>
      <c r="M27" s="1031"/>
      <c r="N27" s="1031"/>
      <c r="O27" s="1051"/>
      <c r="P27" s="1033"/>
      <c r="Q27" s="1034"/>
      <c r="R27" s="1035"/>
      <c r="S27" s="1063"/>
      <c r="T27" s="1037"/>
      <c r="U27" s="1055"/>
      <c r="V27" s="1031"/>
      <c r="W27" s="1031">
        <v>14</v>
      </c>
      <c r="X27" s="1051"/>
      <c r="Y27" s="1033"/>
      <c r="Z27" s="1035"/>
      <c r="AA27" s="1058" t="s">
        <v>325</v>
      </c>
      <c r="AB27" s="1063"/>
      <c r="AC27" s="1037"/>
      <c r="AD27" s="1055"/>
      <c r="AE27" s="1031"/>
      <c r="AF27" s="1031"/>
      <c r="AG27" s="1051"/>
      <c r="AH27" s="1033"/>
      <c r="AI27" s="1046"/>
      <c r="AJ27" s="1035"/>
      <c r="AK27" s="1063"/>
      <c r="AL27" s="1047"/>
      <c r="AM27" s="1055"/>
      <c r="AN27" s="1031"/>
      <c r="AO27" s="1031"/>
      <c r="AP27" s="1051"/>
      <c r="AQ27" s="1046"/>
      <c r="AR27" s="1031"/>
      <c r="AS27" s="1066"/>
      <c r="AT27" s="1063"/>
    </row>
    <row r="28" spans="1:46" x14ac:dyDescent="0.4">
      <c r="A28" s="1477"/>
      <c r="B28" s="472">
        <v>2</v>
      </c>
      <c r="C28" s="1049"/>
      <c r="D28" s="1050"/>
      <c r="E28" s="1050"/>
      <c r="F28" s="1051"/>
      <c r="G28" s="1035"/>
      <c r="H28" s="1035"/>
      <c r="I28" s="1066"/>
      <c r="J28" s="1063"/>
      <c r="K28" s="1037"/>
      <c r="L28" s="1055"/>
      <c r="M28" s="1031"/>
      <c r="N28" s="1031"/>
      <c r="O28" s="1051"/>
      <c r="P28" s="1035"/>
      <c r="Q28" s="1035"/>
      <c r="R28" s="1035"/>
      <c r="S28" s="1063"/>
      <c r="T28" s="1037"/>
      <c r="U28" s="1055"/>
      <c r="V28" s="1031"/>
      <c r="W28" s="1037">
        <v>16</v>
      </c>
      <c r="X28" s="1051"/>
      <c r="Y28" s="1035"/>
      <c r="Z28" s="1031"/>
      <c r="AA28" s="1058" t="s">
        <v>325</v>
      </c>
      <c r="AB28" s="1063"/>
      <c r="AC28" s="1037"/>
      <c r="AD28" s="1055"/>
      <c r="AE28" s="1031"/>
      <c r="AF28" s="1031">
        <v>9</v>
      </c>
      <c r="AG28" s="1051"/>
      <c r="AH28" s="1033"/>
      <c r="AI28" s="1046"/>
      <c r="AJ28" s="1066" t="s">
        <v>325</v>
      </c>
      <c r="AK28" s="1063"/>
      <c r="AL28" s="1047"/>
      <c r="AM28" s="1055"/>
      <c r="AN28" s="1031"/>
      <c r="AO28" s="1031">
        <v>10</v>
      </c>
      <c r="AP28" s="1051"/>
      <c r="AQ28" s="1046"/>
      <c r="AR28" s="1031"/>
      <c r="AS28" s="1064" t="s">
        <v>325</v>
      </c>
      <c r="AT28" s="1063"/>
    </row>
    <row r="29" spans="1:46" x14ac:dyDescent="0.4">
      <c r="A29" s="1478">
        <v>45822</v>
      </c>
      <c r="B29" s="472">
        <v>1</v>
      </c>
      <c r="C29" s="1049"/>
      <c r="D29" s="1050"/>
      <c r="E29" s="1050"/>
      <c r="F29" s="1051"/>
      <c r="G29" s="1035"/>
      <c r="H29" s="1034"/>
      <c r="I29" s="1066"/>
      <c r="J29" s="1063"/>
      <c r="K29" s="1037"/>
      <c r="L29" s="1055"/>
      <c r="M29" s="1031"/>
      <c r="N29" s="1031"/>
      <c r="O29" s="1051"/>
      <c r="P29" s="1033"/>
      <c r="Q29" s="1035"/>
      <c r="R29" s="1035"/>
      <c r="S29" s="1063"/>
      <c r="T29" s="1037"/>
      <c r="U29" s="1055"/>
      <c r="V29" s="1031"/>
      <c r="W29" s="1031">
        <v>43</v>
      </c>
      <c r="X29" s="1051"/>
      <c r="Y29" s="1035"/>
      <c r="Z29" s="1034"/>
      <c r="AA29" s="1058" t="s">
        <v>152</v>
      </c>
      <c r="AB29" s="1063"/>
      <c r="AC29" s="1037"/>
      <c r="AD29" s="1055"/>
      <c r="AE29" s="1031"/>
      <c r="AF29" s="1031">
        <v>18</v>
      </c>
      <c r="AG29" s="1051"/>
      <c r="AH29" s="1033"/>
      <c r="AI29" s="1034"/>
      <c r="AJ29" s="1066" t="s">
        <v>325</v>
      </c>
      <c r="AK29" s="1063"/>
      <c r="AL29" s="1047"/>
      <c r="AM29" s="1055"/>
      <c r="AN29" s="1031"/>
      <c r="AO29" s="1031">
        <v>30</v>
      </c>
      <c r="AP29" s="1051"/>
      <c r="AQ29" s="1046"/>
      <c r="AR29" s="1034"/>
      <c r="AS29" s="1064" t="s">
        <v>152</v>
      </c>
      <c r="AT29" s="1063"/>
    </row>
    <row r="30" spans="1:46" ht="25.75" x14ac:dyDescent="0.4">
      <c r="A30" s="1477"/>
      <c r="B30" s="534">
        <v>2</v>
      </c>
      <c r="C30" s="1049"/>
      <c r="D30" s="1050"/>
      <c r="E30" s="1050"/>
      <c r="F30" s="1051">
        <v>109</v>
      </c>
      <c r="G30" s="1035"/>
      <c r="H30" s="1034"/>
      <c r="I30" s="1066"/>
      <c r="J30" s="1063" t="s">
        <v>975</v>
      </c>
      <c r="K30" s="1037"/>
      <c r="L30" s="1055"/>
      <c r="M30" s="1031"/>
      <c r="N30" s="1031"/>
      <c r="O30" s="1051">
        <v>107</v>
      </c>
      <c r="P30" s="1033"/>
      <c r="Q30" s="1035"/>
      <c r="R30" s="1035"/>
      <c r="S30" s="1063" t="s">
        <v>975</v>
      </c>
      <c r="T30" s="1037"/>
      <c r="U30" s="1055"/>
      <c r="V30" s="1031"/>
      <c r="W30" s="1031"/>
      <c r="X30" s="1051">
        <v>139</v>
      </c>
      <c r="Y30" s="1035"/>
      <c r="Z30" s="1034"/>
      <c r="AA30" s="1058"/>
      <c r="AB30" s="1063" t="s">
        <v>975</v>
      </c>
      <c r="AC30" s="1037"/>
      <c r="AD30" s="1055"/>
      <c r="AE30" s="1031"/>
      <c r="AF30" s="1031"/>
      <c r="AG30" s="1051">
        <v>124</v>
      </c>
      <c r="AH30" s="1033"/>
      <c r="AI30" s="1035"/>
      <c r="AJ30" s="1035"/>
      <c r="AK30" s="1063" t="s">
        <v>975</v>
      </c>
      <c r="AL30" s="1047"/>
      <c r="AM30" s="1055"/>
      <c r="AN30" s="1031"/>
      <c r="AO30" s="1031">
        <v>10</v>
      </c>
      <c r="AP30" s="1051">
        <v>118</v>
      </c>
      <c r="AQ30" s="1044"/>
      <c r="AR30" s="1046"/>
      <c r="AS30" s="1058" t="s">
        <v>325</v>
      </c>
      <c r="AT30" s="1063" t="s">
        <v>975</v>
      </c>
    </row>
    <row r="31" spans="1:46" x14ac:dyDescent="0.4">
      <c r="A31" s="1478">
        <v>45823</v>
      </c>
      <c r="B31" s="472">
        <v>1</v>
      </c>
      <c r="C31" s="1049"/>
      <c r="D31" s="1050"/>
      <c r="E31" s="1050"/>
      <c r="F31" s="1051"/>
      <c r="G31" s="1033"/>
      <c r="H31" s="1035"/>
      <c r="I31" s="1035"/>
      <c r="J31" s="1063"/>
      <c r="K31" s="1037"/>
      <c r="L31" s="1055"/>
      <c r="M31" s="1031"/>
      <c r="N31" s="1031"/>
      <c r="O31" s="1051"/>
      <c r="P31" s="1056"/>
      <c r="Q31" s="1031"/>
      <c r="R31" s="1031"/>
      <c r="S31" s="1063"/>
      <c r="T31" s="1037"/>
      <c r="U31" s="1055"/>
      <c r="V31" s="1031"/>
      <c r="W31" s="1031">
        <v>13</v>
      </c>
      <c r="X31" s="1051"/>
      <c r="Y31" s="1044"/>
      <c r="Z31" s="1031"/>
      <c r="AA31" s="1058" t="s">
        <v>152</v>
      </c>
      <c r="AB31" s="1063"/>
      <c r="AC31" s="1037"/>
      <c r="AD31" s="1055"/>
      <c r="AE31" s="1031"/>
      <c r="AF31" s="1031">
        <v>10</v>
      </c>
      <c r="AG31" s="1051"/>
      <c r="AH31" s="1033"/>
      <c r="AI31" s="1031"/>
      <c r="AJ31" s="1031" t="s">
        <v>152</v>
      </c>
      <c r="AK31" s="1063"/>
      <c r="AL31" s="1047"/>
      <c r="AM31" s="1055"/>
      <c r="AN31" s="1031"/>
      <c r="AO31" s="1031"/>
      <c r="AP31" s="1051"/>
      <c r="AQ31" s="1056"/>
      <c r="AR31" s="1031"/>
      <c r="AS31" s="1031"/>
      <c r="AT31" s="1063"/>
    </row>
    <row r="32" spans="1:46" x14ac:dyDescent="0.4">
      <c r="A32" s="1477"/>
      <c r="B32" s="472">
        <v>2</v>
      </c>
      <c r="C32" s="1049"/>
      <c r="D32" s="1050"/>
      <c r="E32" s="1050"/>
      <c r="F32" s="1051"/>
      <c r="G32" s="1033"/>
      <c r="H32" s="1052"/>
      <c r="I32" s="1066"/>
      <c r="J32" s="1063"/>
      <c r="K32" s="1037"/>
      <c r="L32" s="1055"/>
      <c r="M32" s="1031"/>
      <c r="N32" s="1031"/>
      <c r="O32" s="1051"/>
      <c r="P32" s="1056"/>
      <c r="Q32" s="1031"/>
      <c r="R32" s="1031"/>
      <c r="S32" s="1063"/>
      <c r="T32" s="1037"/>
      <c r="U32" s="1055"/>
      <c r="V32" s="1031"/>
      <c r="W32" s="1050"/>
      <c r="X32" s="1051"/>
      <c r="Y32" s="1033"/>
      <c r="Z32" s="1033"/>
      <c r="AA32" s="1058"/>
      <c r="AB32" s="1063"/>
      <c r="AC32" s="1037"/>
      <c r="AD32" s="1055"/>
      <c r="AE32" s="1031"/>
      <c r="AF32" s="1050"/>
      <c r="AG32" s="1051"/>
      <c r="AH32" s="1033"/>
      <c r="AI32" s="1033"/>
      <c r="AJ32" s="1058"/>
      <c r="AK32" s="1063"/>
      <c r="AL32" s="1047"/>
      <c r="AM32" s="1055"/>
      <c r="AN32" s="1031"/>
      <c r="AO32" s="1031"/>
      <c r="AP32" s="1051"/>
      <c r="AQ32" s="1056"/>
      <c r="AR32" s="1046"/>
      <c r="AS32" s="1052"/>
      <c r="AT32" s="1063"/>
    </row>
    <row r="33" spans="1:46" x14ac:dyDescent="0.4">
      <c r="A33" s="1478">
        <v>45824</v>
      </c>
      <c r="B33" s="472">
        <v>1</v>
      </c>
      <c r="C33" s="1049"/>
      <c r="D33" s="1050"/>
      <c r="E33" s="1050"/>
      <c r="F33" s="1051"/>
      <c r="G33" s="1033"/>
      <c r="H33" s="1035"/>
      <c r="I33" s="1058"/>
      <c r="J33" s="1063"/>
      <c r="K33" s="1037"/>
      <c r="L33" s="1055"/>
      <c r="M33" s="1031"/>
      <c r="N33" s="1031"/>
      <c r="O33" s="1051"/>
      <c r="P33" s="1056"/>
      <c r="Q33" s="1031"/>
      <c r="R33" s="1031"/>
      <c r="S33" s="1063"/>
      <c r="T33" s="1037"/>
      <c r="U33" s="1055"/>
      <c r="V33" s="1031"/>
      <c r="W33" s="1031"/>
      <c r="X33" s="1051"/>
      <c r="Y33" s="1056"/>
      <c r="Z33" s="1031"/>
      <c r="AA33" s="1058"/>
      <c r="AB33" s="1063"/>
      <c r="AC33" s="1037"/>
      <c r="AD33" s="1055"/>
      <c r="AE33" s="1031"/>
      <c r="AF33" s="1031"/>
      <c r="AG33" s="1051"/>
      <c r="AH33" s="1056"/>
      <c r="AI33" s="1046"/>
      <c r="AJ33" s="1058"/>
      <c r="AK33" s="1063"/>
      <c r="AL33" s="1047"/>
      <c r="AM33" s="1055"/>
      <c r="AN33" s="1031"/>
      <c r="AO33" s="1031"/>
      <c r="AP33" s="1051"/>
      <c r="AQ33" s="1056"/>
      <c r="AR33" s="1046"/>
      <c r="AS33" s="1031"/>
      <c r="AT33" s="1063"/>
    </row>
    <row r="34" spans="1:46" x14ac:dyDescent="0.4">
      <c r="A34" s="1477"/>
      <c r="B34" s="534">
        <v>2</v>
      </c>
      <c r="C34" s="1050"/>
      <c r="D34" s="1050"/>
      <c r="E34" s="1050"/>
      <c r="F34" s="1051"/>
      <c r="G34" s="1052"/>
      <c r="H34" s="1035"/>
      <c r="I34" s="1058"/>
      <c r="J34" s="1063"/>
      <c r="K34" s="1037"/>
      <c r="L34" s="1055"/>
      <c r="M34" s="1031"/>
      <c r="N34" s="1031"/>
      <c r="O34" s="1051"/>
      <c r="P34" s="1056"/>
      <c r="Q34" s="1035"/>
      <c r="R34" s="1031"/>
      <c r="S34" s="1063"/>
      <c r="T34" s="1037"/>
      <c r="U34" s="1055"/>
      <c r="V34" s="1031"/>
      <c r="W34" s="1031">
        <v>35</v>
      </c>
      <c r="X34" s="1051"/>
      <c r="Y34" s="1046"/>
      <c r="Z34" s="1046"/>
      <c r="AA34" s="1058" t="s">
        <v>152</v>
      </c>
      <c r="AB34" s="1063"/>
      <c r="AC34" s="1037"/>
      <c r="AD34" s="1055"/>
      <c r="AE34" s="1031"/>
      <c r="AF34" s="1031"/>
      <c r="AG34" s="1051"/>
      <c r="AH34" s="1056"/>
      <c r="AI34" s="1031"/>
      <c r="AJ34" s="1046"/>
      <c r="AK34" s="1063"/>
      <c r="AL34" s="1047"/>
      <c r="AM34" s="1055"/>
      <c r="AN34" s="1031"/>
      <c r="AO34" s="1031"/>
      <c r="AP34" s="1051"/>
      <c r="AQ34" s="1056"/>
      <c r="AR34" s="1031"/>
      <c r="AS34" s="1068"/>
      <c r="AT34" s="1063"/>
    </row>
    <row r="35" spans="1:46" x14ac:dyDescent="0.4">
      <c r="A35" s="1478">
        <v>45825</v>
      </c>
      <c r="B35" s="472">
        <v>1</v>
      </c>
      <c r="C35" s="1050"/>
      <c r="D35" s="1050"/>
      <c r="E35" s="1064">
        <v>15</v>
      </c>
      <c r="F35" s="1051"/>
      <c r="G35" s="1082"/>
      <c r="H35" s="1120"/>
      <c r="I35" s="1066" t="s">
        <v>152</v>
      </c>
      <c r="J35" s="1063"/>
      <c r="K35" s="1037"/>
      <c r="L35" s="1055"/>
      <c r="M35" s="1031"/>
      <c r="N35" s="1031"/>
      <c r="O35" s="1051"/>
      <c r="P35" s="1082"/>
      <c r="Q35" s="1077"/>
      <c r="R35" s="1035"/>
      <c r="S35" s="1063"/>
      <c r="T35" s="1037"/>
      <c r="U35" s="1055"/>
      <c r="V35" s="1031"/>
      <c r="W35" s="1064">
        <v>17</v>
      </c>
      <c r="X35" s="1051"/>
      <c r="Y35" s="1082"/>
      <c r="Z35" s="1046"/>
      <c r="AA35" s="1058" t="s">
        <v>152</v>
      </c>
      <c r="AB35" s="1063"/>
      <c r="AC35" s="1037"/>
      <c r="AD35" s="1055"/>
      <c r="AE35" s="1031"/>
      <c r="AF35" s="1031"/>
      <c r="AG35" s="1051"/>
      <c r="AH35" s="1082"/>
      <c r="AI35" s="1031"/>
      <c r="AJ35" s="1052"/>
      <c r="AK35" s="1063"/>
      <c r="AL35" s="1047"/>
      <c r="AM35" s="1055"/>
      <c r="AN35" s="1031"/>
      <c r="AO35" s="1064"/>
      <c r="AP35" s="1051"/>
      <c r="AQ35" s="1082"/>
      <c r="AR35" s="1066"/>
      <c r="AS35" s="1068"/>
      <c r="AT35" s="1063"/>
    </row>
    <row r="36" spans="1:46" x14ac:dyDescent="0.4">
      <c r="A36" s="1477"/>
      <c r="B36" s="472">
        <v>2</v>
      </c>
      <c r="C36" s="1064"/>
      <c r="D36" s="1031"/>
      <c r="E36" s="1064"/>
      <c r="F36" s="1051"/>
      <c r="G36" s="1066"/>
      <c r="H36" s="1122"/>
      <c r="I36" s="1119"/>
      <c r="J36" s="1063"/>
      <c r="K36" s="1037"/>
      <c r="L36" s="1082"/>
      <c r="M36" s="1031"/>
      <c r="N36" s="1031"/>
      <c r="O36" s="1051"/>
      <c r="P36" s="1082"/>
      <c r="Q36" s="1035"/>
      <c r="R36" s="1046"/>
      <c r="S36" s="1063"/>
      <c r="T36" s="1037"/>
      <c r="U36" s="1055">
        <v>467</v>
      </c>
      <c r="V36" s="1031">
        <v>52</v>
      </c>
      <c r="W36" s="1031"/>
      <c r="X36" s="1051"/>
      <c r="Y36" s="1056" t="s">
        <v>1077</v>
      </c>
      <c r="Z36" s="1046" t="s">
        <v>513</v>
      </c>
      <c r="AA36" s="1058"/>
      <c r="AB36" s="1063"/>
      <c r="AC36" s="1037"/>
      <c r="AD36" s="1055"/>
      <c r="AE36" s="1031"/>
      <c r="AF36" s="1064">
        <v>24</v>
      </c>
      <c r="AG36" s="1051"/>
      <c r="AH36" s="1082"/>
      <c r="AI36" s="1046"/>
      <c r="AJ36" s="1058" t="s">
        <v>325</v>
      </c>
      <c r="AK36" s="1063"/>
      <c r="AL36" s="1047"/>
      <c r="AM36" s="1055"/>
      <c r="AN36" s="1031"/>
      <c r="AO36" s="1055"/>
      <c r="AP36" s="1051"/>
      <c r="AQ36" s="1056"/>
      <c r="AR36" s="1044"/>
      <c r="AS36" s="1082"/>
      <c r="AT36" s="1063"/>
    </row>
    <row r="37" spans="1:46" ht="25.75" x14ac:dyDescent="0.4">
      <c r="A37" s="634"/>
      <c r="B37" s="472">
        <v>2</v>
      </c>
      <c r="C37" s="1064"/>
      <c r="D37" s="1050">
        <v>180</v>
      </c>
      <c r="E37" s="1064"/>
      <c r="F37" s="1080"/>
      <c r="G37" s="1066"/>
      <c r="H37" s="1123" t="s">
        <v>317</v>
      </c>
      <c r="I37" s="1119"/>
      <c r="J37" s="1063"/>
      <c r="K37" s="1037"/>
      <c r="L37" s="1055"/>
      <c r="M37" s="1031"/>
      <c r="N37" s="1031"/>
      <c r="O37" s="1043"/>
      <c r="P37" s="1044"/>
      <c r="Q37" s="1044"/>
      <c r="R37" s="1031"/>
      <c r="S37" s="1063"/>
      <c r="T37" s="1037"/>
      <c r="U37" s="1055"/>
      <c r="V37" s="1031"/>
      <c r="W37" s="1031"/>
      <c r="X37" s="1043"/>
      <c r="Y37" s="1044"/>
      <c r="Z37" s="1046"/>
      <c r="AA37" s="1058"/>
      <c r="AB37" s="1063"/>
      <c r="AC37" s="1037"/>
      <c r="AD37" s="1055"/>
      <c r="AE37" s="1031"/>
      <c r="AF37" s="1031"/>
      <c r="AG37" s="1043"/>
      <c r="AH37" s="1044"/>
      <c r="AI37" s="1031"/>
      <c r="AJ37" s="1058"/>
      <c r="AK37" s="1063"/>
      <c r="AL37" s="1047"/>
      <c r="AM37" s="1055"/>
      <c r="AN37" s="1031"/>
      <c r="AO37" s="1031"/>
      <c r="AP37" s="1043"/>
      <c r="AQ37" s="1044"/>
      <c r="AR37" s="1031"/>
      <c r="AS37" s="1082"/>
      <c r="AT37" s="1063"/>
    </row>
    <row r="38" spans="1:46" ht="25.75" x14ac:dyDescent="0.4">
      <c r="A38" s="1478">
        <v>45827</v>
      </c>
      <c r="B38" s="472">
        <v>1</v>
      </c>
      <c r="C38" s="1064"/>
      <c r="D38" s="1050"/>
      <c r="E38" s="1064"/>
      <c r="F38" s="1080">
        <v>20</v>
      </c>
      <c r="G38" s="1066"/>
      <c r="H38" s="1123"/>
      <c r="I38" s="1119"/>
      <c r="J38" s="1063" t="s">
        <v>317</v>
      </c>
      <c r="K38" s="1037"/>
      <c r="L38" s="1055"/>
      <c r="M38" s="1031"/>
      <c r="N38" s="1031"/>
      <c r="O38" s="1051"/>
      <c r="P38" s="1066"/>
      <c r="Q38" s="1034"/>
      <c r="R38" s="1031"/>
      <c r="S38" s="1063"/>
      <c r="T38" s="1037"/>
      <c r="U38" s="1055"/>
      <c r="V38" s="1031"/>
      <c r="W38" s="1031"/>
      <c r="X38" s="1051"/>
      <c r="Y38" s="1056"/>
      <c r="Z38" s="1034"/>
      <c r="AA38" s="1058"/>
      <c r="AB38" s="1063"/>
      <c r="AC38" s="1037"/>
      <c r="AD38" s="1055"/>
      <c r="AE38" s="1031"/>
      <c r="AF38" s="1031"/>
      <c r="AG38" s="1051"/>
      <c r="AH38" s="1066"/>
      <c r="AI38" s="1034"/>
      <c r="AJ38" s="1058"/>
      <c r="AK38" s="1063"/>
      <c r="AL38" s="1047"/>
      <c r="AM38" s="1055"/>
      <c r="AN38" s="1031"/>
      <c r="AO38" s="1031"/>
      <c r="AP38" s="1066"/>
      <c r="AQ38" s="1035"/>
      <c r="AR38" s="1066"/>
      <c r="AS38" s="1058"/>
      <c r="AT38" s="1054"/>
    </row>
    <row r="39" spans="1:46" ht="25.75" x14ac:dyDescent="0.4">
      <c r="A39" s="1477"/>
      <c r="B39" s="472">
        <v>2</v>
      </c>
      <c r="C39" s="1050"/>
      <c r="D39" s="1050"/>
      <c r="E39" s="1050">
        <v>16</v>
      </c>
      <c r="F39" s="1043">
        <v>299</v>
      </c>
      <c r="G39" s="1066"/>
      <c r="H39" s="1124"/>
      <c r="I39" s="1044" t="s">
        <v>152</v>
      </c>
      <c r="J39" s="1063" t="s">
        <v>975</v>
      </c>
      <c r="K39" s="1037"/>
      <c r="L39" s="1055"/>
      <c r="M39" s="1031"/>
      <c r="N39" s="1031"/>
      <c r="O39" s="1043">
        <v>299</v>
      </c>
      <c r="P39" s="1033"/>
      <c r="Q39" s="1034"/>
      <c r="R39" s="1066"/>
      <c r="S39" s="1063" t="s">
        <v>975</v>
      </c>
      <c r="T39" s="1037"/>
      <c r="U39" s="1055"/>
      <c r="V39" s="1031"/>
      <c r="W39" s="1031">
        <v>28</v>
      </c>
      <c r="X39" s="1043">
        <v>299</v>
      </c>
      <c r="Y39" s="1033"/>
      <c r="Z39" s="1034"/>
      <c r="AA39" s="1058" t="s">
        <v>152</v>
      </c>
      <c r="AB39" s="1063" t="s">
        <v>975</v>
      </c>
      <c r="AC39" s="1037"/>
      <c r="AD39" s="1055"/>
      <c r="AE39" s="1031"/>
      <c r="AF39" s="1031"/>
      <c r="AG39" s="1043">
        <v>299</v>
      </c>
      <c r="AH39" s="1082"/>
      <c r="AI39" s="1035"/>
      <c r="AJ39" s="1058"/>
      <c r="AK39" s="1063" t="s">
        <v>975</v>
      </c>
      <c r="AL39" s="1047"/>
      <c r="AM39" s="1082"/>
      <c r="AN39" s="1031"/>
      <c r="AO39" s="1031"/>
      <c r="AP39" s="1043">
        <v>299</v>
      </c>
      <c r="AQ39" s="1033"/>
      <c r="AR39" s="1034"/>
      <c r="AS39" s="1066"/>
      <c r="AT39" s="1063" t="s">
        <v>975</v>
      </c>
    </row>
    <row r="40" spans="1:46" ht="25.75" x14ac:dyDescent="0.4">
      <c r="A40" s="1478">
        <v>45828</v>
      </c>
      <c r="B40" s="534">
        <v>1</v>
      </c>
      <c r="C40" s="1049"/>
      <c r="D40" s="1050"/>
      <c r="E40" s="1050">
        <v>16</v>
      </c>
      <c r="F40" s="1043">
        <v>720</v>
      </c>
      <c r="G40" s="1033"/>
      <c r="H40" s="1121"/>
      <c r="I40" s="1035" t="s">
        <v>152</v>
      </c>
      <c r="J40" s="1063" t="s">
        <v>975</v>
      </c>
      <c r="K40" s="1037"/>
      <c r="L40" s="1055"/>
      <c r="M40" s="1031"/>
      <c r="N40" s="1031"/>
      <c r="O40" s="1043">
        <v>720</v>
      </c>
      <c r="P40" s="1056"/>
      <c r="Q40" s="1031"/>
      <c r="R40" s="1066"/>
      <c r="S40" s="1063" t="s">
        <v>975</v>
      </c>
      <c r="T40" s="1037"/>
      <c r="U40" s="1055"/>
      <c r="V40" s="1031"/>
      <c r="W40" s="1031">
        <v>28</v>
      </c>
      <c r="X40" s="1043">
        <v>720</v>
      </c>
      <c r="Y40" s="1056"/>
      <c r="Z40" s="1046"/>
      <c r="AA40" s="1058" t="s">
        <v>152</v>
      </c>
      <c r="AB40" s="1063" t="s">
        <v>975</v>
      </c>
      <c r="AC40" s="1037"/>
      <c r="AD40" s="1055"/>
      <c r="AE40" s="1031"/>
      <c r="AF40" s="1031"/>
      <c r="AG40" s="1043">
        <v>720</v>
      </c>
      <c r="AH40" s="1082"/>
      <c r="AI40" s="1046"/>
      <c r="AJ40" s="1031"/>
      <c r="AK40" s="1063" t="s">
        <v>975</v>
      </c>
      <c r="AL40" s="1047"/>
      <c r="AM40" s="1055"/>
      <c r="AN40" s="1031"/>
      <c r="AO40" s="1031"/>
      <c r="AP40" s="1043">
        <v>720</v>
      </c>
      <c r="AQ40" s="1056"/>
      <c r="AR40" s="1046"/>
      <c r="AS40" s="1066"/>
      <c r="AT40" s="1063" t="s">
        <v>975</v>
      </c>
    </row>
    <row r="41" spans="1:46" ht="25.75" x14ac:dyDescent="0.4">
      <c r="A41" s="1477"/>
      <c r="B41" s="472">
        <v>2</v>
      </c>
      <c r="C41" s="1050"/>
      <c r="D41" s="1050"/>
      <c r="E41" s="1050"/>
      <c r="F41" s="1043">
        <v>720</v>
      </c>
      <c r="G41" s="1033"/>
      <c r="H41" s="1035"/>
      <c r="I41" s="1066"/>
      <c r="J41" s="1063" t="s">
        <v>975</v>
      </c>
      <c r="K41" s="1037"/>
      <c r="L41" s="1055"/>
      <c r="M41" s="1031"/>
      <c r="N41" s="1031"/>
      <c r="O41" s="1043">
        <v>720</v>
      </c>
      <c r="P41" s="1056"/>
      <c r="Q41" s="1046"/>
      <c r="R41" s="1031"/>
      <c r="S41" s="1063" t="s">
        <v>975</v>
      </c>
      <c r="T41" s="1037"/>
      <c r="U41" s="1055"/>
      <c r="V41" s="1031"/>
      <c r="W41" s="1031"/>
      <c r="X41" s="1043">
        <v>720</v>
      </c>
      <c r="Y41" s="1044"/>
      <c r="Z41" s="1031"/>
      <c r="AA41" s="1058"/>
      <c r="AB41" s="1063" t="s">
        <v>975</v>
      </c>
      <c r="AC41" s="1037"/>
      <c r="AD41" s="1055"/>
      <c r="AE41" s="1031"/>
      <c r="AF41" s="1031"/>
      <c r="AG41" s="1043">
        <v>720</v>
      </c>
      <c r="AH41" s="1082"/>
      <c r="AI41" s="1046"/>
      <c r="AJ41" s="1031"/>
      <c r="AK41" s="1063" t="s">
        <v>975</v>
      </c>
      <c r="AL41" s="1047"/>
      <c r="AM41" s="1055"/>
      <c r="AN41" s="1031"/>
      <c r="AO41" s="1031"/>
      <c r="AP41" s="1043">
        <v>720</v>
      </c>
      <c r="AQ41" s="1056"/>
      <c r="AR41" s="1031"/>
      <c r="AS41" s="1031"/>
      <c r="AT41" s="1063" t="s">
        <v>975</v>
      </c>
    </row>
    <row r="42" spans="1:46" ht="25.75" x14ac:dyDescent="0.4">
      <c r="A42" s="1478">
        <v>45829</v>
      </c>
      <c r="B42" s="472">
        <v>1</v>
      </c>
      <c r="C42" s="1050"/>
      <c r="D42" s="1050"/>
      <c r="E42" s="1050"/>
      <c r="F42" s="1043">
        <v>720</v>
      </c>
      <c r="G42" s="1034"/>
      <c r="H42" s="1034"/>
      <c r="I42" s="1053"/>
      <c r="J42" s="1063" t="s">
        <v>975</v>
      </c>
      <c r="K42" s="1037"/>
      <c r="L42" s="1055"/>
      <c r="M42" s="1031"/>
      <c r="N42" s="1031"/>
      <c r="O42" s="1043">
        <v>720</v>
      </c>
      <c r="P42" s="1056"/>
      <c r="Q42" s="1031"/>
      <c r="R42" s="1031"/>
      <c r="S42" s="1063" t="s">
        <v>975</v>
      </c>
      <c r="T42" s="1037"/>
      <c r="U42" s="1055"/>
      <c r="V42" s="1031"/>
      <c r="W42" s="1031"/>
      <c r="X42" s="1043">
        <v>720</v>
      </c>
      <c r="Y42" s="1056"/>
      <c r="Z42" s="1031"/>
      <c r="AA42" s="1058"/>
      <c r="AB42" s="1063" t="s">
        <v>975</v>
      </c>
      <c r="AC42" s="1037"/>
      <c r="AD42" s="1055"/>
      <c r="AE42" s="1031"/>
      <c r="AF42" s="1031"/>
      <c r="AG42" s="1043">
        <v>720</v>
      </c>
      <c r="AH42" s="1082"/>
      <c r="AI42" s="1046"/>
      <c r="AJ42" s="1031"/>
      <c r="AK42" s="1063" t="s">
        <v>975</v>
      </c>
      <c r="AL42" s="1047"/>
      <c r="AM42" s="1055"/>
      <c r="AN42" s="1031"/>
      <c r="AO42" s="1031"/>
      <c r="AP42" s="1043">
        <v>720</v>
      </c>
      <c r="AQ42" s="1046"/>
      <c r="AR42" s="1035"/>
      <c r="AS42" s="1031"/>
      <c r="AT42" s="1063" t="s">
        <v>975</v>
      </c>
    </row>
    <row r="43" spans="1:46" ht="25.75" x14ac:dyDescent="0.4">
      <c r="A43" s="1477"/>
      <c r="B43" s="472">
        <v>2</v>
      </c>
      <c r="C43" s="1050"/>
      <c r="D43" s="1050"/>
      <c r="E43" s="1050"/>
      <c r="F43" s="1043">
        <v>720</v>
      </c>
      <c r="G43" s="1034"/>
      <c r="H43" s="1044"/>
      <c r="I43" s="1044"/>
      <c r="J43" s="1063" t="s">
        <v>975</v>
      </c>
      <c r="K43" s="1037"/>
      <c r="L43" s="1055"/>
      <c r="M43" s="1031"/>
      <c r="N43" s="1031"/>
      <c r="O43" s="1043">
        <v>720</v>
      </c>
      <c r="P43" s="1044"/>
      <c r="Q43" s="1031"/>
      <c r="R43" s="1046"/>
      <c r="S43" s="1063" t="s">
        <v>975</v>
      </c>
      <c r="T43" s="1037"/>
      <c r="U43" s="1055"/>
      <c r="V43" s="1031"/>
      <c r="W43" s="1050"/>
      <c r="X43" s="1043">
        <v>720</v>
      </c>
      <c r="Y43" s="1034"/>
      <c r="Z43" s="1035"/>
      <c r="AA43" s="1058"/>
      <c r="AB43" s="1063" t="s">
        <v>975</v>
      </c>
      <c r="AC43" s="1037"/>
      <c r="AD43" s="1055"/>
      <c r="AE43" s="1031"/>
      <c r="AF43" s="1031"/>
      <c r="AG43" s="1043">
        <v>720</v>
      </c>
      <c r="AH43" s="1082"/>
      <c r="AI43" s="1046"/>
      <c r="AJ43" s="1031"/>
      <c r="AK43" s="1063" t="s">
        <v>975</v>
      </c>
      <c r="AL43" s="1047"/>
      <c r="AM43" s="1055"/>
      <c r="AN43" s="1031"/>
      <c r="AO43" s="1031"/>
      <c r="AP43" s="1043">
        <v>720</v>
      </c>
      <c r="AQ43" s="1056"/>
      <c r="AR43" s="1046"/>
      <c r="AS43" s="1046"/>
      <c r="AT43" s="1063" t="s">
        <v>975</v>
      </c>
    </row>
    <row r="44" spans="1:46" ht="25.75" x14ac:dyDescent="0.4">
      <c r="A44" s="1478">
        <v>45830</v>
      </c>
      <c r="B44" s="472">
        <v>1</v>
      </c>
      <c r="C44" s="1050"/>
      <c r="D44" s="1050"/>
      <c r="E44" s="1050"/>
      <c r="F44" s="1051">
        <v>224</v>
      </c>
      <c r="G44" s="1034"/>
      <c r="H44" s="1034"/>
      <c r="I44" s="1066"/>
      <c r="J44" s="1063" t="s">
        <v>975</v>
      </c>
      <c r="K44" s="1037"/>
      <c r="L44" s="1055"/>
      <c r="M44" s="1031"/>
      <c r="N44" s="1031"/>
      <c r="O44" s="1043">
        <v>220</v>
      </c>
      <c r="P44" s="1056"/>
      <c r="Q44" s="1046"/>
      <c r="R44" s="1031"/>
      <c r="S44" s="1063" t="s">
        <v>975</v>
      </c>
      <c r="T44" s="1037"/>
      <c r="U44" s="1055"/>
      <c r="V44" s="1046"/>
      <c r="W44" s="1031">
        <v>17</v>
      </c>
      <c r="X44" s="1043">
        <v>232</v>
      </c>
      <c r="Y44" s="1034"/>
      <c r="Z44" s="1046"/>
      <c r="AA44" s="1046" t="s">
        <v>152</v>
      </c>
      <c r="AB44" s="1063" t="s">
        <v>975</v>
      </c>
      <c r="AC44" s="1037"/>
      <c r="AD44" s="1055"/>
      <c r="AE44" s="1031"/>
      <c r="AF44" s="1031"/>
      <c r="AG44" s="1043">
        <v>192</v>
      </c>
      <c r="AH44" s="1056"/>
      <c r="AI44" s="1046"/>
      <c r="AJ44" s="1046"/>
      <c r="AK44" s="1063" t="s">
        <v>975</v>
      </c>
      <c r="AL44" s="1047"/>
      <c r="AM44" s="1055"/>
      <c r="AN44" s="1031"/>
      <c r="AO44" s="1031"/>
      <c r="AP44" s="1043">
        <v>187</v>
      </c>
      <c r="AQ44" s="1056"/>
      <c r="AR44" s="1046"/>
      <c r="AS44" s="1031"/>
      <c r="AT44" s="1063" t="s">
        <v>975</v>
      </c>
    </row>
    <row r="45" spans="1:46" ht="25.75" x14ac:dyDescent="0.4">
      <c r="A45" s="1477"/>
      <c r="B45" s="472">
        <v>2</v>
      </c>
      <c r="C45" s="1050"/>
      <c r="D45" s="1050">
        <v>114</v>
      </c>
      <c r="E45" s="1050"/>
      <c r="F45" s="1051"/>
      <c r="G45" s="1034"/>
      <c r="H45" s="1034"/>
      <c r="I45" s="1053" t="s">
        <v>1115</v>
      </c>
      <c r="J45" s="1063"/>
      <c r="K45" s="1037"/>
      <c r="L45" s="1055"/>
      <c r="M45" s="1031"/>
      <c r="N45" s="1031"/>
      <c r="O45" s="1126"/>
      <c r="P45" s="1056"/>
      <c r="Q45" s="1035"/>
      <c r="R45" s="1046"/>
      <c r="S45" s="1063"/>
      <c r="T45" s="1037"/>
      <c r="U45" s="1055"/>
      <c r="V45" s="1031"/>
      <c r="W45" s="1031">
        <v>17</v>
      </c>
      <c r="X45" s="1043">
        <v>8</v>
      </c>
      <c r="Y45" s="1031"/>
      <c r="Z45" s="1031"/>
      <c r="AA45" s="1046" t="s">
        <v>1106</v>
      </c>
      <c r="AB45" s="1063" t="s">
        <v>317</v>
      </c>
      <c r="AC45" s="1037"/>
      <c r="AD45" s="1055"/>
      <c r="AE45" s="1031"/>
      <c r="AF45" s="1031"/>
      <c r="AG45" s="1043"/>
      <c r="AH45" s="1044"/>
      <c r="AI45" s="1046"/>
      <c r="AJ45" s="1058"/>
      <c r="AK45" s="1063"/>
      <c r="AL45" s="1047"/>
      <c r="AM45" s="1055"/>
      <c r="AN45" s="1031"/>
      <c r="AO45" s="1031"/>
      <c r="AP45" s="1043"/>
      <c r="AQ45" s="1056"/>
      <c r="AR45" s="1035"/>
      <c r="AS45" s="1031"/>
      <c r="AT45" s="1063"/>
    </row>
    <row r="46" spans="1:46" ht="25.75" x14ac:dyDescent="0.4">
      <c r="A46" s="1478">
        <v>45831</v>
      </c>
      <c r="B46" s="472">
        <v>1</v>
      </c>
      <c r="C46" s="1050"/>
      <c r="D46" s="1050"/>
      <c r="E46" s="1050">
        <v>61</v>
      </c>
      <c r="F46" s="1051"/>
      <c r="G46" s="1034"/>
      <c r="H46" s="1035"/>
      <c r="I46" s="1053" t="s">
        <v>1103</v>
      </c>
      <c r="J46" s="1054"/>
      <c r="K46" s="1037"/>
      <c r="L46" s="1055"/>
      <c r="M46" s="1031"/>
      <c r="N46" s="1031"/>
      <c r="O46" s="1043"/>
      <c r="P46" s="1056"/>
      <c r="Q46" s="1031"/>
      <c r="R46" s="1031"/>
      <c r="S46" s="1063"/>
      <c r="T46" s="1037"/>
      <c r="U46" s="1055"/>
      <c r="V46" s="1031"/>
      <c r="W46" s="1031">
        <v>45</v>
      </c>
      <c r="X46" s="1043">
        <v>46</v>
      </c>
      <c r="Y46" s="1034"/>
      <c r="Z46" s="1046"/>
      <c r="AA46" s="1046" t="s">
        <v>1103</v>
      </c>
      <c r="AB46" s="1063" t="s">
        <v>317</v>
      </c>
      <c r="AC46" s="1037"/>
      <c r="AD46" s="1055"/>
      <c r="AE46" s="1031"/>
      <c r="AF46" s="1031">
        <v>35</v>
      </c>
      <c r="AG46" s="1043"/>
      <c r="AH46" s="1044"/>
      <c r="AI46" s="1035"/>
      <c r="AJ46" s="1058" t="s">
        <v>1103</v>
      </c>
      <c r="AK46" s="1043"/>
      <c r="AL46" s="1047"/>
      <c r="AM46" s="1055"/>
      <c r="AN46" s="1031"/>
      <c r="AO46" s="1031">
        <v>8</v>
      </c>
      <c r="AP46" s="1043">
        <v>46</v>
      </c>
      <c r="AQ46" s="1056"/>
      <c r="AR46" s="1035"/>
      <c r="AS46" s="1031" t="s">
        <v>325</v>
      </c>
      <c r="AT46" s="1125" t="s">
        <v>317</v>
      </c>
    </row>
    <row r="47" spans="1:46" ht="25.75" x14ac:dyDescent="0.4">
      <c r="A47" s="1477"/>
      <c r="B47" s="472">
        <v>2</v>
      </c>
      <c r="C47" s="1050"/>
      <c r="D47" s="1050"/>
      <c r="E47" s="1050"/>
      <c r="F47" s="1051">
        <v>654</v>
      </c>
      <c r="G47" s="1035"/>
      <c r="H47" s="1035"/>
      <c r="I47" s="1066"/>
      <c r="J47" s="1063" t="s">
        <v>975</v>
      </c>
      <c r="K47" s="1037"/>
      <c r="L47" s="1055"/>
      <c r="M47" s="1031"/>
      <c r="N47" s="1031"/>
      <c r="O47" s="1051">
        <v>648</v>
      </c>
      <c r="P47" s="1035"/>
      <c r="Q47" s="1035"/>
      <c r="R47" s="1066"/>
      <c r="S47" s="1063" t="s">
        <v>975</v>
      </c>
      <c r="T47" s="1037"/>
      <c r="U47" s="1055"/>
      <c r="V47" s="1031"/>
      <c r="W47" s="1031"/>
      <c r="X47" s="1051">
        <v>652</v>
      </c>
      <c r="Y47" s="1035"/>
      <c r="Z47" s="1035"/>
      <c r="AA47" s="1066"/>
      <c r="AB47" s="1063" t="s">
        <v>975</v>
      </c>
      <c r="AC47" s="1037"/>
      <c r="AD47" s="1055"/>
      <c r="AE47" s="1031"/>
      <c r="AF47" s="1031"/>
      <c r="AG47" s="1051">
        <v>653</v>
      </c>
      <c r="AH47" s="1035"/>
      <c r="AI47" s="1035"/>
      <c r="AJ47" s="1066"/>
      <c r="AK47" s="1063" t="s">
        <v>975</v>
      </c>
      <c r="AL47" s="1047"/>
      <c r="AM47" s="1055"/>
      <c r="AN47" s="1031"/>
      <c r="AO47" s="1055"/>
      <c r="AP47" s="1031">
        <v>650</v>
      </c>
      <c r="AQ47" s="1051"/>
      <c r="AR47" s="1035"/>
      <c r="AS47" s="1035"/>
      <c r="AT47" s="1063" t="s">
        <v>975</v>
      </c>
    </row>
    <row r="48" spans="1:46" ht="25.75" x14ac:dyDescent="0.4">
      <c r="A48" s="1478">
        <v>45832</v>
      </c>
      <c r="B48" s="472">
        <v>1</v>
      </c>
      <c r="C48" s="1050"/>
      <c r="D48" s="1050"/>
      <c r="E48" s="1050"/>
      <c r="F48" s="1051">
        <v>720</v>
      </c>
      <c r="G48" s="1035"/>
      <c r="H48" s="1034"/>
      <c r="I48" s="1053"/>
      <c r="J48" s="1063" t="s">
        <v>975</v>
      </c>
      <c r="K48" s="1037"/>
      <c r="L48" s="1055"/>
      <c r="M48" s="1031"/>
      <c r="N48" s="1031"/>
      <c r="O48" s="1051">
        <v>720</v>
      </c>
      <c r="P48" s="1035"/>
      <c r="Q48" s="1034"/>
      <c r="R48" s="1066"/>
      <c r="S48" s="1063" t="s">
        <v>975</v>
      </c>
      <c r="T48" s="1037"/>
      <c r="U48" s="1055"/>
      <c r="V48" s="1031"/>
      <c r="W48" s="1031"/>
      <c r="X48" s="1051">
        <v>720</v>
      </c>
      <c r="Y48" s="1035"/>
      <c r="Z48" s="1046"/>
      <c r="AA48" s="1046"/>
      <c r="AB48" s="1063" t="s">
        <v>975</v>
      </c>
      <c r="AC48" s="1037"/>
      <c r="AD48" s="1055"/>
      <c r="AE48" s="1031"/>
      <c r="AF48" s="1031"/>
      <c r="AG48" s="1051">
        <v>720</v>
      </c>
      <c r="AH48" s="1035"/>
      <c r="AI48" s="1034"/>
      <c r="AJ48" s="1066"/>
      <c r="AK48" s="1063" t="s">
        <v>975</v>
      </c>
      <c r="AL48" s="1047"/>
      <c r="AM48" s="1055"/>
      <c r="AN48" s="1031"/>
      <c r="AO48" s="1031"/>
      <c r="AP48" s="1035">
        <v>720</v>
      </c>
      <c r="AQ48" s="1034"/>
      <c r="AR48" s="1066"/>
      <c r="AS48" s="1063"/>
      <c r="AT48" s="1063" t="s">
        <v>975</v>
      </c>
    </row>
    <row r="49" spans="1:46" ht="25.75" x14ac:dyDescent="0.4">
      <c r="A49" s="1477"/>
      <c r="B49" s="472">
        <v>2</v>
      </c>
      <c r="C49" s="1050"/>
      <c r="D49" s="1050"/>
      <c r="E49" s="1050"/>
      <c r="F49" s="1051">
        <v>720</v>
      </c>
      <c r="G49" s="1035"/>
      <c r="H49" s="1034"/>
      <c r="I49" s="1053"/>
      <c r="J49" s="1063" t="s">
        <v>975</v>
      </c>
      <c r="K49" s="1037"/>
      <c r="L49" s="1055"/>
      <c r="M49" s="1031"/>
      <c r="N49" s="1031"/>
      <c r="O49" s="1051">
        <v>720</v>
      </c>
      <c r="P49" s="1035"/>
      <c r="Q49" s="1034"/>
      <c r="R49" s="1066"/>
      <c r="S49" s="1063" t="s">
        <v>975</v>
      </c>
      <c r="T49" s="1037"/>
      <c r="U49" s="1055"/>
      <c r="V49" s="1031"/>
      <c r="W49" s="1031"/>
      <c r="X49" s="1051">
        <v>720</v>
      </c>
      <c r="Y49" s="1035"/>
      <c r="Z49" s="1046"/>
      <c r="AA49" s="1046"/>
      <c r="AB49" s="1063" t="s">
        <v>975</v>
      </c>
      <c r="AC49" s="1037"/>
      <c r="AD49" s="1055"/>
      <c r="AE49" s="1031"/>
      <c r="AF49" s="1031"/>
      <c r="AG49" s="1051">
        <v>720</v>
      </c>
      <c r="AH49" s="1035"/>
      <c r="AI49" s="1034"/>
      <c r="AJ49" s="1066"/>
      <c r="AK49" s="1063" t="s">
        <v>975</v>
      </c>
      <c r="AL49" s="1047"/>
      <c r="AM49" s="1055"/>
      <c r="AN49" s="1031"/>
      <c r="AO49" s="1031"/>
      <c r="AP49" s="1035">
        <v>720</v>
      </c>
      <c r="AQ49" s="1034"/>
      <c r="AR49" s="1066"/>
      <c r="AS49" s="1063"/>
      <c r="AT49" s="1063" t="s">
        <v>975</v>
      </c>
    </row>
    <row r="50" spans="1:46" ht="25.75" x14ac:dyDescent="0.4">
      <c r="A50" s="1478">
        <v>45833</v>
      </c>
      <c r="B50" s="472">
        <v>1</v>
      </c>
      <c r="C50" s="1050"/>
      <c r="D50" s="1050"/>
      <c r="E50" s="1050"/>
      <c r="F50" s="1051">
        <v>720</v>
      </c>
      <c r="G50" s="1034"/>
      <c r="H50" s="1034"/>
      <c r="I50" s="1053"/>
      <c r="J50" s="1063" t="s">
        <v>975</v>
      </c>
      <c r="K50" s="1037"/>
      <c r="L50" s="1055"/>
      <c r="M50" s="1031"/>
      <c r="N50" s="1031"/>
      <c r="O50" s="1051">
        <v>720</v>
      </c>
      <c r="P50" s="1034"/>
      <c r="Q50" s="1034"/>
      <c r="R50" s="1066"/>
      <c r="S50" s="1063" t="s">
        <v>975</v>
      </c>
      <c r="T50" s="1037"/>
      <c r="U50" s="1055"/>
      <c r="V50" s="1031"/>
      <c r="W50" s="1031"/>
      <c r="X50" s="1051">
        <v>720</v>
      </c>
      <c r="Y50" s="1034"/>
      <c r="Z50" s="1034"/>
      <c r="AA50" s="1058"/>
      <c r="AB50" s="1063" t="s">
        <v>975</v>
      </c>
      <c r="AC50" s="1037"/>
      <c r="AD50" s="1055"/>
      <c r="AE50" s="1031"/>
      <c r="AF50" s="1031"/>
      <c r="AG50" s="1051">
        <v>720</v>
      </c>
      <c r="AH50" s="1034"/>
      <c r="AI50" s="1034"/>
      <c r="AJ50" s="1066"/>
      <c r="AK50" s="1063" t="s">
        <v>975</v>
      </c>
      <c r="AL50" s="1047"/>
      <c r="AM50" s="1055"/>
      <c r="AN50" s="1031"/>
      <c r="AO50" s="1031"/>
      <c r="AP50" s="1034">
        <v>720</v>
      </c>
      <c r="AQ50" s="1034"/>
      <c r="AR50" s="1066"/>
      <c r="AS50" s="1063"/>
      <c r="AT50" s="1063" t="s">
        <v>975</v>
      </c>
    </row>
    <row r="51" spans="1:46" ht="25.75" x14ac:dyDescent="0.4">
      <c r="A51" s="1477"/>
      <c r="B51" s="472">
        <v>2</v>
      </c>
      <c r="C51" s="1050"/>
      <c r="D51" s="1050"/>
      <c r="E51" s="1050"/>
      <c r="F51" s="1051">
        <v>720</v>
      </c>
      <c r="G51" s="1035"/>
      <c r="H51" s="1035"/>
      <c r="I51" s="1053"/>
      <c r="J51" s="1063" t="s">
        <v>975</v>
      </c>
      <c r="K51" s="1037"/>
      <c r="L51" s="1055"/>
      <c r="M51" s="1031"/>
      <c r="N51" s="1031"/>
      <c r="O51" s="1051">
        <v>720</v>
      </c>
      <c r="P51" s="1035"/>
      <c r="Q51" s="1035"/>
      <c r="R51" s="1066"/>
      <c r="S51" s="1063" t="s">
        <v>975</v>
      </c>
      <c r="T51" s="1037"/>
      <c r="U51" s="1055"/>
      <c r="V51" s="1031"/>
      <c r="W51" s="1031"/>
      <c r="X51" s="1051">
        <v>720</v>
      </c>
      <c r="Y51" s="1035"/>
      <c r="Z51" s="1034"/>
      <c r="AA51" s="1058"/>
      <c r="AB51" s="1063" t="s">
        <v>975</v>
      </c>
      <c r="AC51" s="1037"/>
      <c r="AD51" s="1055"/>
      <c r="AE51" s="1031"/>
      <c r="AF51" s="1031"/>
      <c r="AG51" s="1051">
        <v>720</v>
      </c>
      <c r="AH51" s="1035"/>
      <c r="AI51" s="1035"/>
      <c r="AJ51" s="1066"/>
      <c r="AK51" s="1063" t="s">
        <v>975</v>
      </c>
      <c r="AL51" s="1047"/>
      <c r="AM51" s="1055"/>
      <c r="AN51" s="1043"/>
      <c r="AO51" s="1043"/>
      <c r="AP51" s="1043">
        <v>720</v>
      </c>
      <c r="AQ51" s="1056"/>
      <c r="AR51" s="1031"/>
      <c r="AS51" s="1063"/>
      <c r="AT51" s="1063" t="s">
        <v>975</v>
      </c>
    </row>
    <row r="52" spans="1:46" ht="25.75" x14ac:dyDescent="0.4">
      <c r="A52" s="1478">
        <v>45834</v>
      </c>
      <c r="B52" s="472">
        <v>1</v>
      </c>
      <c r="C52" s="1050"/>
      <c r="D52" s="1050"/>
      <c r="E52" s="1050"/>
      <c r="F52" s="1051">
        <v>720</v>
      </c>
      <c r="G52" s="1034"/>
      <c r="H52" s="1034"/>
      <c r="I52" s="1053"/>
      <c r="J52" s="1063" t="s">
        <v>975</v>
      </c>
      <c r="K52" s="1037"/>
      <c r="L52" s="1055"/>
      <c r="M52" s="1031"/>
      <c r="N52" s="1031"/>
      <c r="O52" s="1043">
        <v>720</v>
      </c>
      <c r="P52" s="1044"/>
      <c r="Q52" s="1035"/>
      <c r="R52" s="1031"/>
      <c r="S52" s="1063" t="s">
        <v>975</v>
      </c>
      <c r="T52" s="1037"/>
      <c r="U52" s="1055"/>
      <c r="V52" s="1031"/>
      <c r="W52" s="1031"/>
      <c r="X52" s="1043">
        <v>720</v>
      </c>
      <c r="Y52" s="1044"/>
      <c r="Z52" s="1031"/>
      <c r="AA52" s="1046"/>
      <c r="AB52" s="1043" t="s">
        <v>975</v>
      </c>
      <c r="AC52" s="1037"/>
      <c r="AD52" s="1055"/>
      <c r="AE52" s="1046"/>
      <c r="AF52" s="1031"/>
      <c r="AG52" s="1043">
        <v>720</v>
      </c>
      <c r="AH52" s="1056"/>
      <c r="AI52" s="1031"/>
      <c r="AJ52" s="1046"/>
      <c r="AK52" s="1043" t="s">
        <v>975</v>
      </c>
      <c r="AL52" s="1047"/>
      <c r="AM52" s="1055"/>
      <c r="AN52" s="1046"/>
      <c r="AO52" s="1031"/>
      <c r="AP52" s="1043">
        <v>720</v>
      </c>
      <c r="AQ52" s="1044"/>
      <c r="AR52" s="1031"/>
      <c r="AS52" s="1031"/>
      <c r="AT52" s="1043" t="s">
        <v>975</v>
      </c>
    </row>
    <row r="53" spans="1:46" ht="25.75" x14ac:dyDescent="0.4">
      <c r="A53" s="1477"/>
      <c r="B53" s="500">
        <v>2</v>
      </c>
      <c r="C53" s="1050"/>
      <c r="D53" s="1050"/>
      <c r="E53" s="1050"/>
      <c r="F53" s="1051">
        <v>720</v>
      </c>
      <c r="G53" s="1034"/>
      <c r="H53" s="1035"/>
      <c r="I53" s="1066"/>
      <c r="J53" s="1063" t="s">
        <v>975</v>
      </c>
      <c r="K53" s="1037"/>
      <c r="L53" s="1055"/>
      <c r="M53" s="1031"/>
      <c r="N53" s="1031"/>
      <c r="O53" s="1051">
        <v>720</v>
      </c>
      <c r="P53" s="1034"/>
      <c r="Q53" s="1035"/>
      <c r="R53" s="1034"/>
      <c r="S53" s="1063" t="s">
        <v>975</v>
      </c>
      <c r="T53" s="1037"/>
      <c r="U53" s="1055"/>
      <c r="V53" s="1031"/>
      <c r="W53" s="1031"/>
      <c r="X53" s="1051">
        <v>720</v>
      </c>
      <c r="Y53" s="1035"/>
      <c r="Z53" s="1035"/>
      <c r="AA53" s="1035"/>
      <c r="AB53" s="1063" t="s">
        <v>975</v>
      </c>
      <c r="AC53" s="1037"/>
      <c r="AD53" s="1055"/>
      <c r="AE53" s="1031"/>
      <c r="AF53" s="1031"/>
      <c r="AG53" s="1043">
        <v>720</v>
      </c>
      <c r="AH53" s="1056"/>
      <c r="AI53" s="1035"/>
      <c r="AJ53" s="1031"/>
      <c r="AK53" s="1063" t="s">
        <v>975</v>
      </c>
      <c r="AL53" s="1047"/>
      <c r="AM53" s="1055"/>
      <c r="AN53" s="1031"/>
      <c r="AO53" s="1031"/>
      <c r="AP53" s="1051">
        <v>720</v>
      </c>
      <c r="AQ53" s="1044"/>
      <c r="AR53" s="1035"/>
      <c r="AS53" s="1034"/>
      <c r="AT53" s="1063" t="s">
        <v>975</v>
      </c>
    </row>
    <row r="54" spans="1:46" ht="25.5" customHeight="1" x14ac:dyDescent="0.4">
      <c r="A54" s="1478">
        <v>45835</v>
      </c>
      <c r="B54" s="472">
        <v>1</v>
      </c>
      <c r="C54" s="1049"/>
      <c r="D54" s="1050"/>
      <c r="E54" s="1050"/>
      <c r="F54" s="1051">
        <v>720</v>
      </c>
      <c r="G54" s="1034"/>
      <c r="H54" s="1034"/>
      <c r="I54" s="1053"/>
      <c r="J54" s="1043" t="s">
        <v>975</v>
      </c>
      <c r="K54" s="1037"/>
      <c r="L54" s="1055"/>
      <c r="M54" s="1031"/>
      <c r="N54" s="1031"/>
      <c r="O54" s="1043">
        <v>720</v>
      </c>
      <c r="P54" s="1056"/>
      <c r="Q54" s="1035"/>
      <c r="R54" s="1031"/>
      <c r="S54" s="1043" t="s">
        <v>975</v>
      </c>
      <c r="T54" s="1037"/>
      <c r="U54" s="1055"/>
      <c r="V54" s="1031"/>
      <c r="W54" s="1031"/>
      <c r="X54" s="1043">
        <v>720</v>
      </c>
      <c r="Y54" s="1056"/>
      <c r="Z54" s="1034"/>
      <c r="AA54" s="1058"/>
      <c r="AB54" s="1043" t="s">
        <v>975</v>
      </c>
      <c r="AC54" s="1037"/>
      <c r="AD54" s="1055"/>
      <c r="AE54" s="1031"/>
      <c r="AF54" s="1031"/>
      <c r="AG54" s="1043">
        <v>720</v>
      </c>
      <c r="AH54" s="1056"/>
      <c r="AI54" s="1035"/>
      <c r="AJ54" s="1046"/>
      <c r="AK54" s="1043" t="s">
        <v>975</v>
      </c>
      <c r="AL54" s="1047"/>
      <c r="AM54" s="1055"/>
      <c r="AN54" s="1031"/>
      <c r="AO54" s="1031"/>
      <c r="AP54" s="1043">
        <v>720</v>
      </c>
      <c r="AQ54" s="1056"/>
      <c r="AR54" s="1046"/>
      <c r="AS54" s="1031"/>
      <c r="AT54" s="1043" t="s">
        <v>975</v>
      </c>
    </row>
    <row r="55" spans="1:46" ht="25.5" customHeight="1" x14ac:dyDescent="0.4">
      <c r="A55" s="1477"/>
      <c r="B55" s="500">
        <v>2</v>
      </c>
      <c r="C55" s="1090"/>
      <c r="D55" s="1091"/>
      <c r="E55" s="1091"/>
      <c r="F55" s="1092">
        <v>720</v>
      </c>
      <c r="G55" s="1099"/>
      <c r="H55" s="1099"/>
      <c r="I55" s="1106"/>
      <c r="J55" s="1095" t="s">
        <v>975</v>
      </c>
      <c r="K55" s="1096"/>
      <c r="L55" s="1097"/>
      <c r="M55" s="1098"/>
      <c r="N55" s="1098"/>
      <c r="O55" s="1092">
        <v>720</v>
      </c>
      <c r="P55" s="1099"/>
      <c r="Q55" s="1093"/>
      <c r="R55" s="1099"/>
      <c r="S55" s="1095" t="s">
        <v>975</v>
      </c>
      <c r="T55" s="1096"/>
      <c r="U55" s="1097"/>
      <c r="V55" s="1098"/>
      <c r="W55" s="1098"/>
      <c r="X55" s="1092">
        <v>720</v>
      </c>
      <c r="Y55" s="1103"/>
      <c r="Z55" s="1093"/>
      <c r="AA55" s="1101"/>
      <c r="AB55" s="1095" t="s">
        <v>975</v>
      </c>
      <c r="AC55" s="1096"/>
      <c r="AD55" s="1097"/>
      <c r="AE55" s="1098"/>
      <c r="AF55" s="1098"/>
      <c r="AG55" s="1092">
        <v>720</v>
      </c>
      <c r="AH55" s="1099"/>
      <c r="AI55" s="1093"/>
      <c r="AJ55" s="1099"/>
      <c r="AK55" s="1095" t="s">
        <v>975</v>
      </c>
      <c r="AL55" s="1102"/>
      <c r="AM55" s="1097"/>
      <c r="AN55" s="1098"/>
      <c r="AO55" s="1098"/>
      <c r="AP55" s="1092">
        <v>720</v>
      </c>
      <c r="AQ55" s="1099"/>
      <c r="AR55" s="1101"/>
      <c r="AS55" s="1098"/>
      <c r="AT55" s="1095" t="s">
        <v>975</v>
      </c>
    </row>
    <row r="56" spans="1:46" ht="25.5" customHeight="1" x14ac:dyDescent="0.4">
      <c r="A56" s="1478">
        <v>45836</v>
      </c>
      <c r="B56" s="472">
        <v>1</v>
      </c>
      <c r="C56" s="1090"/>
      <c r="D56" s="1091"/>
      <c r="E56" s="1091"/>
      <c r="F56" s="1092">
        <v>720</v>
      </c>
      <c r="G56" s="1099"/>
      <c r="H56" s="1099"/>
      <c r="I56" s="1094"/>
      <c r="J56" s="1095" t="s">
        <v>975</v>
      </c>
      <c r="K56" s="1096"/>
      <c r="L56" s="1097"/>
      <c r="M56" s="1098"/>
      <c r="N56" s="1098"/>
      <c r="O56" s="1092">
        <v>720</v>
      </c>
      <c r="P56" s="1099"/>
      <c r="Q56" s="1093"/>
      <c r="R56" s="1099"/>
      <c r="S56" s="1095" t="s">
        <v>975</v>
      </c>
      <c r="T56" s="1096"/>
      <c r="U56" s="1097"/>
      <c r="V56" s="1098"/>
      <c r="W56" s="1098"/>
      <c r="X56" s="1092">
        <v>720</v>
      </c>
      <c r="Y56" s="1099"/>
      <c r="Z56" s="1093"/>
      <c r="AA56" s="1101"/>
      <c r="AB56" s="1095" t="s">
        <v>975</v>
      </c>
      <c r="AC56" s="1096"/>
      <c r="AD56" s="1097"/>
      <c r="AE56" s="1098"/>
      <c r="AF56" s="1098"/>
      <c r="AG56" s="1092">
        <v>720</v>
      </c>
      <c r="AH56" s="1099"/>
      <c r="AI56" s="1093"/>
      <c r="AJ56" s="1099"/>
      <c r="AK56" s="1095" t="s">
        <v>975</v>
      </c>
      <c r="AL56" s="1102"/>
      <c r="AM56" s="1097"/>
      <c r="AN56" s="1098"/>
      <c r="AO56" s="1098"/>
      <c r="AP56" s="1092">
        <v>720</v>
      </c>
      <c r="AQ56" s="1099"/>
      <c r="AR56" s="1093"/>
      <c r="AS56" s="1098"/>
      <c r="AT56" s="1095" t="s">
        <v>975</v>
      </c>
    </row>
    <row r="57" spans="1:46" ht="25.5" customHeight="1" x14ac:dyDescent="0.4">
      <c r="A57" s="1477"/>
      <c r="B57" s="500">
        <v>2</v>
      </c>
      <c r="C57" s="1090"/>
      <c r="D57" s="1091"/>
      <c r="E57" s="1091"/>
      <c r="F57" s="1092">
        <v>720</v>
      </c>
      <c r="G57" s="1099"/>
      <c r="H57" s="1099"/>
      <c r="I57" s="1106"/>
      <c r="J57" s="1095" t="s">
        <v>975</v>
      </c>
      <c r="K57" s="1096"/>
      <c r="L57" s="1097"/>
      <c r="M57" s="1098"/>
      <c r="N57" s="1098"/>
      <c r="O57" s="1092">
        <v>720</v>
      </c>
      <c r="P57" s="1099"/>
      <c r="Q57" s="1093"/>
      <c r="R57" s="1099"/>
      <c r="S57" s="1095" t="s">
        <v>975</v>
      </c>
      <c r="T57" s="1096"/>
      <c r="U57" s="1097"/>
      <c r="V57" s="1098"/>
      <c r="W57" s="1098"/>
      <c r="X57" s="1092">
        <v>720</v>
      </c>
      <c r="Y57" s="1099"/>
      <c r="Z57" s="1093"/>
      <c r="AA57" s="1101"/>
      <c r="AB57" s="1095" t="s">
        <v>975</v>
      </c>
      <c r="AC57" s="1096"/>
      <c r="AD57" s="1097"/>
      <c r="AE57" s="1098"/>
      <c r="AF57" s="1098"/>
      <c r="AG57" s="1092">
        <v>720</v>
      </c>
      <c r="AH57" s="1099"/>
      <c r="AI57" s="1093"/>
      <c r="AJ57" s="1098"/>
      <c r="AK57" s="1095" t="s">
        <v>975</v>
      </c>
      <c r="AL57" s="1102"/>
      <c r="AM57" s="1097"/>
      <c r="AN57" s="1098"/>
      <c r="AO57" s="1098"/>
      <c r="AP57" s="1092">
        <v>720</v>
      </c>
      <c r="AQ57" s="1099"/>
      <c r="AR57" s="1093"/>
      <c r="AS57" s="1098"/>
      <c r="AT57" s="1095" t="s">
        <v>975</v>
      </c>
    </row>
    <row r="58" spans="1:46" ht="25.5" customHeight="1" x14ac:dyDescent="0.4">
      <c r="A58" s="1478">
        <v>45837</v>
      </c>
      <c r="B58" s="472">
        <v>1</v>
      </c>
      <c r="C58" s="1090"/>
      <c r="D58" s="1091"/>
      <c r="E58" s="1091"/>
      <c r="F58" s="1092">
        <v>720</v>
      </c>
      <c r="G58" s="1099"/>
      <c r="H58" s="1093"/>
      <c r="I58" s="1106"/>
      <c r="J58" s="1095" t="s">
        <v>975</v>
      </c>
      <c r="K58" s="1096"/>
      <c r="L58" s="1097"/>
      <c r="M58" s="1098"/>
      <c r="N58" s="1098"/>
      <c r="O58" s="1107">
        <v>720</v>
      </c>
      <c r="P58" s="1104"/>
      <c r="Q58" s="1101"/>
      <c r="R58" s="1098"/>
      <c r="S58" s="1095" t="s">
        <v>975</v>
      </c>
      <c r="T58" s="1096"/>
      <c r="U58" s="1097"/>
      <c r="V58" s="1098"/>
      <c r="W58" s="1098"/>
      <c r="X58" s="1107">
        <v>720</v>
      </c>
      <c r="Y58" s="1104"/>
      <c r="Z58" s="1093"/>
      <c r="AA58" s="1100"/>
      <c r="AB58" s="1095" t="s">
        <v>975</v>
      </c>
      <c r="AC58" s="1096"/>
      <c r="AD58" s="1097"/>
      <c r="AE58" s="1098"/>
      <c r="AF58" s="1098"/>
      <c r="AG58" s="1107">
        <v>720</v>
      </c>
      <c r="AH58" s="1103"/>
      <c r="AI58" s="1098"/>
      <c r="AJ58" s="1099"/>
      <c r="AK58" s="1095" t="s">
        <v>975</v>
      </c>
      <c r="AL58" s="1102"/>
      <c r="AM58" s="1097"/>
      <c r="AN58" s="1098"/>
      <c r="AO58" s="1098"/>
      <c r="AP58" s="1107">
        <v>720</v>
      </c>
      <c r="AQ58" s="1103"/>
      <c r="AR58" s="1098"/>
      <c r="AS58" s="1099"/>
      <c r="AT58" s="1095" t="s">
        <v>975</v>
      </c>
    </row>
    <row r="59" spans="1:46" ht="25.5" customHeight="1" x14ac:dyDescent="0.4">
      <c r="A59" s="1477"/>
      <c r="B59" s="500">
        <v>2</v>
      </c>
      <c r="C59" s="1090"/>
      <c r="D59" s="1091"/>
      <c r="E59" s="1091"/>
      <c r="F59" s="1092">
        <v>720</v>
      </c>
      <c r="G59" s="1093"/>
      <c r="H59" s="1099"/>
      <c r="I59" s="1106"/>
      <c r="J59" s="1095" t="s">
        <v>975</v>
      </c>
      <c r="K59" s="1096"/>
      <c r="L59" s="1097"/>
      <c r="M59" s="1098"/>
      <c r="N59" s="1098"/>
      <c r="O59" s="1107">
        <v>720</v>
      </c>
      <c r="P59" s="1104"/>
      <c r="Q59" s="1099"/>
      <c r="R59" s="1098"/>
      <c r="S59" s="1095" t="s">
        <v>975</v>
      </c>
      <c r="T59" s="1096"/>
      <c r="U59" s="1097"/>
      <c r="V59" s="1098"/>
      <c r="W59" s="1098"/>
      <c r="X59" s="1107">
        <v>720</v>
      </c>
      <c r="Y59" s="1103"/>
      <c r="Z59" s="1099"/>
      <c r="AA59" s="1101"/>
      <c r="AB59" s="1095" t="s">
        <v>975</v>
      </c>
      <c r="AC59" s="1096"/>
      <c r="AD59" s="1097"/>
      <c r="AE59" s="1098"/>
      <c r="AF59" s="1098"/>
      <c r="AG59" s="1107">
        <v>720</v>
      </c>
      <c r="AH59" s="1104"/>
      <c r="AI59" s="1099"/>
      <c r="AJ59" s="1101"/>
      <c r="AK59" s="1095" t="s">
        <v>975</v>
      </c>
      <c r="AL59" s="1102"/>
      <c r="AM59" s="1097"/>
      <c r="AN59" s="1098"/>
      <c r="AO59" s="1098"/>
      <c r="AP59" s="1107">
        <v>720</v>
      </c>
      <c r="AQ59" s="1104"/>
      <c r="AR59" s="1099"/>
      <c r="AS59" s="1098"/>
      <c r="AT59" s="1095" t="s">
        <v>975</v>
      </c>
    </row>
    <row r="60" spans="1:46" ht="25.5" customHeight="1" x14ac:dyDescent="0.4">
      <c r="A60" s="1478">
        <v>45838</v>
      </c>
      <c r="B60" s="472">
        <v>1</v>
      </c>
      <c r="C60" s="1109"/>
      <c r="D60" s="1110"/>
      <c r="E60" s="1091"/>
      <c r="F60" s="1111">
        <v>720</v>
      </c>
      <c r="G60" s="1093"/>
      <c r="H60" s="1105"/>
      <c r="I60" s="1094"/>
      <c r="J60" s="1108" t="s">
        <v>975</v>
      </c>
      <c r="K60" s="1096"/>
      <c r="L60" s="1097"/>
      <c r="M60" s="1098"/>
      <c r="N60" s="1098"/>
      <c r="O60" s="1107">
        <v>720</v>
      </c>
      <c r="P60" s="1112"/>
      <c r="Q60" s="1113"/>
      <c r="R60" s="1113"/>
      <c r="S60" s="1114" t="s">
        <v>975</v>
      </c>
      <c r="T60" s="1096"/>
      <c r="U60" s="1097"/>
      <c r="V60" s="1098"/>
      <c r="W60" s="1098"/>
      <c r="X60" s="1107">
        <v>720</v>
      </c>
      <c r="Y60" s="1103"/>
      <c r="Z60" s="1101"/>
      <c r="AA60" s="1101"/>
      <c r="AB60" s="1114" t="s">
        <v>975</v>
      </c>
      <c r="AC60" s="1096"/>
      <c r="AD60" s="1097"/>
      <c r="AE60" s="1098"/>
      <c r="AF60" s="1098"/>
      <c r="AG60" s="1107">
        <v>720</v>
      </c>
      <c r="AH60" s="1104"/>
      <c r="AI60" s="1101"/>
      <c r="AJ60" s="1101"/>
      <c r="AK60" s="1114" t="s">
        <v>975</v>
      </c>
      <c r="AL60" s="1102"/>
      <c r="AM60" s="1097"/>
      <c r="AN60" s="1098"/>
      <c r="AO60" s="1098"/>
      <c r="AP60" s="1107">
        <v>720</v>
      </c>
      <c r="AQ60" s="1103"/>
      <c r="AR60" s="1098"/>
      <c r="AS60" s="1098"/>
      <c r="AT60" s="1114" t="s">
        <v>975</v>
      </c>
    </row>
    <row r="61" spans="1:46" ht="25.5" customHeight="1" x14ac:dyDescent="0.4">
      <c r="A61" s="1477"/>
      <c r="B61" s="500">
        <v>2</v>
      </c>
      <c r="C61" s="1109"/>
      <c r="D61" s="1110"/>
      <c r="E61" s="1110"/>
      <c r="F61" s="1111">
        <v>720</v>
      </c>
      <c r="G61" s="1115"/>
      <c r="H61" s="1105"/>
      <c r="I61" s="1106"/>
      <c r="J61" s="1108" t="s">
        <v>975</v>
      </c>
      <c r="K61" s="1096"/>
      <c r="L61" s="1097"/>
      <c r="M61" s="1098"/>
      <c r="N61" s="1098"/>
      <c r="O61" s="1107">
        <v>720</v>
      </c>
      <c r="P61" s="1112"/>
      <c r="Q61" s="1116"/>
      <c r="R61" s="1113"/>
      <c r="S61" s="1114" t="s">
        <v>975</v>
      </c>
      <c r="T61" s="1096"/>
      <c r="U61" s="1097"/>
      <c r="V61" s="1098"/>
      <c r="W61" s="1098"/>
      <c r="X61" s="1107">
        <v>720</v>
      </c>
      <c r="Y61" s="1103"/>
      <c r="Z61" s="1101"/>
      <c r="AA61" s="1100"/>
      <c r="AB61" s="1114" t="s">
        <v>975</v>
      </c>
      <c r="AC61" s="1096"/>
      <c r="AD61" s="1097"/>
      <c r="AE61" s="1098"/>
      <c r="AF61" s="1098"/>
      <c r="AG61" s="1107">
        <v>720</v>
      </c>
      <c r="AH61" s="1529"/>
      <c r="AI61" s="1530"/>
      <c r="AJ61" s="1531"/>
      <c r="AK61" s="1114" t="s">
        <v>975</v>
      </c>
      <c r="AL61" s="1102"/>
      <c r="AM61" s="1097"/>
      <c r="AN61" s="1098"/>
      <c r="AO61" s="1098"/>
      <c r="AP61" s="1107">
        <v>720</v>
      </c>
      <c r="AQ61" s="1104"/>
      <c r="AR61" s="1098"/>
      <c r="AS61" s="1101"/>
      <c r="AT61" s="1114" t="s">
        <v>975</v>
      </c>
    </row>
    <row r="62" spans="1:46" x14ac:dyDescent="0.4">
      <c r="A62" s="423" t="s">
        <v>225</v>
      </c>
      <c r="B62" s="65"/>
      <c r="C62" s="1117">
        <f>SUM(C3:C61)</f>
        <v>577</v>
      </c>
      <c r="D62" s="1118">
        <f>SUM(D3:D61)</f>
        <v>294</v>
      </c>
      <c r="E62" s="1117">
        <f>SUM(E3:E61)</f>
        <v>171</v>
      </c>
      <c r="F62" s="1118">
        <f>SUM(F3:F61)</f>
        <v>14288</v>
      </c>
      <c r="G62" s="1102"/>
      <c r="H62" s="1102"/>
      <c r="I62" s="1102"/>
      <c r="J62" s="1102"/>
      <c r="K62" s="1102"/>
      <c r="L62" s="1118">
        <f>SUM(L3:L61)</f>
        <v>0</v>
      </c>
      <c r="M62" s="1118">
        <f>SUM(M3:M61)</f>
        <v>0</v>
      </c>
      <c r="N62" s="1118">
        <f>SUM(N3:N61)</f>
        <v>0</v>
      </c>
      <c r="O62" s="1118">
        <f>SUM(O3:O61)</f>
        <v>14234</v>
      </c>
      <c r="P62" s="1102"/>
      <c r="Q62" s="1102"/>
      <c r="R62" s="1102"/>
      <c r="S62" s="1102"/>
      <c r="T62" s="1102"/>
      <c r="U62" s="1118">
        <f>SUM(U3:U61)</f>
        <v>467</v>
      </c>
      <c r="V62" s="1118">
        <f>SUM(V3:V61)</f>
        <v>52</v>
      </c>
      <c r="W62" s="1118">
        <f>SUM(W3:W61)</f>
        <v>510</v>
      </c>
      <c r="X62" s="1118">
        <f>SUM(X3:X61)</f>
        <v>14336</v>
      </c>
      <c r="Y62" s="1102"/>
      <c r="Z62" s="1102"/>
      <c r="AA62" s="1102"/>
      <c r="AB62" s="1102"/>
      <c r="AC62" s="1102"/>
      <c r="AD62" s="1118">
        <f>SUM(AD3:AD61)</f>
        <v>10</v>
      </c>
      <c r="AE62" s="1118">
        <f>SUM(AE3:AE61)</f>
        <v>0</v>
      </c>
      <c r="AF62" s="1118">
        <f>SUM(AF3:AF61)</f>
        <v>108</v>
      </c>
      <c r="AG62" s="1118">
        <f>SUM(AG3:AG61)</f>
        <v>14228</v>
      </c>
      <c r="AH62" s="1102"/>
      <c r="AI62" s="1102"/>
      <c r="AJ62" s="1102"/>
      <c r="AK62" s="1102"/>
      <c r="AL62" s="1102"/>
      <c r="AM62" s="1118">
        <f>SUM(AM3:AM61)</f>
        <v>101</v>
      </c>
      <c r="AN62" s="1118">
        <f>SUM(AN3:AN61)</f>
        <v>0</v>
      </c>
      <c r="AO62" s="1118">
        <f>SUM(AO3:AO61)</f>
        <v>97</v>
      </c>
      <c r="AP62" s="1118">
        <f>SUM(AP3:AP61)</f>
        <v>14260</v>
      </c>
      <c r="AQ62" s="1102"/>
      <c r="AR62" s="1102"/>
      <c r="AS62" s="1102"/>
      <c r="AT62" s="1102"/>
    </row>
    <row r="63" spans="1:46" x14ac:dyDescent="0.4">
      <c r="A63" s="423"/>
      <c r="B63" s="65"/>
      <c r="C63" s="423"/>
      <c r="D63" s="423"/>
      <c r="E63" s="423"/>
      <c r="F63" s="423"/>
      <c r="G63" s="423"/>
      <c r="H63" s="423"/>
      <c r="I63" s="423"/>
      <c r="J63" s="423"/>
      <c r="K63" s="423"/>
      <c r="L63" s="423"/>
      <c r="M63" s="423"/>
      <c r="N63" s="423"/>
      <c r="O63" s="423"/>
      <c r="P63" s="423"/>
      <c r="Q63" s="423"/>
      <c r="R63" s="423"/>
      <c r="S63" s="423"/>
      <c r="T63" s="423"/>
      <c r="U63" s="423"/>
      <c r="V63" s="423"/>
      <c r="W63" s="423"/>
      <c r="X63" s="423"/>
      <c r="Y63" s="423"/>
      <c r="Z63" s="423"/>
      <c r="AA63" s="423"/>
      <c r="AB63" s="423"/>
      <c r="AC63" s="423"/>
      <c r="AD63" s="423"/>
      <c r="AE63" s="423"/>
      <c r="AF63" s="423"/>
      <c r="AG63" s="423"/>
      <c r="AH63" s="423"/>
      <c r="AI63" s="423"/>
      <c r="AJ63" s="423"/>
      <c r="AK63" s="423"/>
      <c r="AL63" s="423"/>
      <c r="AM63" s="423"/>
      <c r="AN63" s="423"/>
      <c r="AO63" s="423"/>
      <c r="AP63" s="423"/>
      <c r="AQ63" s="423"/>
      <c r="AR63" s="423"/>
      <c r="AS63" s="423"/>
      <c r="AT63" s="423"/>
    </row>
    <row r="64" spans="1:46" x14ac:dyDescent="0.4">
      <c r="A64" s="423"/>
      <c r="B64" s="65"/>
      <c r="C64" s="423"/>
      <c r="D64" s="423"/>
      <c r="E64" s="423"/>
      <c r="F64" s="423"/>
      <c r="G64" s="423"/>
      <c r="H64" s="423"/>
      <c r="I64" s="423"/>
      <c r="J64" s="423"/>
      <c r="K64" s="423"/>
      <c r="L64" s="423"/>
      <c r="M64" s="423"/>
      <c r="N64" s="423"/>
      <c r="O64" s="423"/>
      <c r="P64" s="423"/>
      <c r="Q64" s="423"/>
      <c r="R64" s="423"/>
      <c r="S64" s="423"/>
      <c r="T64" s="423"/>
      <c r="U64" s="423"/>
      <c r="V64" s="423"/>
      <c r="W64" s="423"/>
      <c r="X64" s="423"/>
      <c r="Y64" s="423"/>
      <c r="Z64" s="423"/>
      <c r="AA64" s="423"/>
      <c r="AB64" s="423"/>
      <c r="AC64" s="423"/>
      <c r="AD64" s="423"/>
      <c r="AE64" s="423"/>
      <c r="AF64" s="423"/>
      <c r="AG64" s="423"/>
      <c r="AH64" s="423"/>
      <c r="AI64" s="423"/>
      <c r="AJ64" s="423"/>
      <c r="AK64" s="423"/>
      <c r="AL64" s="423"/>
      <c r="AM64" s="423"/>
      <c r="AN64" s="423"/>
      <c r="AO64" s="423"/>
      <c r="AP64" s="423"/>
      <c r="AQ64" s="423"/>
      <c r="AR64" s="423"/>
      <c r="AS64" s="423"/>
      <c r="AT64" s="423"/>
    </row>
    <row r="65" spans="1:46" x14ac:dyDescent="0.4">
      <c r="A65" s="423"/>
      <c r="B65" s="65"/>
      <c r="C65" s="423"/>
      <c r="D65" s="423"/>
      <c r="E65" s="423"/>
      <c r="F65" s="423"/>
      <c r="G65" s="423"/>
      <c r="H65" s="423"/>
      <c r="I65" s="423"/>
      <c r="J65" s="423"/>
      <c r="K65" s="423"/>
      <c r="L65" s="423"/>
      <c r="M65" s="423"/>
      <c r="N65" s="423"/>
      <c r="O65" s="423"/>
      <c r="P65" s="423"/>
      <c r="Q65" s="423"/>
      <c r="R65" s="423"/>
      <c r="S65" s="423"/>
      <c r="T65" s="423"/>
      <c r="U65" s="423"/>
      <c r="V65" s="423"/>
      <c r="W65" s="423"/>
      <c r="X65" s="423"/>
      <c r="Y65" s="423"/>
      <c r="Z65" s="423"/>
      <c r="AA65" s="423"/>
      <c r="AB65" s="423"/>
      <c r="AC65" s="423"/>
      <c r="AD65" s="423"/>
      <c r="AE65" s="423"/>
      <c r="AF65" s="423"/>
      <c r="AG65" s="423"/>
      <c r="AH65" s="423"/>
      <c r="AI65" s="423"/>
      <c r="AJ65" s="423"/>
      <c r="AK65" s="423"/>
      <c r="AL65" s="423"/>
      <c r="AM65" s="423"/>
      <c r="AN65" s="423"/>
      <c r="AO65" s="423"/>
      <c r="AP65" s="423"/>
      <c r="AQ65" s="423"/>
      <c r="AR65" s="423"/>
      <c r="AS65" s="423"/>
      <c r="AT65" s="423"/>
    </row>
    <row r="66" spans="1:46" x14ac:dyDescent="0.4">
      <c r="A66" s="423"/>
      <c r="B66" s="65"/>
      <c r="C66" s="423"/>
      <c r="D66" s="423"/>
      <c r="E66" s="423"/>
      <c r="F66" s="423"/>
      <c r="G66" s="423"/>
      <c r="H66" s="423"/>
      <c r="I66" s="423"/>
      <c r="J66" s="423"/>
      <c r="K66" s="423"/>
      <c r="L66" s="423"/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423"/>
      <c r="Y66" s="423"/>
      <c r="Z66" s="423"/>
      <c r="AA66" s="423"/>
      <c r="AB66" s="423"/>
      <c r="AC66" s="423"/>
      <c r="AD66" s="423"/>
      <c r="AE66" s="423"/>
      <c r="AF66" s="423"/>
      <c r="AG66" s="423"/>
      <c r="AH66" s="423"/>
      <c r="AI66" s="423"/>
      <c r="AJ66" s="423"/>
      <c r="AK66" s="423"/>
      <c r="AL66" s="423"/>
      <c r="AM66" s="423"/>
      <c r="AN66" s="423"/>
      <c r="AO66" s="423"/>
      <c r="AP66" s="423"/>
      <c r="AQ66" s="423"/>
      <c r="AR66" s="423"/>
      <c r="AS66" s="423"/>
      <c r="AT66" s="423"/>
    </row>
    <row r="67" spans="1:46" x14ac:dyDescent="0.4">
      <c r="A67" s="423"/>
      <c r="B67" s="65"/>
      <c r="C67" s="423"/>
      <c r="D67" s="423"/>
      <c r="E67" s="423"/>
      <c r="F67" s="423"/>
      <c r="G67" s="423"/>
      <c r="H67" s="423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23"/>
      <c r="X67" s="423"/>
      <c r="Y67" s="423"/>
      <c r="Z67" s="423"/>
      <c r="AA67" s="423"/>
      <c r="AB67" s="423"/>
      <c r="AC67" s="423"/>
      <c r="AD67" s="423"/>
      <c r="AE67" s="423"/>
      <c r="AF67" s="423"/>
      <c r="AG67" s="423"/>
      <c r="AH67" s="423"/>
      <c r="AI67" s="423"/>
      <c r="AJ67" s="423"/>
      <c r="AK67" s="423"/>
      <c r="AL67" s="423"/>
      <c r="AM67" s="423"/>
      <c r="AN67" s="423"/>
      <c r="AO67" s="423"/>
      <c r="AP67" s="423"/>
      <c r="AQ67" s="423"/>
      <c r="AR67" s="423"/>
      <c r="AS67" s="423"/>
      <c r="AT67" s="423"/>
    </row>
    <row r="68" spans="1:46" x14ac:dyDescent="0.4">
      <c r="A68" s="423"/>
      <c r="B68" s="65"/>
      <c r="C68" s="423"/>
      <c r="D68" s="423"/>
      <c r="E68" s="423"/>
      <c r="F68" s="423"/>
      <c r="G68" s="423"/>
      <c r="H68" s="423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23"/>
      <c r="X68" s="423"/>
      <c r="Y68" s="423"/>
      <c r="Z68" s="423"/>
      <c r="AA68" s="423"/>
      <c r="AB68" s="423"/>
      <c r="AC68" s="423"/>
      <c r="AD68" s="423"/>
      <c r="AE68" s="423"/>
      <c r="AF68" s="423"/>
      <c r="AG68" s="423"/>
      <c r="AH68" s="423"/>
      <c r="AI68" s="423"/>
      <c r="AJ68" s="423"/>
      <c r="AK68" s="423"/>
      <c r="AL68" s="423"/>
      <c r="AM68" s="423"/>
      <c r="AN68" s="423"/>
      <c r="AO68" s="423"/>
      <c r="AP68" s="423"/>
      <c r="AQ68" s="423"/>
      <c r="AR68" s="423"/>
      <c r="AS68" s="423"/>
      <c r="AT68" s="423"/>
    </row>
    <row r="69" spans="1:46" x14ac:dyDescent="0.4">
      <c r="A69" s="423"/>
      <c r="B69" s="65"/>
      <c r="C69" s="423"/>
      <c r="D69" s="423"/>
      <c r="E69" s="423"/>
      <c r="F69" s="423"/>
      <c r="G69" s="423"/>
      <c r="H69" s="423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23"/>
      <c r="X69" s="423"/>
      <c r="Y69" s="423"/>
      <c r="Z69" s="423"/>
      <c r="AA69" s="423"/>
      <c r="AB69" s="423"/>
      <c r="AC69" s="423"/>
      <c r="AD69" s="423"/>
      <c r="AE69" s="423"/>
      <c r="AF69" s="423"/>
      <c r="AG69" s="423"/>
      <c r="AH69" s="423"/>
      <c r="AI69" s="423"/>
      <c r="AJ69" s="423"/>
      <c r="AK69" s="423"/>
      <c r="AL69" s="423"/>
      <c r="AM69" s="423"/>
      <c r="AN69" s="423"/>
      <c r="AO69" s="423"/>
      <c r="AP69" s="423"/>
      <c r="AQ69" s="423"/>
      <c r="AR69" s="423"/>
      <c r="AS69" s="423"/>
      <c r="AT69" s="423"/>
    </row>
    <row r="70" spans="1:46" ht="15" thickBot="1" x14ac:dyDescent="0.45">
      <c r="A70" s="423"/>
      <c r="B70" s="65"/>
      <c r="C70" s="423"/>
      <c r="D70" s="423"/>
      <c r="E70" s="423"/>
      <c r="F70" s="423"/>
      <c r="G70" s="423"/>
      <c r="H70" s="423"/>
      <c r="I70" s="423"/>
      <c r="J70" s="423"/>
      <c r="K70" s="423"/>
      <c r="L70" s="423"/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423"/>
      <c r="Y70" s="423"/>
      <c r="Z70" s="423"/>
      <c r="AA70" s="423"/>
      <c r="AB70" s="423"/>
      <c r="AC70" s="423"/>
      <c r="AD70" s="423"/>
      <c r="AE70" s="423"/>
      <c r="AF70" s="423"/>
      <c r="AG70" s="423"/>
      <c r="AH70" s="423"/>
      <c r="AI70" s="423"/>
      <c r="AJ70" s="423"/>
      <c r="AK70" s="423"/>
      <c r="AL70" s="423"/>
      <c r="AM70" s="423"/>
      <c r="AN70" s="423"/>
      <c r="AO70" s="423"/>
      <c r="AP70" s="423"/>
      <c r="AQ70" s="423"/>
      <c r="AR70" s="423"/>
      <c r="AS70" s="423"/>
      <c r="AT70" s="423"/>
    </row>
    <row r="71" spans="1:46" ht="18.45" thickBot="1" x14ac:dyDescent="0.5">
      <c r="A71" s="423"/>
      <c r="B71" s="354"/>
      <c r="C71" s="1349" t="s">
        <v>199</v>
      </c>
      <c r="D71" s="1350"/>
      <c r="E71" s="1347" t="s">
        <v>200</v>
      </c>
      <c r="F71" s="1348"/>
      <c r="G71" s="1349" t="s">
        <v>201</v>
      </c>
      <c r="H71" s="1350"/>
      <c r="I71" s="1349" t="s">
        <v>204</v>
      </c>
      <c r="J71" s="1350"/>
      <c r="K71" s="423"/>
      <c r="L71" s="423"/>
      <c r="M71" s="423"/>
      <c r="N71" s="423"/>
      <c r="O71" s="423"/>
      <c r="P71" s="423"/>
      <c r="Q71" s="423"/>
      <c r="R71" s="423"/>
      <c r="S71" s="423"/>
      <c r="T71" s="423"/>
      <c r="U71" s="423"/>
      <c r="V71" s="423"/>
      <c r="W71" s="423"/>
      <c r="X71" s="423"/>
      <c r="Y71" s="423"/>
      <c r="Z71" s="423"/>
      <c r="AA71" s="423"/>
      <c r="AB71" s="423"/>
      <c r="AC71" s="423"/>
      <c r="AD71" s="423"/>
      <c r="AE71" s="423"/>
      <c r="AF71" s="423"/>
      <c r="AG71" s="423"/>
      <c r="AH71" s="423"/>
      <c r="AI71" s="423"/>
      <c r="AJ71" s="423"/>
      <c r="AK71" s="423"/>
      <c r="AL71" s="423"/>
      <c r="AM71" s="423"/>
      <c r="AN71" s="423"/>
      <c r="AO71" s="423"/>
      <c r="AP71" s="423"/>
      <c r="AQ71" s="423"/>
      <c r="AR71" s="423"/>
      <c r="AS71" s="423"/>
      <c r="AT71" s="423"/>
    </row>
    <row r="72" spans="1:46" ht="18.45" thickBot="1" x14ac:dyDescent="0.5">
      <c r="A72" s="423"/>
      <c r="B72" s="354"/>
      <c r="C72" s="552" t="s">
        <v>222</v>
      </c>
      <c r="D72" s="553" t="s">
        <v>223</v>
      </c>
      <c r="E72" s="554" t="s">
        <v>222</v>
      </c>
      <c r="F72" s="555" t="s">
        <v>223</v>
      </c>
      <c r="G72" s="552" t="s">
        <v>222</v>
      </c>
      <c r="H72" s="553" t="s">
        <v>223</v>
      </c>
      <c r="I72" s="552" t="s">
        <v>222</v>
      </c>
      <c r="J72" s="553" t="s">
        <v>223</v>
      </c>
      <c r="K72" s="423"/>
      <c r="L72" s="423"/>
      <c r="M72" s="423"/>
      <c r="N72" s="423"/>
      <c r="O72" s="423"/>
      <c r="P72" s="423"/>
      <c r="Q72" s="423"/>
      <c r="R72" s="423"/>
      <c r="S72" s="423"/>
      <c r="T72" s="423"/>
      <c r="U72" s="423"/>
      <c r="V72" s="423"/>
      <c r="W72" s="423"/>
      <c r="X72" s="423"/>
      <c r="Y72" s="423"/>
      <c r="Z72" s="423"/>
      <c r="AA72" s="423"/>
      <c r="AB72" s="423"/>
      <c r="AC72" s="423"/>
      <c r="AD72" s="423"/>
      <c r="AE72" s="423"/>
      <c r="AF72" s="423"/>
      <c r="AG72" s="423"/>
      <c r="AH72" s="423"/>
      <c r="AI72" s="423"/>
      <c r="AJ72" s="423"/>
      <c r="AK72" s="423"/>
      <c r="AL72" s="423"/>
      <c r="AM72" s="423"/>
      <c r="AN72" s="423"/>
      <c r="AO72" s="423"/>
      <c r="AP72" s="423"/>
      <c r="AQ72" s="423"/>
      <c r="AR72" s="423"/>
      <c r="AS72" s="423"/>
      <c r="AT72" s="423"/>
    </row>
    <row r="73" spans="1:46" ht="18" x14ac:dyDescent="0.4">
      <c r="A73" s="423"/>
      <c r="B73" s="541" t="s">
        <v>218</v>
      </c>
      <c r="C73" s="542">
        <f>C62</f>
        <v>577</v>
      </c>
      <c r="D73" s="543">
        <f>C73/60</f>
        <v>9.6166666666666671</v>
      </c>
      <c r="E73" s="542">
        <f>D62</f>
        <v>294</v>
      </c>
      <c r="F73" s="544">
        <f>E73/60</f>
        <v>4.9000000000000004</v>
      </c>
      <c r="G73" s="542">
        <f>E62</f>
        <v>171</v>
      </c>
      <c r="H73" s="543">
        <f>G73/60</f>
        <v>2.85</v>
      </c>
      <c r="I73" s="542">
        <f>F62</f>
        <v>14288</v>
      </c>
      <c r="J73" s="543">
        <f>I73/60</f>
        <v>238.13333333333333</v>
      </c>
      <c r="K73" s="423"/>
      <c r="L73" s="423"/>
      <c r="M73" s="423"/>
      <c r="N73" s="423"/>
      <c r="O73" s="423"/>
      <c r="P73" s="423"/>
      <c r="Q73" s="423"/>
      <c r="R73" s="423"/>
      <c r="S73" s="423"/>
      <c r="T73" s="423"/>
      <c r="U73" s="423"/>
      <c r="V73" s="423"/>
      <c r="W73" s="423"/>
      <c r="X73" s="423"/>
      <c r="Y73" s="423"/>
      <c r="Z73" s="423"/>
      <c r="AA73" s="423"/>
      <c r="AB73" s="423"/>
      <c r="AC73" s="423"/>
      <c r="AD73" s="423"/>
      <c r="AE73" s="423"/>
      <c r="AF73" s="423"/>
      <c r="AG73" s="423"/>
      <c r="AH73" s="423"/>
      <c r="AI73" s="423"/>
      <c r="AJ73" s="423"/>
      <c r="AK73" s="423"/>
      <c r="AL73" s="423"/>
      <c r="AM73" s="423"/>
      <c r="AN73" s="423"/>
      <c r="AO73" s="423"/>
      <c r="AP73" s="423"/>
      <c r="AQ73" s="423"/>
      <c r="AR73" s="423"/>
      <c r="AS73" s="423"/>
      <c r="AT73" s="423"/>
    </row>
    <row r="74" spans="1:46" ht="18" x14ac:dyDescent="0.4">
      <c r="A74" s="423"/>
      <c r="B74" s="541" t="s">
        <v>219</v>
      </c>
      <c r="C74" s="545">
        <f>L62</f>
        <v>0</v>
      </c>
      <c r="D74" s="546">
        <f>C74/60</f>
        <v>0</v>
      </c>
      <c r="E74" s="545">
        <f>M62</f>
        <v>0</v>
      </c>
      <c r="F74" s="547">
        <f>E74/60</f>
        <v>0</v>
      </c>
      <c r="G74" s="545">
        <f>N62</f>
        <v>0</v>
      </c>
      <c r="H74" s="546">
        <f>G74/60</f>
        <v>0</v>
      </c>
      <c r="I74" s="545">
        <f>O62</f>
        <v>14234</v>
      </c>
      <c r="J74" s="546">
        <f>I74/60</f>
        <v>237.23333333333332</v>
      </c>
      <c r="K74" s="423"/>
      <c r="L74" s="423"/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423"/>
      <c r="Y74" s="423"/>
      <c r="Z74" s="423"/>
      <c r="AA74" s="423"/>
      <c r="AB74" s="423"/>
      <c r="AC74" s="423"/>
      <c r="AD74" s="423"/>
      <c r="AE74" s="423"/>
      <c r="AF74" s="423"/>
      <c r="AG74" s="423"/>
      <c r="AH74" s="423"/>
      <c r="AI74" s="423"/>
      <c r="AJ74" s="423"/>
      <c r="AK74" s="423"/>
      <c r="AL74" s="423"/>
      <c r="AM74" s="423"/>
      <c r="AN74" s="423"/>
      <c r="AO74" s="423"/>
      <c r="AP74" s="423"/>
      <c r="AQ74" s="423"/>
      <c r="AR74" s="423"/>
      <c r="AS74" s="423"/>
      <c r="AT74" s="423"/>
    </row>
    <row r="75" spans="1:46" ht="18" x14ac:dyDescent="0.4">
      <c r="A75" s="423"/>
      <c r="B75" s="541" t="s">
        <v>220</v>
      </c>
      <c r="C75" s="545">
        <f>U62</f>
        <v>467</v>
      </c>
      <c r="D75" s="546">
        <f>C75/60</f>
        <v>7.7833333333333332</v>
      </c>
      <c r="E75" s="545">
        <f>V62</f>
        <v>52</v>
      </c>
      <c r="F75" s="547">
        <f>E75/60</f>
        <v>0.8666666666666667</v>
      </c>
      <c r="G75" s="545">
        <f>W62</f>
        <v>510</v>
      </c>
      <c r="H75" s="546">
        <f>G75/60</f>
        <v>8.5</v>
      </c>
      <c r="I75" s="545">
        <f>X62</f>
        <v>14336</v>
      </c>
      <c r="J75" s="546">
        <f>I75/60</f>
        <v>238.93333333333334</v>
      </c>
      <c r="K75" s="423"/>
      <c r="L75" s="423"/>
      <c r="M75" s="423"/>
      <c r="N75" s="423"/>
      <c r="O75" s="423"/>
      <c r="P75" s="423"/>
      <c r="Q75" s="423"/>
      <c r="R75" s="423"/>
      <c r="S75" s="423"/>
      <c r="T75" s="423"/>
      <c r="U75" s="423"/>
      <c r="V75" s="423"/>
      <c r="W75" s="423"/>
      <c r="X75" s="423"/>
      <c r="Y75" s="423"/>
      <c r="Z75" s="423"/>
      <c r="AA75" s="423"/>
      <c r="AB75" s="423"/>
      <c r="AC75" s="423"/>
      <c r="AD75" s="423"/>
      <c r="AE75" s="423"/>
      <c r="AF75" s="423"/>
      <c r="AG75" s="423"/>
      <c r="AH75" s="423"/>
      <c r="AI75" s="423"/>
      <c r="AJ75" s="423"/>
      <c r="AK75" s="423"/>
      <c r="AL75" s="423"/>
      <c r="AM75" s="423"/>
      <c r="AN75" s="423"/>
      <c r="AO75" s="423"/>
      <c r="AP75" s="423"/>
      <c r="AQ75" s="423"/>
      <c r="AR75" s="423"/>
      <c r="AS75" s="423"/>
      <c r="AT75" s="423"/>
    </row>
    <row r="76" spans="1:46" ht="18.45" thickBot="1" x14ac:dyDescent="0.45">
      <c r="A76" s="423"/>
      <c r="B76" s="541" t="s">
        <v>221</v>
      </c>
      <c r="C76" s="548">
        <f>AD62</f>
        <v>10</v>
      </c>
      <c r="D76" s="549">
        <f>C76/60</f>
        <v>0.16666666666666666</v>
      </c>
      <c r="E76" s="548">
        <f>AE62</f>
        <v>0</v>
      </c>
      <c r="F76" s="550">
        <f>E76/60</f>
        <v>0</v>
      </c>
      <c r="G76" s="548">
        <f>AF62</f>
        <v>108</v>
      </c>
      <c r="H76" s="549">
        <f>G76/60</f>
        <v>1.8</v>
      </c>
      <c r="I76" s="548">
        <f>AG62</f>
        <v>14228</v>
      </c>
      <c r="J76" s="549">
        <f>I76/60</f>
        <v>237.13333333333333</v>
      </c>
      <c r="K76" s="423"/>
      <c r="L76" s="423"/>
      <c r="M76" s="423"/>
      <c r="N76" s="423"/>
      <c r="O76" s="423"/>
      <c r="P76" s="423"/>
      <c r="Q76" s="423"/>
      <c r="R76" s="423"/>
      <c r="S76" s="423"/>
      <c r="T76" s="423"/>
      <c r="U76" s="423"/>
      <c r="V76" s="423"/>
      <c r="W76" s="423"/>
      <c r="X76" s="423"/>
      <c r="Y76" s="423"/>
      <c r="Z76" s="423"/>
      <c r="AA76" s="423"/>
      <c r="AB76" s="423"/>
      <c r="AC76" s="423"/>
      <c r="AD76" s="423"/>
      <c r="AE76" s="423"/>
      <c r="AF76" s="423"/>
      <c r="AG76" s="423"/>
      <c r="AH76" s="423"/>
      <c r="AI76" s="423"/>
      <c r="AJ76" s="423"/>
      <c r="AK76" s="423"/>
      <c r="AL76" s="423"/>
      <c r="AM76" s="423"/>
      <c r="AN76" s="423"/>
      <c r="AO76" s="423"/>
      <c r="AP76" s="423"/>
      <c r="AQ76" s="423"/>
      <c r="AR76" s="423"/>
      <c r="AS76" s="423"/>
      <c r="AT76" s="423"/>
    </row>
    <row r="77" spans="1:46" ht="18.45" thickBot="1" x14ac:dyDescent="0.45">
      <c r="A77" s="423"/>
      <c r="B77" s="541" t="s">
        <v>488</v>
      </c>
      <c r="C77" s="643">
        <f>AM62</f>
        <v>101</v>
      </c>
      <c r="D77" s="642">
        <f>C77/60</f>
        <v>1.6833333333333333</v>
      </c>
      <c r="E77" s="643">
        <f>AN62</f>
        <v>0</v>
      </c>
      <c r="F77" s="644">
        <f>E77/60</f>
        <v>0</v>
      </c>
      <c r="G77" s="643">
        <f>AO62</f>
        <v>97</v>
      </c>
      <c r="H77" s="642">
        <f>G77/60</f>
        <v>1.6166666666666667</v>
      </c>
      <c r="I77" s="643">
        <f>AP62</f>
        <v>14260</v>
      </c>
      <c r="J77" s="642">
        <f>I77/60</f>
        <v>237.66666666666666</v>
      </c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23"/>
      <c r="X77" s="423"/>
      <c r="Y77" s="423"/>
      <c r="Z77" s="423"/>
      <c r="AA77" s="423"/>
      <c r="AB77" s="423"/>
      <c r="AC77" s="423"/>
      <c r="AD77" s="423"/>
      <c r="AE77" s="423"/>
      <c r="AF77" s="423"/>
      <c r="AG77" s="423"/>
      <c r="AH77" s="423"/>
      <c r="AI77" s="423"/>
      <c r="AJ77" s="423"/>
      <c r="AK77" s="423"/>
      <c r="AL77" s="423"/>
      <c r="AM77" s="423"/>
      <c r="AN77" s="423"/>
      <c r="AO77" s="423"/>
      <c r="AP77" s="423"/>
      <c r="AQ77" s="423"/>
      <c r="AR77" s="423"/>
      <c r="AS77" s="423"/>
      <c r="AT77" s="423"/>
    </row>
    <row r="78" spans="1:46" ht="18.45" thickBot="1" x14ac:dyDescent="0.5">
      <c r="A78" s="423"/>
      <c r="B78" s="354"/>
      <c r="C78" s="255"/>
      <c r="D78" s="255"/>
      <c r="E78" s="255"/>
      <c r="F78" s="255"/>
      <c r="G78" s="255"/>
      <c r="H78" s="255"/>
      <c r="I78" s="255"/>
      <c r="J78" s="255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23"/>
      <c r="X78" s="423"/>
      <c r="Y78" s="423"/>
      <c r="Z78" s="423"/>
      <c r="AA78" s="423"/>
      <c r="AB78" s="423"/>
      <c r="AC78" s="423"/>
      <c r="AD78" s="423"/>
      <c r="AE78" s="423"/>
      <c r="AF78" s="423"/>
      <c r="AG78" s="423"/>
      <c r="AH78" s="423"/>
      <c r="AI78" s="423"/>
      <c r="AJ78" s="423"/>
      <c r="AK78" s="423"/>
      <c r="AL78" s="423"/>
      <c r="AM78" s="423"/>
      <c r="AN78" s="423"/>
      <c r="AO78" s="423"/>
      <c r="AP78" s="423"/>
      <c r="AQ78" s="423"/>
      <c r="AR78" s="423"/>
      <c r="AS78" s="423"/>
      <c r="AT78" s="423"/>
    </row>
    <row r="79" spans="1:46" ht="18.45" thickBot="1" x14ac:dyDescent="0.5">
      <c r="A79" s="423"/>
      <c r="B79" s="551" t="s">
        <v>217</v>
      </c>
      <c r="C79" s="556"/>
      <c r="D79" s="557">
        <f>SUM(D73:D77)</f>
        <v>19.25</v>
      </c>
      <c r="E79" s="556"/>
      <c r="F79" s="557">
        <f>SUM(F73:F77)</f>
        <v>5.7666666666666675</v>
      </c>
      <c r="G79" s="556"/>
      <c r="H79" s="557">
        <f>SUM(H73:H77)</f>
        <v>14.766666666666667</v>
      </c>
      <c r="I79" s="556"/>
      <c r="J79" s="558">
        <f>AVERAGE(J73:J77)</f>
        <v>237.82</v>
      </c>
      <c r="K79" s="423"/>
      <c r="L79" s="423"/>
      <c r="M79" s="423"/>
      <c r="N79" s="423"/>
      <c r="O79" s="423"/>
      <c r="P79" s="423"/>
      <c r="Q79" s="423"/>
      <c r="R79" s="423"/>
      <c r="S79" s="423"/>
      <c r="T79" s="423"/>
      <c r="U79" s="423"/>
      <c r="V79" s="423"/>
      <c r="W79" s="423"/>
      <c r="X79" s="423"/>
      <c r="Y79" s="423"/>
      <c r="Z79" s="423"/>
      <c r="AA79" s="423"/>
      <c r="AB79" s="423"/>
      <c r="AC79" s="423"/>
      <c r="AD79" s="423"/>
      <c r="AE79" s="423"/>
      <c r="AF79" s="423"/>
      <c r="AG79" s="423"/>
      <c r="AH79" s="423"/>
      <c r="AI79" s="423"/>
      <c r="AJ79" s="423"/>
      <c r="AK79" s="423"/>
      <c r="AL79" s="423"/>
      <c r="AM79" s="423"/>
      <c r="AN79" s="423"/>
      <c r="AO79" s="423"/>
      <c r="AP79" s="423"/>
      <c r="AQ79" s="423"/>
      <c r="AR79" s="423"/>
      <c r="AS79" s="423"/>
      <c r="AT79" s="423"/>
    </row>
    <row r="80" spans="1:46" x14ac:dyDescent="0.4">
      <c r="A80" s="423"/>
      <c r="B80" s="65"/>
      <c r="C80" s="423"/>
      <c r="D80" s="423"/>
      <c r="E80" s="423"/>
      <c r="F80" s="423"/>
      <c r="G80" s="423"/>
      <c r="H80" s="423"/>
      <c r="I80" s="423"/>
      <c r="J80" s="423"/>
      <c r="K80" s="423"/>
      <c r="L80" s="423"/>
      <c r="M80" s="423"/>
      <c r="N80" s="423"/>
      <c r="O80" s="423"/>
      <c r="P80" s="423"/>
      <c r="Q80" s="423"/>
      <c r="R80" s="423"/>
      <c r="S80" s="423"/>
      <c r="T80" s="423"/>
      <c r="U80" s="423"/>
      <c r="V80" s="423"/>
      <c r="W80" s="423"/>
      <c r="X80" s="423"/>
      <c r="Y80" s="423"/>
      <c r="Z80" s="423"/>
      <c r="AA80" s="423"/>
      <c r="AB80" s="423"/>
      <c r="AC80" s="423"/>
      <c r="AD80" s="423"/>
      <c r="AE80" s="423"/>
      <c r="AF80" s="423"/>
      <c r="AG80" s="423"/>
      <c r="AH80" s="423"/>
      <c r="AI80" s="423"/>
      <c r="AJ80" s="423"/>
      <c r="AK80" s="423"/>
      <c r="AL80" s="423"/>
      <c r="AM80" s="423"/>
      <c r="AN80" s="423"/>
      <c r="AO80" s="423"/>
      <c r="AP80" s="423"/>
      <c r="AQ80" s="423"/>
      <c r="AR80" s="423"/>
      <c r="AS80" s="423"/>
      <c r="AT80" s="423"/>
    </row>
    <row r="81" spans="1:46" x14ac:dyDescent="0.4">
      <c r="A81" s="423"/>
      <c r="B81" s="65"/>
      <c r="C81" s="423"/>
      <c r="D81" s="423"/>
      <c r="E81" s="423"/>
      <c r="F81" s="423"/>
      <c r="G81" s="423"/>
      <c r="H81" s="423"/>
      <c r="I81" s="423"/>
      <c r="J81" s="423"/>
      <c r="K81" s="423"/>
      <c r="L81" s="423"/>
      <c r="M81" s="423"/>
      <c r="N81" s="423"/>
      <c r="O81" s="423"/>
      <c r="P81" s="423"/>
      <c r="Q81" s="423"/>
      <c r="R81" s="423"/>
      <c r="S81" s="423"/>
      <c r="T81" s="423"/>
      <c r="U81" s="423"/>
      <c r="V81" s="423"/>
      <c r="W81" s="423"/>
      <c r="X81" s="423"/>
      <c r="Y81" s="423"/>
      <c r="Z81" s="423"/>
      <c r="AA81" s="423"/>
      <c r="AB81" s="423"/>
      <c r="AC81" s="423"/>
      <c r="AD81" s="423"/>
      <c r="AE81" s="423"/>
      <c r="AF81" s="423"/>
      <c r="AG81" s="423"/>
      <c r="AH81" s="423"/>
      <c r="AI81" s="423"/>
      <c r="AJ81" s="423"/>
      <c r="AK81" s="423"/>
      <c r="AL81" s="423"/>
      <c r="AM81" s="423"/>
      <c r="AN81" s="423"/>
      <c r="AO81" s="423"/>
      <c r="AP81" s="423"/>
      <c r="AQ81" s="423"/>
      <c r="AR81" s="423"/>
      <c r="AS81" s="423"/>
      <c r="AT81" s="423"/>
    </row>
    <row r="82" spans="1:46" x14ac:dyDescent="0.4">
      <c r="A82" s="423"/>
      <c r="B82" s="65"/>
      <c r="C82" s="423"/>
      <c r="D82" s="423"/>
      <c r="E82" s="423"/>
      <c r="F82" s="423"/>
      <c r="G82" s="423"/>
      <c r="H82" s="423"/>
      <c r="I82" s="423"/>
      <c r="J82" s="423"/>
      <c r="K82" s="423"/>
      <c r="L82" s="423"/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23"/>
      <c r="X82" s="423"/>
      <c r="Y82" s="423"/>
      <c r="Z82" s="423"/>
      <c r="AA82" s="423"/>
      <c r="AB82" s="423"/>
      <c r="AC82" s="423"/>
      <c r="AD82" s="423"/>
      <c r="AE82" s="423"/>
      <c r="AF82" s="423"/>
      <c r="AG82" s="423"/>
      <c r="AH82" s="423"/>
      <c r="AI82" s="423"/>
      <c r="AJ82" s="423"/>
      <c r="AK82" s="423"/>
      <c r="AL82" s="423"/>
      <c r="AM82" s="423"/>
      <c r="AN82" s="423"/>
      <c r="AO82" s="423"/>
      <c r="AP82" s="423"/>
      <c r="AQ82" s="423"/>
      <c r="AR82" s="423"/>
      <c r="AS82" s="423"/>
      <c r="AT82" s="423"/>
    </row>
    <row r="83" spans="1:46" x14ac:dyDescent="0.4">
      <c r="A83" s="423"/>
      <c r="B83" s="65"/>
      <c r="C83" s="423"/>
      <c r="D83" s="423"/>
      <c r="E83" s="423"/>
      <c r="F83" s="423"/>
      <c r="G83" s="423"/>
      <c r="H83" s="423"/>
      <c r="I83" s="423"/>
      <c r="J83" s="423"/>
      <c r="K83" s="423"/>
      <c r="L83" s="423"/>
      <c r="M83" s="423"/>
      <c r="N83" s="423"/>
      <c r="O83" s="423"/>
      <c r="P83" s="423"/>
      <c r="Q83" s="423"/>
      <c r="R83" s="423"/>
      <c r="S83" s="423"/>
      <c r="T83" s="423"/>
      <c r="U83" s="423"/>
      <c r="V83" s="423"/>
      <c r="W83" s="423"/>
      <c r="X83" s="423"/>
      <c r="Y83" s="423"/>
      <c r="Z83" s="423"/>
      <c r="AA83" s="423"/>
      <c r="AB83" s="423"/>
      <c r="AC83" s="423"/>
      <c r="AD83" s="423"/>
      <c r="AE83" s="423"/>
      <c r="AF83" s="423"/>
      <c r="AG83" s="423"/>
      <c r="AH83" s="423"/>
      <c r="AI83" s="423"/>
      <c r="AJ83" s="423"/>
      <c r="AK83" s="423"/>
      <c r="AL83" s="423"/>
      <c r="AM83" s="423"/>
      <c r="AN83" s="423"/>
      <c r="AO83" s="423"/>
      <c r="AP83" s="423"/>
      <c r="AQ83" s="423"/>
      <c r="AR83" s="423"/>
      <c r="AS83" s="423"/>
      <c r="AT83" s="423"/>
    </row>
    <row r="84" spans="1:46" x14ac:dyDescent="0.4">
      <c r="A84" s="423"/>
      <c r="B84" s="65"/>
      <c r="C84" s="423"/>
      <c r="D84" s="423"/>
      <c r="E84" s="423"/>
      <c r="F84" s="423"/>
      <c r="G84" s="423"/>
      <c r="H84" s="423"/>
      <c r="I84" s="423"/>
      <c r="J84" s="423"/>
      <c r="K84" s="423"/>
      <c r="L84" s="423"/>
      <c r="M84" s="423"/>
      <c r="N84" s="423"/>
      <c r="O84" s="423"/>
      <c r="P84" s="423"/>
      <c r="Q84" s="423"/>
      <c r="R84" s="423"/>
      <c r="S84" s="423"/>
      <c r="T84" s="423"/>
      <c r="U84" s="423"/>
      <c r="V84" s="423"/>
      <c r="W84" s="423"/>
      <c r="X84" s="423"/>
      <c r="Y84" s="423"/>
      <c r="Z84" s="423"/>
      <c r="AA84" s="423"/>
      <c r="AB84" s="423"/>
      <c r="AC84" s="423"/>
      <c r="AD84" s="423"/>
      <c r="AE84" s="423"/>
      <c r="AF84" s="423"/>
      <c r="AG84" s="423"/>
      <c r="AH84" s="423"/>
      <c r="AI84" s="423"/>
      <c r="AJ84" s="423"/>
      <c r="AK84" s="423"/>
      <c r="AL84" s="423"/>
      <c r="AM84" s="423"/>
      <c r="AN84" s="423"/>
      <c r="AO84" s="423"/>
      <c r="AP84" s="423"/>
      <c r="AQ84" s="423"/>
      <c r="AR84" s="423"/>
      <c r="AS84" s="423"/>
      <c r="AT84" s="423"/>
    </row>
    <row r="85" spans="1:46" x14ac:dyDescent="0.4">
      <c r="A85" s="423"/>
      <c r="B85" s="65"/>
      <c r="C85" s="423"/>
      <c r="D85" s="423"/>
      <c r="E85" s="423"/>
      <c r="F85" s="423"/>
      <c r="G85" s="423"/>
      <c r="H85" s="423"/>
      <c r="I85" s="423"/>
      <c r="J85" s="423"/>
      <c r="K85" s="423"/>
      <c r="L85" s="423"/>
      <c r="M85" s="423"/>
      <c r="N85" s="423"/>
      <c r="O85" s="423"/>
      <c r="P85" s="423"/>
      <c r="Q85" s="423"/>
      <c r="R85" s="423"/>
      <c r="S85" s="423"/>
      <c r="T85" s="423"/>
      <c r="U85" s="423"/>
      <c r="V85" s="423"/>
      <c r="W85" s="423"/>
      <c r="X85" s="423"/>
      <c r="Y85" s="423"/>
      <c r="Z85" s="423"/>
      <c r="AA85" s="423"/>
      <c r="AB85" s="423"/>
      <c r="AC85" s="423"/>
      <c r="AD85" s="423"/>
      <c r="AE85" s="423"/>
      <c r="AF85" s="423"/>
      <c r="AG85" s="423"/>
      <c r="AH85" s="423"/>
      <c r="AI85" s="423"/>
      <c r="AJ85" s="423"/>
      <c r="AK85" s="423"/>
      <c r="AL85" s="423"/>
      <c r="AM85" s="423"/>
      <c r="AN85" s="423"/>
      <c r="AO85" s="423"/>
      <c r="AP85" s="423"/>
      <c r="AQ85" s="423"/>
      <c r="AR85" s="423"/>
      <c r="AS85" s="423"/>
      <c r="AT85" s="423"/>
    </row>
    <row r="86" spans="1:46" x14ac:dyDescent="0.4">
      <c r="A86" s="423"/>
      <c r="B86" s="65"/>
      <c r="C86" s="423"/>
      <c r="D86" s="423"/>
      <c r="E86" s="423"/>
      <c r="F86" s="423"/>
      <c r="G86" s="423"/>
      <c r="H86" s="423"/>
      <c r="I86" s="423"/>
      <c r="J86" s="423"/>
      <c r="K86" s="423"/>
      <c r="L86" s="423"/>
      <c r="M86" s="423"/>
      <c r="N86" s="423"/>
      <c r="O86" s="423"/>
      <c r="P86" s="423"/>
      <c r="Q86" s="423"/>
      <c r="R86" s="423"/>
      <c r="S86" s="423"/>
      <c r="T86" s="423"/>
      <c r="U86" s="423"/>
      <c r="V86" s="423"/>
      <c r="W86" s="423"/>
      <c r="X86" s="423"/>
      <c r="Y86" s="423"/>
      <c r="Z86" s="423"/>
      <c r="AA86" s="423"/>
      <c r="AB86" s="423"/>
      <c r="AC86" s="423"/>
      <c r="AD86" s="423"/>
      <c r="AE86" s="423"/>
      <c r="AF86" s="423"/>
      <c r="AG86" s="423"/>
      <c r="AH86" s="423"/>
      <c r="AI86" s="423"/>
      <c r="AJ86" s="423"/>
      <c r="AK86" s="423"/>
      <c r="AL86" s="423"/>
      <c r="AM86" s="423"/>
      <c r="AN86" s="423"/>
      <c r="AO86" s="423"/>
      <c r="AP86" s="423"/>
      <c r="AQ86" s="423"/>
      <c r="AR86" s="423"/>
      <c r="AS86" s="423"/>
      <c r="AT86" s="423"/>
    </row>
    <row r="87" spans="1:46" x14ac:dyDescent="0.4">
      <c r="A87" s="423"/>
      <c r="B87" s="65"/>
      <c r="C87" s="423"/>
      <c r="D87" s="423"/>
      <c r="E87" s="423"/>
      <c r="F87" s="423"/>
      <c r="G87" s="423"/>
      <c r="H87" s="423"/>
      <c r="I87" s="423"/>
      <c r="J87" s="423"/>
      <c r="K87" s="423"/>
      <c r="L87" s="423"/>
      <c r="M87" s="423"/>
      <c r="N87" s="423"/>
      <c r="O87" s="423"/>
      <c r="P87" s="423"/>
      <c r="Q87" s="423"/>
      <c r="R87" s="423"/>
      <c r="S87" s="423"/>
      <c r="T87" s="423"/>
      <c r="U87" s="423"/>
      <c r="V87" s="423"/>
      <c r="W87" s="423"/>
      <c r="X87" s="423"/>
      <c r="Y87" s="423"/>
      <c r="Z87" s="423"/>
      <c r="AA87" s="423"/>
      <c r="AB87" s="423"/>
      <c r="AC87" s="423"/>
      <c r="AD87" s="423"/>
      <c r="AE87" s="423"/>
      <c r="AF87" s="423"/>
      <c r="AG87" s="423"/>
      <c r="AH87" s="423"/>
      <c r="AI87" s="423"/>
      <c r="AJ87" s="423"/>
      <c r="AK87" s="423"/>
      <c r="AL87" s="423"/>
      <c r="AM87" s="423"/>
      <c r="AN87" s="423"/>
      <c r="AO87" s="423"/>
      <c r="AP87" s="423"/>
      <c r="AQ87" s="423"/>
      <c r="AR87" s="423"/>
      <c r="AS87" s="423"/>
      <c r="AT87" s="423"/>
    </row>
  </sheetData>
  <mergeCells count="46">
    <mergeCell ref="AQ1:AT1"/>
    <mergeCell ref="A3:A4"/>
    <mergeCell ref="A5:A6"/>
    <mergeCell ref="C1:F1"/>
    <mergeCell ref="G1:J1"/>
    <mergeCell ref="L1:O1"/>
    <mergeCell ref="P1:S1"/>
    <mergeCell ref="U1:X1"/>
    <mergeCell ref="Y1:AB1"/>
    <mergeCell ref="AH14:AJ14"/>
    <mergeCell ref="A15:A16"/>
    <mergeCell ref="AD1:AG1"/>
    <mergeCell ref="AH1:AK1"/>
    <mergeCell ref="AM1:AP1"/>
    <mergeCell ref="A7:A8"/>
    <mergeCell ref="A9:A10"/>
    <mergeCell ref="A11:A12"/>
    <mergeCell ref="A13:A14"/>
    <mergeCell ref="A17:A18"/>
    <mergeCell ref="AQ18:AS18"/>
    <mergeCell ref="A19:A20"/>
    <mergeCell ref="A21:A22"/>
    <mergeCell ref="A23:A24"/>
    <mergeCell ref="A25:A26"/>
    <mergeCell ref="A50:A51"/>
    <mergeCell ref="A52:A53"/>
    <mergeCell ref="A54:A55"/>
    <mergeCell ref="A56:A57"/>
    <mergeCell ref="A48:A49"/>
    <mergeCell ref="A27:A28"/>
    <mergeCell ref="A29:A30"/>
    <mergeCell ref="A31:A32"/>
    <mergeCell ref="A33:A34"/>
    <mergeCell ref="A35:A36"/>
    <mergeCell ref="A38:A39"/>
    <mergeCell ref="A40:A41"/>
    <mergeCell ref="A42:A43"/>
    <mergeCell ref="A44:A45"/>
    <mergeCell ref="A46:A47"/>
    <mergeCell ref="A58:A59"/>
    <mergeCell ref="A60:A61"/>
    <mergeCell ref="AH61:AJ61"/>
    <mergeCell ref="C71:D71"/>
    <mergeCell ref="E71:F71"/>
    <mergeCell ref="G71:H71"/>
    <mergeCell ref="I71:J71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T80"/>
  <sheetViews>
    <sheetView zoomScale="55" zoomScaleNormal="55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C61" sqref="C61:AT62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2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9.382812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6" style="423" bestFit="1" customWidth="1"/>
    <col min="17" max="17" width="42.15234375" style="423" bestFit="1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6.15234375" style="423" bestFit="1" customWidth="1"/>
    <col min="28" max="28" width="27" style="423" customWidth="1"/>
    <col min="29" max="33" width="10.69140625" style="423" customWidth="1"/>
    <col min="34" max="34" width="31.3046875" style="423" customWidth="1"/>
    <col min="35" max="35" width="23.304687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53515625" style="423" customWidth="1"/>
    <col min="45" max="45" width="31.152343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8" t="s">
        <v>199</v>
      </c>
      <c r="AI2" s="656" t="s">
        <v>200</v>
      </c>
      <c r="AJ2" s="656" t="s">
        <v>201</v>
      </c>
      <c r="AK2" s="656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8" t="s">
        <v>199</v>
      </c>
      <c r="AR2" s="656" t="s">
        <v>200</v>
      </c>
      <c r="AS2" s="656" t="s">
        <v>201</v>
      </c>
      <c r="AT2" s="656" t="s">
        <v>204</v>
      </c>
    </row>
    <row r="3" spans="1:46" ht="46.5" customHeight="1" x14ac:dyDescent="0.45">
      <c r="A3" s="1351">
        <v>45901</v>
      </c>
      <c r="B3" s="676">
        <v>1</v>
      </c>
      <c r="C3" s="1135"/>
      <c r="D3" s="1136"/>
      <c r="E3" s="1137"/>
      <c r="F3" s="1138"/>
      <c r="G3" s="1139"/>
      <c r="H3" s="1140"/>
      <c r="I3" s="1141"/>
      <c r="J3" s="1142"/>
      <c r="K3" s="286"/>
      <c r="L3" s="1143"/>
      <c r="M3" s="1144"/>
      <c r="N3" s="1144"/>
      <c r="O3" s="1145"/>
      <c r="P3" s="1146"/>
      <c r="Q3" s="1147"/>
      <c r="R3" s="1147"/>
      <c r="S3" s="1145"/>
      <c r="T3" s="286"/>
      <c r="U3" s="1143"/>
      <c r="V3" s="1144"/>
      <c r="W3" s="1137"/>
      <c r="X3" s="1148"/>
      <c r="Y3" s="1149"/>
      <c r="Z3" s="1146"/>
      <c r="AA3" s="1150"/>
      <c r="AB3" s="1151"/>
      <c r="AC3" s="286"/>
      <c r="AD3" s="1143"/>
      <c r="AE3" s="1144"/>
      <c r="AF3" s="1137"/>
      <c r="AG3" s="1286"/>
      <c r="AH3" s="1289"/>
      <c r="AI3" s="1289"/>
      <c r="AJ3" s="1290"/>
      <c r="AK3" s="1289"/>
      <c r="AL3" s="1153"/>
      <c r="AM3" s="1143"/>
      <c r="AN3" s="1144"/>
      <c r="AO3" s="1137"/>
      <c r="AP3" s="1286"/>
      <c r="AQ3" s="1289"/>
      <c r="AR3" s="1290"/>
      <c r="AS3" s="1290"/>
      <c r="AT3" s="1289"/>
    </row>
    <row r="4" spans="1:46" ht="42.75" customHeight="1" x14ac:dyDescent="0.45">
      <c r="A4" s="1352"/>
      <c r="B4" s="692">
        <v>2</v>
      </c>
      <c r="C4" s="1155"/>
      <c r="D4" s="1156"/>
      <c r="E4" s="1156"/>
      <c r="F4" s="1157"/>
      <c r="G4" s="1158"/>
      <c r="H4" s="1140"/>
      <c r="I4" s="1141"/>
      <c r="J4" s="1159"/>
      <c r="K4" s="286"/>
      <c r="L4" s="1160">
        <v>22</v>
      </c>
      <c r="M4" s="1137"/>
      <c r="N4" s="1137"/>
      <c r="O4" s="1148"/>
      <c r="P4" s="1128" t="s">
        <v>1025</v>
      </c>
      <c r="Q4" s="1140"/>
      <c r="R4" s="1161"/>
      <c r="S4" s="1148"/>
      <c r="T4" s="286"/>
      <c r="U4" s="1160"/>
      <c r="V4" s="1152"/>
      <c r="W4" s="1137"/>
      <c r="X4" s="1148"/>
      <c r="Y4" s="1158"/>
      <c r="Z4" s="1150"/>
      <c r="AA4" s="1150"/>
      <c r="AB4" s="1162"/>
      <c r="AC4" s="286"/>
      <c r="AD4" s="1160">
        <v>24</v>
      </c>
      <c r="AE4" s="1137"/>
      <c r="AF4" s="1137"/>
      <c r="AG4" s="1203"/>
      <c r="AH4" s="1289" t="s">
        <v>1025</v>
      </c>
      <c r="AI4" s="1283"/>
      <c r="AJ4" s="1290"/>
      <c r="AK4" s="1289"/>
      <c r="AL4" s="1153"/>
      <c r="AM4" s="1160"/>
      <c r="AN4" s="1137"/>
      <c r="AO4" s="1137">
        <v>10</v>
      </c>
      <c r="AP4" s="1203"/>
      <c r="AQ4" s="1289"/>
      <c r="AR4" s="1283"/>
      <c r="AS4" s="1289" t="s">
        <v>388</v>
      </c>
      <c r="AT4" s="1289"/>
    </row>
    <row r="5" spans="1:46" ht="43.5" customHeight="1" x14ac:dyDescent="0.45">
      <c r="A5" s="1351">
        <v>45902</v>
      </c>
      <c r="B5" s="692">
        <v>1</v>
      </c>
      <c r="C5" s="1155"/>
      <c r="D5" s="1156"/>
      <c r="E5" s="1156">
        <v>12</v>
      </c>
      <c r="F5" s="1157"/>
      <c r="G5" s="1163"/>
      <c r="H5" s="1164"/>
      <c r="I5" s="1141" t="s">
        <v>152</v>
      </c>
      <c r="J5" s="1159"/>
      <c r="K5" s="286"/>
      <c r="L5" s="1160"/>
      <c r="M5" s="1137"/>
      <c r="N5" s="1137"/>
      <c r="O5" s="1148"/>
      <c r="P5" s="1128"/>
      <c r="Q5" s="1137"/>
      <c r="R5" s="1137"/>
      <c r="S5" s="1148"/>
      <c r="T5" s="286"/>
      <c r="U5" s="1160"/>
      <c r="V5" s="1137"/>
      <c r="W5" s="1137"/>
      <c r="X5" s="1148"/>
      <c r="Y5" s="1149"/>
      <c r="Z5" s="1140"/>
      <c r="AA5" s="1165"/>
      <c r="AB5" s="1166"/>
      <c r="AC5" s="286"/>
      <c r="AD5" s="1160"/>
      <c r="AE5" s="1137"/>
      <c r="AF5" s="1137"/>
      <c r="AG5" s="1203"/>
      <c r="AH5" s="1289"/>
      <c r="AI5" s="1289"/>
      <c r="AJ5" s="1290"/>
      <c r="AK5" s="1289"/>
      <c r="AL5" s="1153"/>
      <c r="AM5" s="1160"/>
      <c r="AN5" s="1137"/>
      <c r="AO5" s="1137"/>
      <c r="AP5" s="1203"/>
      <c r="AQ5" s="1289"/>
      <c r="AR5" s="1289"/>
      <c r="AS5" s="1290"/>
      <c r="AT5" s="1289"/>
    </row>
    <row r="6" spans="1:46" ht="43.5" customHeight="1" x14ac:dyDescent="0.45">
      <c r="A6" s="1352"/>
      <c r="B6" s="692">
        <v>2</v>
      </c>
      <c r="C6" s="1155"/>
      <c r="D6" s="1156"/>
      <c r="E6" s="1156">
        <v>10</v>
      </c>
      <c r="F6" s="1157"/>
      <c r="G6" s="1139"/>
      <c r="H6" s="1150"/>
      <c r="I6" s="1141" t="s">
        <v>152</v>
      </c>
      <c r="J6" s="1170"/>
      <c r="K6" s="286"/>
      <c r="L6" s="1160">
        <v>416</v>
      </c>
      <c r="M6" s="1137"/>
      <c r="N6" s="1137"/>
      <c r="O6" s="1148"/>
      <c r="P6" s="1128" t="s">
        <v>1131</v>
      </c>
      <c r="Q6" s="1140"/>
      <c r="R6" s="1137"/>
      <c r="S6" s="1170"/>
      <c r="T6" s="286"/>
      <c r="U6" s="1160"/>
      <c r="V6" s="1137"/>
      <c r="W6" s="1137"/>
      <c r="X6" s="1148"/>
      <c r="Y6" s="1149"/>
      <c r="Z6" s="1140"/>
      <c r="AA6" s="1165"/>
      <c r="AB6" s="1170"/>
      <c r="AC6" s="286"/>
      <c r="AD6" s="1160"/>
      <c r="AE6" s="1137"/>
      <c r="AF6" s="1137"/>
      <c r="AG6" s="1203"/>
      <c r="AH6" s="1289"/>
      <c r="AI6" s="1289"/>
      <c r="AJ6" s="1283"/>
      <c r="AK6" s="1283"/>
      <c r="AL6" s="1153"/>
      <c r="AM6" s="1160"/>
      <c r="AN6" s="1137"/>
      <c r="AO6" s="1137"/>
      <c r="AP6" s="1203"/>
      <c r="AQ6" s="1290"/>
      <c r="AR6" s="1289"/>
      <c r="AS6" s="1290"/>
      <c r="AT6" s="1289"/>
    </row>
    <row r="7" spans="1:46" ht="44.25" customHeight="1" x14ac:dyDescent="0.45">
      <c r="A7" s="1351">
        <v>45903</v>
      </c>
      <c r="B7" s="692">
        <v>1</v>
      </c>
      <c r="C7" s="1155"/>
      <c r="D7" s="1156"/>
      <c r="E7" s="1156">
        <v>15</v>
      </c>
      <c r="F7" s="1157"/>
      <c r="G7" s="1139"/>
      <c r="H7" s="1150"/>
      <c r="I7" s="1141" t="s">
        <v>152</v>
      </c>
      <c r="J7" s="1170"/>
      <c r="K7" s="286"/>
      <c r="L7" s="1160"/>
      <c r="M7" s="1128"/>
      <c r="N7" s="1137"/>
      <c r="O7" s="1148"/>
      <c r="P7" s="1128"/>
      <c r="Q7" s="972"/>
      <c r="R7" s="1137"/>
      <c r="S7" s="1169"/>
      <c r="T7" s="286"/>
      <c r="U7" s="1160"/>
      <c r="V7" s="1137"/>
      <c r="W7" s="1137">
        <v>31</v>
      </c>
      <c r="X7" s="1148"/>
      <c r="Y7" s="1149"/>
      <c r="Z7" s="1140"/>
      <c r="AA7" s="1165" t="s">
        <v>1127</v>
      </c>
      <c r="AB7" s="1169"/>
      <c r="AC7" s="286"/>
      <c r="AD7" s="1160"/>
      <c r="AE7" s="1137"/>
      <c r="AF7" s="1137"/>
      <c r="AG7" s="1203"/>
      <c r="AH7" s="1289"/>
      <c r="AI7" s="1291"/>
      <c r="AJ7" s="1283"/>
      <c r="AK7" s="1289"/>
      <c r="AL7" s="1153"/>
      <c r="AM7" s="1160"/>
      <c r="AN7" s="1137"/>
      <c r="AO7" s="1137"/>
      <c r="AP7" s="1203"/>
      <c r="AQ7" s="1289"/>
      <c r="AR7" s="1289"/>
      <c r="AS7" s="1291"/>
      <c r="AT7" s="1283"/>
    </row>
    <row r="8" spans="1:46" ht="48.75" customHeight="1" x14ac:dyDescent="0.45">
      <c r="A8" s="1352"/>
      <c r="B8" s="692">
        <v>2</v>
      </c>
      <c r="C8" s="1254"/>
      <c r="D8" s="1177"/>
      <c r="E8" s="1177"/>
      <c r="F8" s="1199"/>
      <c r="G8" s="1195"/>
      <c r="H8" s="1196"/>
      <c r="I8" s="1197"/>
      <c r="J8" s="1194"/>
      <c r="K8" s="286"/>
      <c r="L8" s="1137"/>
      <c r="M8" s="1137"/>
      <c r="N8" s="1137"/>
      <c r="O8" s="1148"/>
      <c r="P8" s="1128"/>
      <c r="Q8" s="1137"/>
      <c r="R8" s="1152"/>
      <c r="S8" s="1152"/>
      <c r="T8" s="286"/>
      <c r="U8" s="1178"/>
      <c r="V8" s="1175"/>
      <c r="W8" s="1128"/>
      <c r="X8" s="1148"/>
      <c r="Y8" s="1149"/>
      <c r="Z8" s="1172"/>
      <c r="AA8" s="1152"/>
      <c r="AB8" s="1170"/>
      <c r="AC8" s="286"/>
      <c r="AD8" s="1160"/>
      <c r="AE8" s="1137"/>
      <c r="AF8" s="1137"/>
      <c r="AG8" s="1203"/>
      <c r="AH8" s="1289"/>
      <c r="AI8" s="1290"/>
      <c r="AJ8" s="1283"/>
      <c r="AK8" s="1283"/>
      <c r="AL8" s="1153"/>
      <c r="AM8" s="1160"/>
      <c r="AN8" s="1137"/>
      <c r="AO8" s="1137"/>
      <c r="AP8" s="1203"/>
      <c r="AQ8" s="1289"/>
      <c r="AR8" s="1290"/>
      <c r="AS8" s="1289"/>
      <c r="AT8" s="1283"/>
    </row>
    <row r="9" spans="1:46" ht="45" customHeight="1" x14ac:dyDescent="0.35">
      <c r="A9" s="1351">
        <v>45904</v>
      </c>
      <c r="B9" s="692">
        <v>1</v>
      </c>
      <c r="C9" s="1271"/>
      <c r="D9" s="1272"/>
      <c r="E9" s="1272"/>
      <c r="F9" s="1156">
        <v>27</v>
      </c>
      <c r="G9" s="1274"/>
      <c r="H9" s="1272"/>
      <c r="I9" s="1272"/>
      <c r="J9" s="971" t="s">
        <v>1071</v>
      </c>
      <c r="K9" s="1257"/>
      <c r="L9" s="1321"/>
      <c r="M9" s="1321"/>
      <c r="N9" s="1321"/>
      <c r="O9" s="1156">
        <v>28</v>
      </c>
      <c r="P9" s="1322"/>
      <c r="Q9" s="1321"/>
      <c r="R9" s="1321"/>
      <c r="S9" s="971" t="s">
        <v>1071</v>
      </c>
      <c r="T9" s="286"/>
      <c r="U9" s="1178"/>
      <c r="V9" s="1128"/>
      <c r="W9" s="1137"/>
      <c r="X9" s="1148">
        <v>30</v>
      </c>
      <c r="Y9" s="1149"/>
      <c r="Z9" s="1137"/>
      <c r="AA9" s="1149"/>
      <c r="AB9" s="971" t="s">
        <v>1071</v>
      </c>
      <c r="AC9" s="286"/>
      <c r="AD9" s="1299"/>
      <c r="AE9" s="1182"/>
      <c r="AF9" s="1183"/>
      <c r="AG9" s="1287">
        <v>33</v>
      </c>
      <c r="AH9" s="1283"/>
      <c r="AI9" s="1282"/>
      <c r="AJ9" s="1278"/>
      <c r="AK9" s="971" t="s">
        <v>1071</v>
      </c>
      <c r="AL9" s="286"/>
      <c r="AM9" s="1160"/>
      <c r="AN9" s="1137"/>
      <c r="AO9" s="1137"/>
      <c r="AP9" s="1203">
        <v>37</v>
      </c>
      <c r="AQ9" s="1289"/>
      <c r="AR9" s="1289"/>
      <c r="AS9" s="1290"/>
      <c r="AT9" s="971" t="s">
        <v>1071</v>
      </c>
    </row>
    <row r="10" spans="1:46" ht="48.75" customHeight="1" x14ac:dyDescent="0.45">
      <c r="A10" s="1352"/>
      <c r="B10" s="692">
        <v>2</v>
      </c>
      <c r="C10" s="1269"/>
      <c r="D10" s="1270"/>
      <c r="E10" s="1216"/>
      <c r="F10" s="1217"/>
      <c r="G10" s="1276"/>
      <c r="H10" s="1277"/>
      <c r="I10" s="1278"/>
      <c r="J10" s="1279"/>
      <c r="K10" s="286"/>
      <c r="L10" s="1137"/>
      <c r="M10" s="1137"/>
      <c r="N10" s="1137"/>
      <c r="O10" s="1148"/>
      <c r="P10" s="1128"/>
      <c r="Q10" s="1137"/>
      <c r="R10" s="1152"/>
      <c r="S10" s="1150"/>
      <c r="T10" s="286"/>
      <c r="U10" s="1160"/>
      <c r="V10" s="1137"/>
      <c r="W10" s="1137"/>
      <c r="X10" s="1148"/>
      <c r="Y10" s="1149"/>
      <c r="Z10" s="1149"/>
      <c r="AA10" s="1149"/>
      <c r="AB10" s="1170"/>
      <c r="AC10" s="286"/>
      <c r="AD10" s="1160"/>
      <c r="AE10" s="1137"/>
      <c r="AF10" s="1137"/>
      <c r="AG10" s="1203"/>
      <c r="AH10" s="1290"/>
      <c r="AI10" s="1290"/>
      <c r="AJ10" s="1283"/>
      <c r="AK10" s="1283"/>
      <c r="AL10" s="1153"/>
      <c r="AM10" s="1160"/>
      <c r="AN10" s="1137"/>
      <c r="AO10" s="1137"/>
      <c r="AP10" s="1203"/>
      <c r="AQ10" s="1289"/>
      <c r="AR10" s="1289"/>
      <c r="AS10" s="1289"/>
      <c r="AT10" s="1283"/>
    </row>
    <row r="11" spans="1:46" ht="43.5" customHeight="1" x14ac:dyDescent="0.45">
      <c r="A11" s="1351">
        <v>45905</v>
      </c>
      <c r="B11" s="692">
        <v>1</v>
      </c>
      <c r="C11" s="1258"/>
      <c r="D11" s="1259"/>
      <c r="E11" s="1260"/>
      <c r="F11" s="1261"/>
      <c r="G11" s="1280"/>
      <c r="H11" s="1277"/>
      <c r="I11" s="1277"/>
      <c r="J11" s="1281"/>
      <c r="K11" s="1262"/>
      <c r="L11" s="1264"/>
      <c r="M11" s="1264"/>
      <c r="N11" s="1264"/>
      <c r="O11" s="1265"/>
      <c r="P11" s="1266"/>
      <c r="Q11" s="1264"/>
      <c r="R11" s="1267"/>
      <c r="S11" s="1264"/>
      <c r="T11" s="1262"/>
      <c r="U11" s="1263"/>
      <c r="V11" s="1264"/>
      <c r="W11" s="1264"/>
      <c r="X11" s="1264"/>
      <c r="Y11" s="1265"/>
      <c r="Z11" s="1264"/>
      <c r="AA11" s="1268"/>
      <c r="AB11" s="1265"/>
      <c r="AC11" s="1262"/>
      <c r="AD11" s="1263"/>
      <c r="AE11" s="1264"/>
      <c r="AF11" s="1264"/>
      <c r="AG11" s="1288"/>
      <c r="AH11" s="1292"/>
      <c r="AI11" s="1292"/>
      <c r="AJ11" s="1277"/>
      <c r="AK11" s="1292"/>
      <c r="AL11" s="1153"/>
      <c r="AM11" s="1263"/>
      <c r="AN11" s="1264"/>
      <c r="AO11" s="1264"/>
      <c r="AP11" s="1288"/>
      <c r="AQ11" s="1292"/>
      <c r="AR11" s="1292"/>
      <c r="AS11" s="1292"/>
      <c r="AT11" s="1296"/>
    </row>
    <row r="12" spans="1:46" ht="46.5" customHeight="1" x14ac:dyDescent="0.45">
      <c r="A12" s="1352"/>
      <c r="B12" s="692">
        <v>2</v>
      </c>
      <c r="C12" s="1155"/>
      <c r="D12" s="1191"/>
      <c r="E12" s="1156"/>
      <c r="F12" s="1157"/>
      <c r="G12" s="1276"/>
      <c r="H12" s="1282"/>
      <c r="I12" s="1278"/>
      <c r="J12" s="1279"/>
      <c r="K12" s="286"/>
      <c r="L12" s="1222"/>
      <c r="M12" s="1161"/>
      <c r="N12" s="1161"/>
      <c r="O12" s="1217"/>
      <c r="P12" s="1323"/>
      <c r="Q12" s="1161"/>
      <c r="R12" s="1165"/>
      <c r="S12" s="1221"/>
      <c r="T12" s="286"/>
      <c r="U12" s="1160"/>
      <c r="V12" s="1137"/>
      <c r="W12" s="1257"/>
      <c r="X12" s="1257"/>
      <c r="Y12" s="1149"/>
      <c r="Z12" s="1150"/>
      <c r="AA12" s="1165"/>
      <c r="AB12" s="1170"/>
      <c r="AC12" s="286"/>
      <c r="AD12" s="1160"/>
      <c r="AE12" s="1137"/>
      <c r="AF12" s="1137"/>
      <c r="AG12" s="1203"/>
      <c r="AH12" s="1289"/>
      <c r="AI12" s="1290"/>
      <c r="AJ12" s="1283"/>
      <c r="AK12" s="1283"/>
      <c r="AL12" s="1153"/>
      <c r="AM12" s="1160"/>
      <c r="AN12" s="1137"/>
      <c r="AO12" s="1137"/>
      <c r="AP12" s="1203"/>
      <c r="AQ12" s="1289"/>
      <c r="AR12" s="1289"/>
      <c r="AS12" s="1290"/>
      <c r="AT12" s="1283"/>
    </row>
    <row r="13" spans="1:46" ht="51" customHeight="1" x14ac:dyDescent="0.45">
      <c r="A13" s="1351">
        <v>45906</v>
      </c>
      <c r="B13" s="692">
        <v>1</v>
      </c>
      <c r="C13" s="1155"/>
      <c r="D13" s="1156"/>
      <c r="E13" s="1156">
        <v>45</v>
      </c>
      <c r="F13" s="1157"/>
      <c r="G13" s="1276"/>
      <c r="H13" s="1282"/>
      <c r="I13" s="1278" t="s">
        <v>152</v>
      </c>
      <c r="J13" s="1279"/>
      <c r="K13" s="286"/>
      <c r="L13" s="1160"/>
      <c r="M13" s="1137"/>
      <c r="N13" s="1137"/>
      <c r="O13" s="1157"/>
      <c r="P13" s="1128"/>
      <c r="Q13" s="1137"/>
      <c r="R13" s="1137"/>
      <c r="S13" s="1170"/>
      <c r="T13" s="286"/>
      <c r="U13" s="1160"/>
      <c r="V13" s="1137"/>
      <c r="W13" s="1137">
        <v>52</v>
      </c>
      <c r="X13" s="1157"/>
      <c r="Y13" s="1149"/>
      <c r="Z13" s="1152"/>
      <c r="AA13" s="1165" t="s">
        <v>1132</v>
      </c>
      <c r="AB13" s="1170"/>
      <c r="AC13" s="286"/>
      <c r="AD13" s="1160"/>
      <c r="AE13" s="1137"/>
      <c r="AF13" s="1137"/>
      <c r="AG13" s="1287"/>
      <c r="AH13" s="1289"/>
      <c r="AI13" s="1289"/>
      <c r="AJ13" s="1290"/>
      <c r="AK13" s="1283"/>
      <c r="AL13" s="1153"/>
      <c r="AM13" s="1160"/>
      <c r="AN13" s="1137"/>
      <c r="AO13" s="1137"/>
      <c r="AP13" s="1294"/>
      <c r="AQ13" s="1289"/>
      <c r="AR13" s="1289"/>
      <c r="AS13" s="1283"/>
      <c r="AT13" s="1283"/>
    </row>
    <row r="14" spans="1:46" ht="49.2" customHeight="1" x14ac:dyDescent="0.45">
      <c r="A14" s="1352"/>
      <c r="B14" s="692">
        <v>2</v>
      </c>
      <c r="C14" s="1155"/>
      <c r="D14" s="1156"/>
      <c r="E14" s="1156">
        <v>20</v>
      </c>
      <c r="F14" s="1157"/>
      <c r="G14" s="1276"/>
      <c r="H14" s="1283"/>
      <c r="I14" s="1278" t="s">
        <v>152</v>
      </c>
      <c r="J14" s="1279"/>
      <c r="K14" s="286"/>
      <c r="L14" s="1160"/>
      <c r="M14" s="1137"/>
      <c r="N14" s="1137"/>
      <c r="O14" s="1157"/>
      <c r="P14" s="1149"/>
      <c r="Q14" s="1137"/>
      <c r="R14" s="1137"/>
      <c r="S14" s="1170"/>
      <c r="T14" s="286"/>
      <c r="U14" s="1160"/>
      <c r="V14" s="1137"/>
      <c r="W14" s="1137">
        <v>10</v>
      </c>
      <c r="X14" s="1157"/>
      <c r="Y14" s="1149"/>
      <c r="Z14" s="1152"/>
      <c r="AA14" s="1165" t="s">
        <v>1132</v>
      </c>
      <c r="AB14" s="1170"/>
      <c r="AC14" s="286"/>
      <c r="AD14" s="1160"/>
      <c r="AE14" s="1137"/>
      <c r="AF14" s="1137"/>
      <c r="AG14" s="1287"/>
      <c r="AH14" s="1289"/>
      <c r="AI14" s="1289"/>
      <c r="AJ14" s="1290"/>
      <c r="AK14" s="1283"/>
      <c r="AL14" s="1153"/>
      <c r="AM14" s="1160"/>
      <c r="AN14" s="1137"/>
      <c r="AO14" s="1192"/>
      <c r="AP14" s="1294">
        <v>685</v>
      </c>
      <c r="AQ14" s="1290"/>
      <c r="AR14" s="1289"/>
      <c r="AS14" s="1290"/>
      <c r="AT14" s="1283" t="s">
        <v>1008</v>
      </c>
    </row>
    <row r="15" spans="1:46" ht="48" customHeight="1" x14ac:dyDescent="0.45">
      <c r="A15" s="1351">
        <v>45907</v>
      </c>
      <c r="B15" s="692">
        <v>1</v>
      </c>
      <c r="C15" s="1155"/>
      <c r="D15" s="1177"/>
      <c r="E15" s="1168"/>
      <c r="F15" s="1194"/>
      <c r="G15" s="1276"/>
      <c r="H15" s="1283"/>
      <c r="I15" s="1278"/>
      <c r="J15" s="1279"/>
      <c r="K15" s="286"/>
      <c r="L15" s="1198"/>
      <c r="M15" s="1168"/>
      <c r="N15" s="1168"/>
      <c r="O15" s="1199"/>
      <c r="P15" s="1200"/>
      <c r="Q15" s="1196"/>
      <c r="R15" s="1150"/>
      <c r="S15" s="1170"/>
      <c r="T15" s="286"/>
      <c r="U15" s="1160"/>
      <c r="V15" s="1137"/>
      <c r="W15" s="1137"/>
      <c r="X15" s="1157"/>
      <c r="Y15" s="1158"/>
      <c r="Z15" s="1150"/>
      <c r="AA15" s="1165"/>
      <c r="AB15" s="1170"/>
      <c r="AC15" s="286"/>
      <c r="AD15" s="1160"/>
      <c r="AE15" s="1137"/>
      <c r="AF15" s="286"/>
      <c r="AG15" s="1287"/>
      <c r="AH15" s="1282"/>
      <c r="AI15" s="1283"/>
      <c r="AJ15" s="1290"/>
      <c r="AK15" s="1283"/>
      <c r="AL15" s="1153"/>
      <c r="AM15" s="1160"/>
      <c r="AN15" s="1137"/>
      <c r="AO15" s="1201"/>
      <c r="AP15" s="1294" t="s">
        <v>953</v>
      </c>
      <c r="AQ15" s="1283"/>
      <c r="AR15" s="1283"/>
      <c r="AS15" s="1283"/>
      <c r="AT15" s="1283" t="s">
        <v>1008</v>
      </c>
    </row>
    <row r="16" spans="1:46" ht="46.5" customHeight="1" x14ac:dyDescent="0.35">
      <c r="A16" s="1352"/>
      <c r="B16" s="692">
        <v>2</v>
      </c>
      <c r="C16" s="1181"/>
      <c r="D16" s="1223"/>
      <c r="E16" s="1224"/>
      <c r="F16" s="1225"/>
      <c r="G16" s="1284"/>
      <c r="H16" s="1277"/>
      <c r="I16" s="1278"/>
      <c r="J16" s="1279"/>
      <c r="K16" s="1230"/>
      <c r="L16" s="1231"/>
      <c r="M16" s="1232"/>
      <c r="N16" s="1232"/>
      <c r="O16" s="1225"/>
      <c r="P16" s="1233"/>
      <c r="Q16" s="1234"/>
      <c r="R16" s="1235"/>
      <c r="S16" s="1170"/>
      <c r="T16" s="286"/>
      <c r="U16" s="1160"/>
      <c r="V16" s="1137"/>
      <c r="W16" s="1137"/>
      <c r="X16" s="1157"/>
      <c r="Y16" s="1236"/>
      <c r="Z16" s="1187"/>
      <c r="AA16" s="1285"/>
      <c r="AB16" s="1170"/>
      <c r="AC16" s="286"/>
      <c r="AD16" s="1160"/>
      <c r="AE16" s="1137"/>
      <c r="AF16" s="1137"/>
      <c r="AG16" s="1287"/>
      <c r="AH16" s="1282"/>
      <c r="AI16" s="1289"/>
      <c r="AJ16" s="1289"/>
      <c r="AK16" s="1290"/>
      <c r="AL16" s="1179"/>
      <c r="AM16" s="1160"/>
      <c r="AN16" s="1137"/>
      <c r="AO16" s="1137"/>
      <c r="AP16" s="1295" t="s">
        <v>953</v>
      </c>
      <c r="AQ16" s="1297"/>
      <c r="AR16" s="1277"/>
      <c r="AS16" s="1297"/>
      <c r="AT16" s="1283" t="s">
        <v>1008</v>
      </c>
    </row>
    <row r="17" spans="1:46" ht="51" customHeight="1" x14ac:dyDescent="0.45">
      <c r="A17" s="1351">
        <v>45908</v>
      </c>
      <c r="B17" s="717">
        <v>1</v>
      </c>
      <c r="C17" s="1155"/>
      <c r="D17" s="1215">
        <v>8</v>
      </c>
      <c r="E17" s="1216"/>
      <c r="F17" s="1217">
        <v>85</v>
      </c>
      <c r="G17" s="1284"/>
      <c r="H17" s="1180" t="s">
        <v>317</v>
      </c>
      <c r="I17" s="1278"/>
      <c r="J17" s="1279" t="s">
        <v>1071</v>
      </c>
      <c r="K17" s="286"/>
      <c r="L17" s="1222"/>
      <c r="M17" s="1161"/>
      <c r="N17" s="1161"/>
      <c r="O17" s="1217">
        <v>85</v>
      </c>
      <c r="P17" s="1218"/>
      <c r="Q17" s="1219"/>
      <c r="R17" s="1150"/>
      <c r="S17" s="1170" t="s">
        <v>1071</v>
      </c>
      <c r="T17" s="286"/>
      <c r="U17" s="1160"/>
      <c r="V17" s="1137">
        <v>55</v>
      </c>
      <c r="W17" s="1137"/>
      <c r="X17" s="1157">
        <v>85</v>
      </c>
      <c r="Y17" s="1158"/>
      <c r="Z17" s="1180" t="s">
        <v>317</v>
      </c>
      <c r="AA17" s="1204"/>
      <c r="AB17" s="1170" t="s">
        <v>1071</v>
      </c>
      <c r="AC17" s="286"/>
      <c r="AD17" s="1160"/>
      <c r="AE17" s="1137"/>
      <c r="AF17" s="1137"/>
      <c r="AG17" s="1287">
        <v>85</v>
      </c>
      <c r="AH17" s="1282"/>
      <c r="AI17" s="1282"/>
      <c r="AJ17" s="1283"/>
      <c r="AK17" s="1283" t="s">
        <v>1071</v>
      </c>
      <c r="AL17" s="1153"/>
      <c r="AM17" s="1160"/>
      <c r="AN17" s="1137"/>
      <c r="AO17" s="1192"/>
      <c r="AP17" s="1295" t="s">
        <v>953</v>
      </c>
      <c r="AQ17" s="1282"/>
      <c r="AR17" s="1283"/>
      <c r="AS17" s="1290"/>
      <c r="AT17" s="1283" t="s">
        <v>1008</v>
      </c>
    </row>
    <row r="18" spans="1:46" ht="49.5" customHeight="1" x14ac:dyDescent="0.45">
      <c r="A18" s="1352"/>
      <c r="B18" s="692">
        <v>2</v>
      </c>
      <c r="C18" s="1155">
        <v>160</v>
      </c>
      <c r="D18" s="1156"/>
      <c r="E18" s="1156"/>
      <c r="F18" s="1157">
        <v>20</v>
      </c>
      <c r="G18" s="1209" t="s">
        <v>1133</v>
      </c>
      <c r="H18" s="1275"/>
      <c r="I18" s="1220"/>
      <c r="J18" s="1221" t="s">
        <v>1071</v>
      </c>
      <c r="K18" s="286"/>
      <c r="L18" s="1160"/>
      <c r="M18" s="1137"/>
      <c r="N18" s="1137"/>
      <c r="O18" s="1157">
        <v>13</v>
      </c>
      <c r="P18" s="1158"/>
      <c r="Q18" s="1150"/>
      <c r="R18" s="1141"/>
      <c r="S18" s="1170" t="s">
        <v>1071</v>
      </c>
      <c r="T18" s="286"/>
      <c r="U18" s="1160"/>
      <c r="V18" s="1137"/>
      <c r="W18" s="1156"/>
      <c r="X18" s="1157">
        <v>20</v>
      </c>
      <c r="Y18" s="1158"/>
      <c r="Z18" s="1150"/>
      <c r="AA18" s="1165"/>
      <c r="AB18" s="1170" t="s">
        <v>1071</v>
      </c>
      <c r="AC18" s="286"/>
      <c r="AD18" s="1160"/>
      <c r="AE18" s="1137"/>
      <c r="AF18" s="1137"/>
      <c r="AG18" s="1287">
        <v>22</v>
      </c>
      <c r="AH18" s="1283"/>
      <c r="AI18" s="1283"/>
      <c r="AJ18" s="1282"/>
      <c r="AK18" s="1170" t="s">
        <v>1071</v>
      </c>
      <c r="AL18" s="1153"/>
      <c r="AM18" s="1160"/>
      <c r="AN18" s="1137"/>
      <c r="AO18" s="1192"/>
      <c r="AP18" s="1294">
        <v>720</v>
      </c>
      <c r="AQ18" s="1283"/>
      <c r="AR18" s="1277"/>
      <c r="AS18" s="1277"/>
      <c r="AT18" s="1283" t="s">
        <v>1008</v>
      </c>
    </row>
    <row r="19" spans="1:46" ht="38.25" customHeight="1" x14ac:dyDescent="0.45">
      <c r="A19" s="1351">
        <v>45909</v>
      </c>
      <c r="B19" s="692">
        <v>1</v>
      </c>
      <c r="C19" s="286"/>
      <c r="D19" s="1156"/>
      <c r="E19" s="1156"/>
      <c r="F19" s="1157"/>
      <c r="G19" s="1205"/>
      <c r="H19" s="1137"/>
      <c r="I19" s="1164"/>
      <c r="J19" s="1170"/>
      <c r="K19" s="286"/>
      <c r="L19" s="1160"/>
      <c r="M19" s="1137"/>
      <c r="N19" s="1137"/>
      <c r="O19" s="1157"/>
      <c r="P19" s="1160"/>
      <c r="Q19" s="1137"/>
      <c r="R19" s="1137"/>
      <c r="S19" s="1170"/>
      <c r="T19" s="286"/>
      <c r="U19" s="1160"/>
      <c r="V19" s="1137"/>
      <c r="W19" s="1137"/>
      <c r="X19" s="1157"/>
      <c r="Y19" s="1160"/>
      <c r="Z19" s="1152"/>
      <c r="AA19" s="1204"/>
      <c r="AB19" s="1170"/>
      <c r="AC19" s="286"/>
      <c r="AD19" s="1160"/>
      <c r="AE19" s="1137"/>
      <c r="AF19" s="1137"/>
      <c r="AG19" s="1287"/>
      <c r="AH19" s="1289"/>
      <c r="AI19" s="1289"/>
      <c r="AJ19" s="1290"/>
      <c r="AK19" s="1283"/>
      <c r="AL19" s="1153"/>
      <c r="AM19" s="1160"/>
      <c r="AN19" s="1137"/>
      <c r="AO19" s="1137"/>
      <c r="AP19" s="1287">
        <v>720</v>
      </c>
      <c r="AQ19" s="1289"/>
      <c r="AR19" s="1289"/>
      <c r="AS19" s="1283"/>
      <c r="AT19" s="1283" t="s">
        <v>1008</v>
      </c>
    </row>
    <row r="20" spans="1:46" ht="44.5" customHeight="1" x14ac:dyDescent="0.45">
      <c r="A20" s="1352"/>
      <c r="B20" s="692">
        <v>2</v>
      </c>
      <c r="C20" s="1155"/>
      <c r="D20" s="1156"/>
      <c r="E20" s="1156"/>
      <c r="F20" s="1157"/>
      <c r="G20" s="1205"/>
      <c r="H20" s="1152"/>
      <c r="I20" s="1164"/>
      <c r="J20" s="1170"/>
      <c r="K20" s="286"/>
      <c r="L20" s="1160"/>
      <c r="M20" s="1137"/>
      <c r="N20" s="1137"/>
      <c r="O20" s="1157"/>
      <c r="P20" s="1205"/>
      <c r="Q20" s="1152"/>
      <c r="R20" s="1141"/>
      <c r="S20" s="1170"/>
      <c r="T20" s="286"/>
      <c r="U20" s="1160"/>
      <c r="V20" s="1137"/>
      <c r="W20" s="1137">
        <v>11</v>
      </c>
      <c r="X20" s="1157"/>
      <c r="Y20" s="1205"/>
      <c r="Z20" s="1152"/>
      <c r="AA20" s="1150" t="s">
        <v>1132</v>
      </c>
      <c r="AB20" s="1170"/>
      <c r="AC20" s="286"/>
      <c r="AD20" s="1160"/>
      <c r="AE20" s="1137"/>
      <c r="AF20" s="1137"/>
      <c r="AG20" s="1287"/>
      <c r="AH20" s="1290"/>
      <c r="AI20" s="1290"/>
      <c r="AJ20" s="1278"/>
      <c r="AK20" s="1283"/>
      <c r="AL20" s="1153"/>
      <c r="AM20" s="1160"/>
      <c r="AN20" s="1137"/>
      <c r="AO20" s="1137"/>
      <c r="AP20" s="1287">
        <v>720</v>
      </c>
      <c r="AQ20" s="1290"/>
      <c r="AR20" s="1290"/>
      <c r="AS20" s="1278"/>
      <c r="AT20" s="1283" t="s">
        <v>1008</v>
      </c>
    </row>
    <row r="21" spans="1:46" ht="39" customHeight="1" x14ac:dyDescent="0.45">
      <c r="A21" s="1351">
        <v>45910</v>
      </c>
      <c r="B21" s="692">
        <v>1</v>
      </c>
      <c r="C21" s="1155"/>
      <c r="D21" s="1156"/>
      <c r="E21" s="1156"/>
      <c r="F21" s="1157"/>
      <c r="G21" s="1210"/>
      <c r="H21" s="1140"/>
      <c r="I21" s="1164"/>
      <c r="J21" s="1211"/>
      <c r="K21" s="286"/>
      <c r="L21" s="1160"/>
      <c r="M21" s="1137"/>
      <c r="N21" s="1137"/>
      <c r="O21" s="1157"/>
      <c r="P21" s="1160"/>
      <c r="Q21" s="1152"/>
      <c r="R21" s="1137"/>
      <c r="S21" s="1211"/>
      <c r="T21" s="286"/>
      <c r="U21" s="1160"/>
      <c r="V21" s="1137"/>
      <c r="W21" s="1137"/>
      <c r="X21" s="1157"/>
      <c r="Y21" s="1205"/>
      <c r="Z21" s="1137"/>
      <c r="AA21" s="1204"/>
      <c r="AB21" s="1211"/>
      <c r="AC21" s="286"/>
      <c r="AD21" s="1160"/>
      <c r="AE21" s="1137"/>
      <c r="AF21" s="1137"/>
      <c r="AG21" s="1287"/>
      <c r="AH21" s="1289"/>
      <c r="AI21" s="1289"/>
      <c r="AJ21" s="1290"/>
      <c r="AK21" s="1293"/>
      <c r="AL21" s="1153"/>
      <c r="AM21" s="1160"/>
      <c r="AN21" s="1137"/>
      <c r="AO21" s="1137"/>
      <c r="AP21" s="1287">
        <v>720</v>
      </c>
      <c r="AQ21" s="1289"/>
      <c r="AR21" s="1290"/>
      <c r="AS21" s="1290"/>
      <c r="AT21" s="1283" t="s">
        <v>1008</v>
      </c>
    </row>
    <row r="22" spans="1:46" ht="49.95" customHeight="1" x14ac:dyDescent="0.45">
      <c r="A22" s="1352"/>
      <c r="B22" s="692">
        <v>2</v>
      </c>
      <c r="C22" s="1155"/>
      <c r="D22" s="1156"/>
      <c r="E22" s="1156"/>
      <c r="F22" s="1157"/>
      <c r="G22" s="1209"/>
      <c r="H22" s="1150"/>
      <c r="I22" s="1141"/>
      <c r="J22" s="1170"/>
      <c r="K22" s="286"/>
      <c r="L22" s="1160"/>
      <c r="M22" s="1137"/>
      <c r="N22" s="1137"/>
      <c r="O22" s="1157"/>
      <c r="P22" s="1149"/>
      <c r="Q22" s="1150"/>
      <c r="R22" s="1137"/>
      <c r="S22" s="1170"/>
      <c r="T22" s="286"/>
      <c r="U22" s="1160"/>
      <c r="V22" s="1137"/>
      <c r="W22" s="1137"/>
      <c r="X22" s="1157"/>
      <c r="Y22" s="1205"/>
      <c r="Z22" s="1150"/>
      <c r="AA22" s="1165"/>
      <c r="AB22" s="1170"/>
      <c r="AC22" s="286"/>
      <c r="AD22" s="1160"/>
      <c r="AE22" s="1137"/>
      <c r="AF22" s="1137"/>
      <c r="AG22" s="1287"/>
      <c r="AH22" s="1289"/>
      <c r="AI22" s="1289"/>
      <c r="AJ22" s="1283"/>
      <c r="AK22" s="1283"/>
      <c r="AL22" s="1153"/>
      <c r="AM22" s="1160"/>
      <c r="AN22" s="1137"/>
      <c r="AO22" s="1137"/>
      <c r="AP22" s="1287">
        <v>720</v>
      </c>
      <c r="AQ22" s="1289"/>
      <c r="AR22" s="1283"/>
      <c r="AS22" s="1289"/>
      <c r="AT22" s="1283" t="s">
        <v>1008</v>
      </c>
    </row>
    <row r="23" spans="1:46" ht="47.5" customHeight="1" x14ac:dyDescent="0.45">
      <c r="A23" s="1351">
        <v>45911</v>
      </c>
      <c r="B23" s="717">
        <v>1</v>
      </c>
      <c r="C23" s="1155"/>
      <c r="D23" s="1156"/>
      <c r="E23" s="1156"/>
      <c r="F23" s="1157"/>
      <c r="G23" s="1209"/>
      <c r="H23" s="1140"/>
      <c r="I23" s="1164"/>
      <c r="J23" s="1170"/>
      <c r="K23" s="286"/>
      <c r="L23" s="1160"/>
      <c r="M23" s="1137"/>
      <c r="N23" s="1137"/>
      <c r="O23" s="1157"/>
      <c r="P23" s="1139"/>
      <c r="Q23" s="1140"/>
      <c r="R23" s="1150"/>
      <c r="S23" s="1170"/>
      <c r="T23" s="286"/>
      <c r="U23" s="1160"/>
      <c r="V23" s="1137"/>
      <c r="W23" s="1137"/>
      <c r="X23" s="1157"/>
      <c r="Y23" s="1205"/>
      <c r="Z23" s="1141"/>
      <c r="AA23" s="1204"/>
      <c r="AB23" s="1170"/>
      <c r="AC23" s="286"/>
      <c r="AD23" s="1160"/>
      <c r="AE23" s="1137"/>
      <c r="AF23" s="1128"/>
      <c r="AG23" s="1287"/>
      <c r="AH23" s="1289"/>
      <c r="AI23" s="1282"/>
      <c r="AJ23" s="1282"/>
      <c r="AK23" s="1283"/>
      <c r="AL23" s="1153"/>
      <c r="AM23" s="1160"/>
      <c r="AN23" s="1137"/>
      <c r="AO23" s="1137"/>
      <c r="AP23" s="1287">
        <v>720</v>
      </c>
      <c r="AQ23" s="1289"/>
      <c r="AR23" s="1298"/>
      <c r="AS23" s="1283"/>
      <c r="AT23" s="1283" t="s">
        <v>1008</v>
      </c>
    </row>
    <row r="24" spans="1:46" ht="49.95" customHeight="1" x14ac:dyDescent="0.45">
      <c r="A24" s="1352"/>
      <c r="B24" s="692">
        <v>2</v>
      </c>
      <c r="C24" s="1155"/>
      <c r="D24" s="1156"/>
      <c r="E24" s="1156"/>
      <c r="F24" s="1157"/>
      <c r="G24" s="1209"/>
      <c r="H24" s="1150"/>
      <c r="I24" s="1164"/>
      <c r="J24" s="1170"/>
      <c r="K24" s="286"/>
      <c r="L24" s="1160"/>
      <c r="M24" s="1137"/>
      <c r="N24" s="1137"/>
      <c r="O24" s="1157"/>
      <c r="P24" s="1139"/>
      <c r="Q24" s="1140"/>
      <c r="R24" s="1150"/>
      <c r="S24" s="1170"/>
      <c r="T24" s="1206"/>
      <c r="U24" s="1128"/>
      <c r="V24" s="1207"/>
      <c r="W24" s="1204"/>
      <c r="X24" s="1157"/>
      <c r="Y24" s="1141"/>
      <c r="Z24" s="1140"/>
      <c r="AA24" s="1204"/>
      <c r="AB24" s="1170"/>
      <c r="AC24" s="286"/>
      <c r="AD24" s="1160"/>
      <c r="AE24" s="1137"/>
      <c r="AF24" s="1128"/>
      <c r="AG24" s="1287"/>
      <c r="AH24" s="1278"/>
      <c r="AI24" s="1282"/>
      <c r="AJ24" s="1283"/>
      <c r="AK24" s="1283"/>
      <c r="AL24" s="1153"/>
      <c r="AM24" s="1160"/>
      <c r="AN24" s="1137"/>
      <c r="AO24" s="1137"/>
      <c r="AP24" s="1287">
        <v>720</v>
      </c>
      <c r="AQ24" s="1282"/>
      <c r="AR24" s="1282"/>
      <c r="AS24" s="1283"/>
      <c r="AT24" s="1283" t="s">
        <v>1008</v>
      </c>
    </row>
    <row r="25" spans="1:46" ht="45" customHeight="1" x14ac:dyDescent="0.45">
      <c r="A25" s="1351">
        <v>45912</v>
      </c>
      <c r="B25" s="692">
        <v>1</v>
      </c>
      <c r="C25" s="1155"/>
      <c r="D25" s="1156"/>
      <c r="E25" s="1156"/>
      <c r="F25" s="1157"/>
      <c r="G25" s="1139"/>
      <c r="H25" s="1140"/>
      <c r="I25" s="1141"/>
      <c r="J25" s="1170"/>
      <c r="K25" s="286"/>
      <c r="L25" s="1160"/>
      <c r="M25" s="1137"/>
      <c r="N25" s="1137"/>
      <c r="O25" s="1157"/>
      <c r="P25" s="1160"/>
      <c r="Q25" s="1140"/>
      <c r="R25" s="1137"/>
      <c r="S25" s="1170"/>
      <c r="T25" s="286"/>
      <c r="U25" s="1160"/>
      <c r="V25" s="1137"/>
      <c r="W25" s="1137"/>
      <c r="X25" s="1157"/>
      <c r="Y25" s="1205"/>
      <c r="Z25" s="1152"/>
      <c r="AA25" s="1204"/>
      <c r="AB25" s="1170"/>
      <c r="AC25" s="286"/>
      <c r="AD25" s="1160">
        <v>90</v>
      </c>
      <c r="AE25" s="1137"/>
      <c r="AF25" s="1137"/>
      <c r="AG25" s="1287"/>
      <c r="AH25" s="1289" t="s">
        <v>45</v>
      </c>
      <c r="AI25" s="1290"/>
      <c r="AJ25" s="1283"/>
      <c r="AK25" s="1283"/>
      <c r="AL25" s="1153"/>
      <c r="AM25" s="1160"/>
      <c r="AN25" s="1137"/>
      <c r="AO25" s="1137"/>
      <c r="AP25" s="1287">
        <v>720</v>
      </c>
      <c r="AQ25" s="1289"/>
      <c r="AR25" s="1289"/>
      <c r="AS25" s="1283"/>
      <c r="AT25" s="1283" t="s">
        <v>1008</v>
      </c>
    </row>
    <row r="26" spans="1:46" ht="51.75" customHeight="1" x14ac:dyDescent="0.45">
      <c r="A26" s="1352"/>
      <c r="B26" s="692">
        <v>2</v>
      </c>
      <c r="C26" s="1155"/>
      <c r="D26" s="1156"/>
      <c r="E26" s="1156"/>
      <c r="F26" s="1157">
        <v>154</v>
      </c>
      <c r="G26" s="1139"/>
      <c r="H26" s="1150"/>
      <c r="I26" s="1141"/>
      <c r="J26" s="1170" t="s">
        <v>1071</v>
      </c>
      <c r="K26" s="286"/>
      <c r="L26" s="1160"/>
      <c r="M26" s="1137"/>
      <c r="N26" s="1137"/>
      <c r="O26" s="1157">
        <v>139</v>
      </c>
      <c r="P26" s="1139"/>
      <c r="Q26" s="1150"/>
      <c r="R26" s="1176"/>
      <c r="S26" s="1170" t="s">
        <v>1071</v>
      </c>
      <c r="T26" s="286"/>
      <c r="U26" s="1160"/>
      <c r="V26" s="1156"/>
      <c r="W26" s="1137"/>
      <c r="X26" s="1157">
        <v>148</v>
      </c>
      <c r="Y26" s="1141"/>
      <c r="Z26" s="1150"/>
      <c r="AA26" s="1204"/>
      <c r="AB26" s="1170" t="s">
        <v>1071</v>
      </c>
      <c r="AC26" s="286"/>
      <c r="AD26" s="1160">
        <v>720</v>
      </c>
      <c r="AE26" s="1156"/>
      <c r="AF26" s="1137"/>
      <c r="AG26" s="1287"/>
      <c r="AH26" s="1278" t="s">
        <v>45</v>
      </c>
      <c r="AI26" s="1283"/>
      <c r="AJ26" s="1283"/>
      <c r="AK26" s="1283"/>
      <c r="AL26" s="1153"/>
      <c r="AM26" s="1160"/>
      <c r="AN26" s="1156"/>
      <c r="AO26" s="1137"/>
      <c r="AP26" s="1287">
        <v>720</v>
      </c>
      <c r="AQ26" s="1282"/>
      <c r="AR26" s="1283"/>
      <c r="AS26" s="1283"/>
      <c r="AT26" s="1283" t="s">
        <v>1008</v>
      </c>
    </row>
    <row r="27" spans="1:46" ht="49.95" customHeight="1" x14ac:dyDescent="0.45">
      <c r="A27" s="1351">
        <v>45913</v>
      </c>
      <c r="B27" s="717">
        <v>1</v>
      </c>
      <c r="C27" s="1155"/>
      <c r="D27" s="1156"/>
      <c r="E27" s="1156">
        <v>11</v>
      </c>
      <c r="F27" s="1157">
        <v>30</v>
      </c>
      <c r="G27" s="1139"/>
      <c r="H27" s="1140"/>
      <c r="I27" s="1164" t="s">
        <v>388</v>
      </c>
      <c r="J27" s="1170" t="s">
        <v>1071</v>
      </c>
      <c r="K27" s="286"/>
      <c r="L27" s="1160"/>
      <c r="M27" s="1137"/>
      <c r="N27" s="1137"/>
      <c r="O27" s="1157">
        <v>30</v>
      </c>
      <c r="P27" s="1139"/>
      <c r="Q27" s="1140"/>
      <c r="R27" s="1150"/>
      <c r="S27" s="1170" t="s">
        <v>1071</v>
      </c>
      <c r="T27" s="286"/>
      <c r="U27" s="1160"/>
      <c r="V27" s="1137"/>
      <c r="W27" s="1137"/>
      <c r="X27" s="1157">
        <v>15</v>
      </c>
      <c r="Y27" s="1139"/>
      <c r="Z27" s="1150"/>
      <c r="AA27" s="1204"/>
      <c r="AB27" s="1170" t="s">
        <v>1071</v>
      </c>
      <c r="AC27" s="286"/>
      <c r="AD27" s="1160">
        <v>720</v>
      </c>
      <c r="AE27" s="1137"/>
      <c r="AF27" s="1137"/>
      <c r="AG27" s="1287"/>
      <c r="AH27" s="1282" t="s">
        <v>45</v>
      </c>
      <c r="AI27" s="1290"/>
      <c r="AJ27" s="1283"/>
      <c r="AK27" s="1283"/>
      <c r="AL27" s="1153"/>
      <c r="AM27" s="1160"/>
      <c r="AN27" s="1137"/>
      <c r="AO27" s="1137"/>
      <c r="AP27" s="1287">
        <v>720</v>
      </c>
      <c r="AQ27" s="1290"/>
      <c r="AR27" s="1289"/>
      <c r="AS27" s="1283"/>
      <c r="AT27" s="1283" t="s">
        <v>1008</v>
      </c>
    </row>
    <row r="28" spans="1:46" ht="42" customHeight="1" x14ac:dyDescent="0.45">
      <c r="A28" s="1352"/>
      <c r="B28" s="692">
        <v>2</v>
      </c>
      <c r="C28" s="1155"/>
      <c r="D28" s="1156"/>
      <c r="E28" s="1156"/>
      <c r="F28" s="1157">
        <v>720</v>
      </c>
      <c r="G28" s="1150"/>
      <c r="H28" s="1150"/>
      <c r="I28" s="1176"/>
      <c r="J28" s="1170" t="s">
        <v>1134</v>
      </c>
      <c r="K28" s="286"/>
      <c r="L28" s="1160"/>
      <c r="M28" s="1137"/>
      <c r="N28" s="1137"/>
      <c r="O28" s="1157">
        <v>720</v>
      </c>
      <c r="P28" s="1150"/>
      <c r="Q28" s="1150"/>
      <c r="R28" s="1150"/>
      <c r="S28" s="1170" t="s">
        <v>1134</v>
      </c>
      <c r="T28" s="286"/>
      <c r="U28" s="1160"/>
      <c r="V28" s="1137"/>
      <c r="W28" s="286"/>
      <c r="X28" s="1157">
        <v>720</v>
      </c>
      <c r="Y28" s="1150"/>
      <c r="Z28" s="1137"/>
      <c r="AA28" s="1165"/>
      <c r="AB28" s="1170" t="s">
        <v>1134</v>
      </c>
      <c r="AC28" s="286"/>
      <c r="AD28" s="1160"/>
      <c r="AE28" s="1137"/>
      <c r="AF28" s="1137"/>
      <c r="AG28" s="1287">
        <v>720</v>
      </c>
      <c r="AH28" s="1282"/>
      <c r="AI28" s="1290"/>
      <c r="AJ28" s="1290"/>
      <c r="AK28" s="1283" t="s">
        <v>1134</v>
      </c>
      <c r="AL28" s="1153"/>
      <c r="AM28" s="1160"/>
      <c r="AN28" s="1137"/>
      <c r="AO28" s="1137"/>
      <c r="AP28" s="1287">
        <v>720</v>
      </c>
      <c r="AQ28" s="1290"/>
      <c r="AR28" s="1289"/>
      <c r="AS28" s="1283"/>
      <c r="AT28" s="1283" t="s">
        <v>1134</v>
      </c>
    </row>
    <row r="29" spans="1:46" ht="48" customHeight="1" x14ac:dyDescent="0.45">
      <c r="A29" s="1351">
        <v>45914</v>
      </c>
      <c r="B29" s="692">
        <v>1</v>
      </c>
      <c r="C29" s="1155"/>
      <c r="D29" s="1156"/>
      <c r="E29" s="1156"/>
      <c r="F29" s="1157">
        <v>720</v>
      </c>
      <c r="G29" s="1150"/>
      <c r="H29" s="1140"/>
      <c r="I29" s="1176"/>
      <c r="J29" s="1170" t="s">
        <v>1134</v>
      </c>
      <c r="K29" s="286"/>
      <c r="L29" s="1160"/>
      <c r="M29" s="1137"/>
      <c r="N29" s="1137"/>
      <c r="O29" s="1157">
        <v>720</v>
      </c>
      <c r="P29" s="1139"/>
      <c r="Q29" s="1150"/>
      <c r="R29" s="1150"/>
      <c r="S29" s="1170" t="s">
        <v>1134</v>
      </c>
      <c r="T29" s="286"/>
      <c r="U29" s="1160"/>
      <c r="V29" s="1137"/>
      <c r="W29" s="1137"/>
      <c r="X29" s="1157">
        <v>720</v>
      </c>
      <c r="Y29" s="1150"/>
      <c r="Z29" s="1140"/>
      <c r="AA29" s="1165"/>
      <c r="AB29" s="1170" t="s">
        <v>1134</v>
      </c>
      <c r="AC29" s="286"/>
      <c r="AD29" s="1160"/>
      <c r="AE29" s="1137"/>
      <c r="AF29" s="1137"/>
      <c r="AG29" s="1287">
        <v>720</v>
      </c>
      <c r="AH29" s="1282"/>
      <c r="AI29" s="1282"/>
      <c r="AJ29" s="1289"/>
      <c r="AK29" s="1283" t="s">
        <v>1134</v>
      </c>
      <c r="AL29" s="1153"/>
      <c r="AM29" s="1160"/>
      <c r="AN29" s="1137"/>
      <c r="AO29" s="1137"/>
      <c r="AP29" s="1287">
        <v>720</v>
      </c>
      <c r="AQ29" s="1290"/>
      <c r="AR29" s="1282"/>
      <c r="AS29" s="1289"/>
      <c r="AT29" s="1283" t="s">
        <v>1134</v>
      </c>
    </row>
    <row r="30" spans="1:46" ht="39.65" customHeight="1" x14ac:dyDescent="0.45">
      <c r="A30" s="1352"/>
      <c r="B30" s="717">
        <v>2</v>
      </c>
      <c r="C30" s="1155"/>
      <c r="D30" s="1156"/>
      <c r="E30" s="1156"/>
      <c r="F30" s="1157">
        <v>720</v>
      </c>
      <c r="G30" s="1150"/>
      <c r="H30" s="1140"/>
      <c r="I30" s="1165"/>
      <c r="J30" s="1170" t="s">
        <v>1134</v>
      </c>
      <c r="K30" s="286"/>
      <c r="L30" s="1160"/>
      <c r="M30" s="1137"/>
      <c r="N30" s="1137"/>
      <c r="O30" s="1157">
        <v>720</v>
      </c>
      <c r="P30" s="1139"/>
      <c r="Q30" s="1150"/>
      <c r="R30" s="1150"/>
      <c r="S30" s="1170" t="s">
        <v>1134</v>
      </c>
      <c r="T30" s="286"/>
      <c r="U30" s="1160"/>
      <c r="V30" s="1137"/>
      <c r="W30" s="1137"/>
      <c r="X30" s="1157">
        <v>720</v>
      </c>
      <c r="Y30" s="1150"/>
      <c r="Z30" s="1239"/>
      <c r="AA30" s="1300"/>
      <c r="AB30" s="1170" t="s">
        <v>1134</v>
      </c>
      <c r="AC30" s="286"/>
      <c r="AD30" s="1160"/>
      <c r="AE30" s="1137"/>
      <c r="AF30" s="1137"/>
      <c r="AG30" s="1287">
        <v>720</v>
      </c>
      <c r="AH30" s="1282"/>
      <c r="AI30" s="1283"/>
      <c r="AJ30" s="1289"/>
      <c r="AK30" s="1283" t="s">
        <v>1134</v>
      </c>
      <c r="AL30" s="1153"/>
      <c r="AM30" s="1160"/>
      <c r="AN30" s="1137"/>
      <c r="AO30" s="1137"/>
      <c r="AP30" s="1287">
        <v>720</v>
      </c>
      <c r="AQ30" s="1290"/>
      <c r="AR30" s="1282"/>
      <c r="AS30" s="1289"/>
      <c r="AT30" s="1290" t="s">
        <v>1134</v>
      </c>
    </row>
    <row r="31" spans="1:46" ht="39.65" customHeight="1" x14ac:dyDescent="0.45">
      <c r="A31" s="1351">
        <v>45915</v>
      </c>
      <c r="B31" s="692">
        <v>1</v>
      </c>
      <c r="C31" s="1155"/>
      <c r="D31" s="1156"/>
      <c r="E31" s="1156"/>
      <c r="F31" s="1157">
        <v>720</v>
      </c>
      <c r="G31" s="1139"/>
      <c r="H31" s="1171"/>
      <c r="I31" s="1241"/>
      <c r="J31" s="1170" t="s">
        <v>1134</v>
      </c>
      <c r="K31" s="286"/>
      <c r="L31" s="1160"/>
      <c r="M31" s="1137"/>
      <c r="N31" s="1137"/>
      <c r="O31" s="1157">
        <v>720</v>
      </c>
      <c r="P31" s="1128"/>
      <c r="Q31" s="1137"/>
      <c r="R31" s="1137"/>
      <c r="S31" s="1170" t="s">
        <v>1134</v>
      </c>
      <c r="T31" s="286"/>
      <c r="U31" s="1160"/>
      <c r="V31" s="1137"/>
      <c r="W31" s="1137"/>
      <c r="X31" s="1157">
        <v>720</v>
      </c>
      <c r="Y31" s="1172"/>
      <c r="Z31" s="1242"/>
      <c r="AA31" s="1240"/>
      <c r="AB31" s="1179" t="s">
        <v>1134</v>
      </c>
      <c r="AC31" s="286"/>
      <c r="AD31" s="1160"/>
      <c r="AE31" s="1137"/>
      <c r="AF31" s="1137"/>
      <c r="AG31" s="1287">
        <v>720</v>
      </c>
      <c r="AH31" s="1282"/>
      <c r="AI31" s="1289"/>
      <c r="AJ31" s="1289"/>
      <c r="AK31" s="1283" t="s">
        <v>1134</v>
      </c>
      <c r="AL31" s="1153"/>
      <c r="AM31" s="1160"/>
      <c r="AN31" s="1137"/>
      <c r="AO31" s="1137"/>
      <c r="AP31" s="1287">
        <v>720</v>
      </c>
      <c r="AQ31" s="1289"/>
      <c r="AR31" s="1282"/>
      <c r="AS31" s="1289"/>
      <c r="AT31" s="1290" t="s">
        <v>1134</v>
      </c>
    </row>
    <row r="32" spans="1:46" ht="44.25" customHeight="1" x14ac:dyDescent="0.45">
      <c r="A32" s="1352"/>
      <c r="B32" s="692">
        <v>2</v>
      </c>
      <c r="C32" s="1245"/>
      <c r="D32" s="1183"/>
      <c r="E32" s="1156"/>
      <c r="F32" s="1183">
        <v>720</v>
      </c>
      <c r="G32" s="1139"/>
      <c r="H32" s="1171"/>
      <c r="I32" s="1241"/>
      <c r="J32" s="1170" t="s">
        <v>1134</v>
      </c>
      <c r="K32" s="286"/>
      <c r="L32" s="1160"/>
      <c r="M32" s="1137"/>
      <c r="N32" s="1137"/>
      <c r="O32" s="1137">
        <v>720</v>
      </c>
      <c r="P32" s="1128"/>
      <c r="Q32" s="1171"/>
      <c r="R32" s="1128"/>
      <c r="S32" s="1170" t="s">
        <v>1134</v>
      </c>
      <c r="T32" s="286"/>
      <c r="U32" s="1160"/>
      <c r="V32" s="1137"/>
      <c r="W32" s="1156"/>
      <c r="X32" s="1137">
        <v>720</v>
      </c>
      <c r="Y32" s="1237"/>
      <c r="Z32" s="1246"/>
      <c r="AA32" s="1243"/>
      <c r="AB32" s="1179" t="s">
        <v>1134</v>
      </c>
      <c r="AC32" s="286"/>
      <c r="AD32" s="1160"/>
      <c r="AE32" s="1137"/>
      <c r="AF32" s="1156"/>
      <c r="AG32" s="1203">
        <v>720</v>
      </c>
      <c r="AH32" s="1282"/>
      <c r="AI32" s="1283"/>
      <c r="AJ32" s="1290"/>
      <c r="AK32" s="1283" t="s">
        <v>1134</v>
      </c>
      <c r="AL32" s="1153"/>
      <c r="AM32" s="1160"/>
      <c r="AN32" s="1137"/>
      <c r="AO32" s="1137"/>
      <c r="AP32" s="1287">
        <v>720</v>
      </c>
      <c r="AQ32" s="1289"/>
      <c r="AR32" s="1282"/>
      <c r="AS32" s="1283"/>
      <c r="AT32" s="1290" t="s">
        <v>1134</v>
      </c>
    </row>
    <row r="33" spans="1:46" ht="43.2" customHeight="1" x14ac:dyDescent="0.45">
      <c r="A33" s="1351">
        <v>45916</v>
      </c>
      <c r="B33" s="692">
        <v>1</v>
      </c>
      <c r="C33" s="1155"/>
      <c r="D33" s="1156"/>
      <c r="E33" s="1156"/>
      <c r="F33" s="1157">
        <v>720</v>
      </c>
      <c r="G33" s="1139"/>
      <c r="H33" s="1171"/>
      <c r="I33" s="1241"/>
      <c r="J33" s="1170" t="s">
        <v>1134</v>
      </c>
      <c r="K33" s="286"/>
      <c r="L33" s="1160"/>
      <c r="M33" s="1137"/>
      <c r="N33" s="1137"/>
      <c r="O33" s="1157">
        <v>720</v>
      </c>
      <c r="P33" s="1128"/>
      <c r="Q33" s="1137"/>
      <c r="R33" s="1137"/>
      <c r="S33" s="1170" t="s">
        <v>1134</v>
      </c>
      <c r="T33" s="286"/>
      <c r="U33" s="1160"/>
      <c r="V33" s="1137"/>
      <c r="W33" s="1137"/>
      <c r="X33" s="1157">
        <v>720</v>
      </c>
      <c r="Y33" s="1128"/>
      <c r="Z33" s="1161"/>
      <c r="AA33" s="1243"/>
      <c r="AB33" s="1170" t="s">
        <v>1134</v>
      </c>
      <c r="AC33" s="286"/>
      <c r="AD33" s="1160"/>
      <c r="AE33" s="1137"/>
      <c r="AF33" s="1137"/>
      <c r="AG33" s="1287">
        <v>720</v>
      </c>
      <c r="AH33" s="1289"/>
      <c r="AI33" s="1290"/>
      <c r="AJ33" s="1290"/>
      <c r="AK33" s="1283" t="s">
        <v>1134</v>
      </c>
      <c r="AL33" s="1153"/>
      <c r="AM33" s="1160"/>
      <c r="AN33" s="1137"/>
      <c r="AO33" s="1137"/>
      <c r="AP33" s="1287">
        <v>720</v>
      </c>
      <c r="AQ33" s="1289"/>
      <c r="AR33" s="1290"/>
      <c r="AS33" s="1289"/>
      <c r="AT33" s="1290" t="s">
        <v>1134</v>
      </c>
    </row>
    <row r="34" spans="1:46" ht="43.5" customHeight="1" x14ac:dyDescent="0.45">
      <c r="A34" s="1352"/>
      <c r="B34" s="717">
        <v>2</v>
      </c>
      <c r="C34" s="1156"/>
      <c r="D34" s="1156"/>
      <c r="E34" s="1156"/>
      <c r="F34" s="1157">
        <v>720</v>
      </c>
      <c r="G34" s="1158"/>
      <c r="H34" s="1150"/>
      <c r="I34" s="1165"/>
      <c r="J34" s="1170" t="s">
        <v>1134</v>
      </c>
      <c r="K34" s="286"/>
      <c r="L34" s="1160"/>
      <c r="M34" s="1137"/>
      <c r="N34" s="1137"/>
      <c r="O34" s="1157">
        <v>720</v>
      </c>
      <c r="P34" s="1128"/>
      <c r="Q34" s="1150"/>
      <c r="R34" s="1137"/>
      <c r="S34" s="1170" t="s">
        <v>1134</v>
      </c>
      <c r="T34" s="286"/>
      <c r="U34" s="1160"/>
      <c r="V34" s="1137"/>
      <c r="W34" s="1137"/>
      <c r="X34" s="1157">
        <v>720</v>
      </c>
      <c r="Y34" s="1152"/>
      <c r="Z34" s="1152"/>
      <c r="AA34" s="1243"/>
      <c r="AB34" s="1170" t="s">
        <v>1134</v>
      </c>
      <c r="AC34" s="286"/>
      <c r="AD34" s="1160"/>
      <c r="AE34" s="1137"/>
      <c r="AF34" s="1137"/>
      <c r="AG34" s="1287">
        <v>720</v>
      </c>
      <c r="AH34" s="1289"/>
      <c r="AI34" s="1289"/>
      <c r="AJ34" s="1290"/>
      <c r="AK34" s="1283" t="s">
        <v>1134</v>
      </c>
      <c r="AL34" s="1153"/>
      <c r="AM34" s="1160"/>
      <c r="AN34" s="1137"/>
      <c r="AO34" s="1137"/>
      <c r="AP34" s="1287">
        <v>720</v>
      </c>
      <c r="AQ34" s="1289"/>
      <c r="AR34" s="1290"/>
      <c r="AS34" s="1283"/>
      <c r="AT34" s="1290" t="s">
        <v>1134</v>
      </c>
    </row>
    <row r="35" spans="1:46" ht="47.25" customHeight="1" x14ac:dyDescent="0.45">
      <c r="A35" s="1351">
        <v>45917</v>
      </c>
      <c r="B35" s="692">
        <v>1</v>
      </c>
      <c r="C35" s="1156"/>
      <c r="D35" s="1156"/>
      <c r="E35" s="1203"/>
      <c r="F35" s="1157">
        <v>720</v>
      </c>
      <c r="G35" s="1205"/>
      <c r="H35" s="1128"/>
      <c r="I35" s="1165"/>
      <c r="J35" s="1170" t="s">
        <v>1134</v>
      </c>
      <c r="K35" s="286"/>
      <c r="L35" s="1160"/>
      <c r="M35" s="1137"/>
      <c r="N35" s="1137"/>
      <c r="O35" s="1157">
        <v>720</v>
      </c>
      <c r="P35" s="1205"/>
      <c r="Q35" s="1150"/>
      <c r="R35" s="1150"/>
      <c r="S35" s="1170" t="s">
        <v>1134</v>
      </c>
      <c r="T35" s="286"/>
      <c r="U35" s="1160"/>
      <c r="V35" s="1137"/>
      <c r="W35" s="1203"/>
      <c r="X35" s="1157">
        <v>720</v>
      </c>
      <c r="Y35" s="1205"/>
      <c r="Z35" s="1152"/>
      <c r="AA35" s="1165"/>
      <c r="AB35" s="1170" t="s">
        <v>1134</v>
      </c>
      <c r="AC35" s="286"/>
      <c r="AD35" s="1160"/>
      <c r="AE35" s="1137"/>
      <c r="AF35" s="1137"/>
      <c r="AG35" s="1287">
        <v>720</v>
      </c>
      <c r="AH35" s="1290"/>
      <c r="AI35" s="1289"/>
      <c r="AJ35" s="1283"/>
      <c r="AK35" s="1283" t="s">
        <v>1134</v>
      </c>
      <c r="AL35" s="1153"/>
      <c r="AM35" s="1160"/>
      <c r="AN35" s="1137"/>
      <c r="AO35" s="1137"/>
      <c r="AP35" s="1287">
        <v>720</v>
      </c>
      <c r="AQ35" s="1289"/>
      <c r="AR35" s="1290"/>
      <c r="AS35" s="1290"/>
      <c r="AT35" s="1283" t="s">
        <v>1134</v>
      </c>
    </row>
    <row r="36" spans="1:46" ht="46.95" customHeight="1" x14ac:dyDescent="0.45">
      <c r="A36" s="1352"/>
      <c r="B36" s="692">
        <v>2</v>
      </c>
      <c r="C36" s="1203"/>
      <c r="D36" s="1137"/>
      <c r="E36" s="1203"/>
      <c r="F36" s="1157">
        <v>720</v>
      </c>
      <c r="G36" s="1176"/>
      <c r="H36" s="1150"/>
      <c r="I36" s="1176"/>
      <c r="J36" s="1170" t="s">
        <v>1134</v>
      </c>
      <c r="K36" s="286"/>
      <c r="L36" s="1205"/>
      <c r="M36" s="1137"/>
      <c r="N36" s="1137"/>
      <c r="O36" s="1157">
        <v>720</v>
      </c>
      <c r="P36" s="1205"/>
      <c r="Q36" s="1150"/>
      <c r="R36" s="1152"/>
      <c r="S36" s="1170" t="s">
        <v>1134</v>
      </c>
      <c r="T36" s="286"/>
      <c r="U36" s="1160"/>
      <c r="V36" s="1137"/>
      <c r="W36" s="1137"/>
      <c r="X36" s="1157">
        <v>720</v>
      </c>
      <c r="Y36" s="1205"/>
      <c r="Z36" s="1150"/>
      <c r="AA36" s="1165"/>
      <c r="AB36" s="1170" t="s">
        <v>1134</v>
      </c>
      <c r="AC36" s="286"/>
      <c r="AD36" s="1160"/>
      <c r="AE36" s="1137"/>
      <c r="AF36" s="1203"/>
      <c r="AG36" s="1287">
        <v>720</v>
      </c>
      <c r="AH36" s="1290"/>
      <c r="AI36" s="1290"/>
      <c r="AJ36" s="1290"/>
      <c r="AK36" s="1283" t="s">
        <v>1134</v>
      </c>
      <c r="AL36" s="1153"/>
      <c r="AM36" s="1160"/>
      <c r="AN36" s="1137"/>
      <c r="AO36" s="1137"/>
      <c r="AP36" s="1287">
        <v>720</v>
      </c>
      <c r="AQ36" s="1289"/>
      <c r="AR36" s="1290"/>
      <c r="AS36" s="1290"/>
      <c r="AT36" s="1283" t="s">
        <v>1134</v>
      </c>
    </row>
    <row r="37" spans="1:46" ht="40.5" customHeight="1" x14ac:dyDescent="0.45">
      <c r="A37" s="1351">
        <v>45918</v>
      </c>
      <c r="B37" s="717">
        <v>1</v>
      </c>
      <c r="C37" s="1203"/>
      <c r="D37" s="1156"/>
      <c r="E37" s="1203"/>
      <c r="F37" s="1157">
        <v>720</v>
      </c>
      <c r="G37" s="1176"/>
      <c r="H37" s="1149"/>
      <c r="I37" s="1141"/>
      <c r="J37" s="1170" t="s">
        <v>1134</v>
      </c>
      <c r="K37" s="286"/>
      <c r="L37" s="1160"/>
      <c r="M37" s="1137"/>
      <c r="N37" s="1137"/>
      <c r="O37" s="1157">
        <v>720</v>
      </c>
      <c r="P37" s="1128"/>
      <c r="Q37" s="1150"/>
      <c r="R37" s="1137"/>
      <c r="S37" s="1170" t="s">
        <v>1134</v>
      </c>
      <c r="T37" s="286"/>
      <c r="U37" s="1160"/>
      <c r="V37" s="1137"/>
      <c r="W37" s="1137"/>
      <c r="X37" s="1157">
        <v>720</v>
      </c>
      <c r="Y37" s="1128"/>
      <c r="Z37" s="1152"/>
      <c r="AA37" s="1165"/>
      <c r="AB37" s="1170" t="s">
        <v>1134</v>
      </c>
      <c r="AC37" s="286"/>
      <c r="AD37" s="1160"/>
      <c r="AE37" s="1137"/>
      <c r="AF37" s="1137"/>
      <c r="AG37" s="1287">
        <v>720</v>
      </c>
      <c r="AH37" s="1290"/>
      <c r="AI37" s="1289"/>
      <c r="AJ37" s="1290"/>
      <c r="AK37" s="1283" t="s">
        <v>1134</v>
      </c>
      <c r="AL37" s="1153"/>
      <c r="AM37" s="1160"/>
      <c r="AN37" s="1137"/>
      <c r="AO37" s="1137"/>
      <c r="AP37" s="1287">
        <v>720</v>
      </c>
      <c r="AQ37" s="1289"/>
      <c r="AR37" s="1290"/>
      <c r="AS37" s="1289"/>
      <c r="AT37" s="1283" t="s">
        <v>1134</v>
      </c>
    </row>
    <row r="38" spans="1:46" ht="40.5" customHeight="1" x14ac:dyDescent="0.45">
      <c r="A38" s="1352"/>
      <c r="B38" s="692">
        <v>2</v>
      </c>
      <c r="C38" s="1203"/>
      <c r="D38" s="1156"/>
      <c r="E38" s="1203"/>
      <c r="F38" s="1157">
        <v>720</v>
      </c>
      <c r="G38" s="1176"/>
      <c r="H38" s="1149"/>
      <c r="I38" s="1141"/>
      <c r="J38" s="1170" t="s">
        <v>1134</v>
      </c>
      <c r="K38" s="286"/>
      <c r="L38" s="1160"/>
      <c r="M38" s="1137"/>
      <c r="N38" s="1137"/>
      <c r="O38" s="1157">
        <v>720</v>
      </c>
      <c r="P38" s="1149"/>
      <c r="Q38" s="1149"/>
      <c r="R38" s="1137"/>
      <c r="S38" s="1170" t="s">
        <v>1134</v>
      </c>
      <c r="T38" s="286"/>
      <c r="U38" s="1160"/>
      <c r="V38" s="1137"/>
      <c r="W38" s="1137"/>
      <c r="X38" s="1157">
        <v>720</v>
      </c>
      <c r="Y38" s="1149"/>
      <c r="Z38" s="1152"/>
      <c r="AA38" s="1165"/>
      <c r="AB38" s="1170" t="s">
        <v>1134</v>
      </c>
      <c r="AC38" s="286"/>
      <c r="AD38" s="1160"/>
      <c r="AE38" s="1137"/>
      <c r="AF38" s="1137"/>
      <c r="AG38" s="1287">
        <v>720</v>
      </c>
      <c r="AH38" s="1290"/>
      <c r="AI38" s="1289"/>
      <c r="AJ38" s="1290"/>
      <c r="AK38" s="1283" t="s">
        <v>1134</v>
      </c>
      <c r="AL38" s="1153"/>
      <c r="AM38" s="1160"/>
      <c r="AN38" s="1137"/>
      <c r="AO38" s="1137"/>
      <c r="AP38" s="1287">
        <v>720</v>
      </c>
      <c r="AQ38" s="1289"/>
      <c r="AR38" s="1290"/>
      <c r="AS38" s="1290"/>
      <c r="AT38" s="1283" t="s">
        <v>1134</v>
      </c>
    </row>
    <row r="39" spans="1:46" ht="42" customHeight="1" x14ac:dyDescent="0.45">
      <c r="A39" s="1351">
        <v>45919</v>
      </c>
      <c r="B39" s="692">
        <v>1</v>
      </c>
      <c r="C39" s="1203"/>
      <c r="D39" s="1156"/>
      <c r="E39" s="1156"/>
      <c r="F39" s="1157">
        <v>720</v>
      </c>
      <c r="G39" s="1176"/>
      <c r="H39" s="1149"/>
      <c r="I39" s="1141"/>
      <c r="J39" s="1170" t="s">
        <v>1134</v>
      </c>
      <c r="K39" s="286"/>
      <c r="L39" s="1160"/>
      <c r="M39" s="1137"/>
      <c r="N39" s="1137"/>
      <c r="O39" s="1157">
        <v>720</v>
      </c>
      <c r="P39" s="1176"/>
      <c r="Q39" s="1150"/>
      <c r="R39" s="1137"/>
      <c r="S39" s="1170" t="s">
        <v>1134</v>
      </c>
      <c r="T39" s="286"/>
      <c r="U39" s="1160"/>
      <c r="V39" s="1137"/>
      <c r="W39" s="1137"/>
      <c r="X39" s="1157">
        <v>720</v>
      </c>
      <c r="Y39" s="1128"/>
      <c r="Z39" s="1150"/>
      <c r="AA39" s="1165"/>
      <c r="AB39" s="1170" t="s">
        <v>1134</v>
      </c>
      <c r="AC39" s="286"/>
      <c r="AD39" s="1160"/>
      <c r="AE39" s="1137"/>
      <c r="AF39" s="1137"/>
      <c r="AG39" s="1287">
        <v>720</v>
      </c>
      <c r="AH39" s="1283"/>
      <c r="AI39" s="1282"/>
      <c r="AJ39" s="1290"/>
      <c r="AK39" s="1283" t="s">
        <v>1134</v>
      </c>
      <c r="AL39" s="1153"/>
      <c r="AM39" s="1160"/>
      <c r="AN39" s="1137"/>
      <c r="AO39" s="1137"/>
      <c r="AP39" s="1287">
        <v>720</v>
      </c>
      <c r="AQ39" s="1289"/>
      <c r="AR39" s="1290"/>
      <c r="AS39" s="1290"/>
      <c r="AT39" s="1283" t="s">
        <v>1134</v>
      </c>
    </row>
    <row r="40" spans="1:46" ht="43.5" customHeight="1" x14ac:dyDescent="0.45">
      <c r="A40" s="1352"/>
      <c r="B40" s="692">
        <v>2</v>
      </c>
      <c r="C40" s="1156"/>
      <c r="D40" s="1156"/>
      <c r="E40" s="1156"/>
      <c r="F40" s="1157">
        <v>720</v>
      </c>
      <c r="G40" s="1176"/>
      <c r="H40" s="1149"/>
      <c r="I40" s="1141"/>
      <c r="J40" s="1170" t="s">
        <v>1134</v>
      </c>
      <c r="K40" s="286"/>
      <c r="L40" s="1160"/>
      <c r="M40" s="1137"/>
      <c r="N40" s="1137"/>
      <c r="O40" s="1157">
        <v>720</v>
      </c>
      <c r="P40" s="1139"/>
      <c r="Q40" s="1140"/>
      <c r="R40" s="1176"/>
      <c r="S40" s="1170" t="s">
        <v>1134</v>
      </c>
      <c r="T40" s="286"/>
      <c r="U40" s="1160"/>
      <c r="V40" s="1137"/>
      <c r="W40" s="1137"/>
      <c r="X40" s="1157">
        <v>720</v>
      </c>
      <c r="Y40" s="1149"/>
      <c r="Z40" s="1137"/>
      <c r="AA40" s="1165"/>
      <c r="AB40" s="1170" t="s">
        <v>1134</v>
      </c>
      <c r="AC40" s="286"/>
      <c r="AD40" s="1160"/>
      <c r="AE40" s="1137"/>
      <c r="AF40" s="1137"/>
      <c r="AG40" s="1287">
        <v>720</v>
      </c>
      <c r="AH40" s="1290"/>
      <c r="AI40" s="1283"/>
      <c r="AJ40" s="1290"/>
      <c r="AK40" s="1283" t="s">
        <v>1134</v>
      </c>
      <c r="AL40" s="1153"/>
      <c r="AM40" s="1205"/>
      <c r="AN40" s="1137"/>
      <c r="AO40" s="1137"/>
      <c r="AP40" s="1287">
        <v>720</v>
      </c>
      <c r="AQ40" s="1289"/>
      <c r="AR40" s="1290"/>
      <c r="AS40" s="1283"/>
      <c r="AT40" s="1283" t="s">
        <v>1134</v>
      </c>
    </row>
    <row r="41" spans="1:46" ht="39.65" customHeight="1" x14ac:dyDescent="0.45">
      <c r="A41" s="1351">
        <v>45920</v>
      </c>
      <c r="B41" s="692">
        <v>1</v>
      </c>
      <c r="C41" s="1155"/>
      <c r="D41" s="1156"/>
      <c r="E41" s="1156"/>
      <c r="F41" s="1157">
        <v>720</v>
      </c>
      <c r="G41" s="1139"/>
      <c r="H41" s="1150"/>
      <c r="I41" s="1141"/>
      <c r="J41" s="1170" t="s">
        <v>1134</v>
      </c>
      <c r="K41" s="286"/>
      <c r="L41" s="1160"/>
      <c r="M41" s="1137"/>
      <c r="N41" s="1137"/>
      <c r="O41" s="1157">
        <v>720</v>
      </c>
      <c r="P41" s="1128"/>
      <c r="Q41" s="1137"/>
      <c r="R41" s="1176"/>
      <c r="S41" s="1170" t="s">
        <v>1134</v>
      </c>
      <c r="T41" s="286"/>
      <c r="U41" s="1160"/>
      <c r="V41" s="1137"/>
      <c r="W41" s="1137"/>
      <c r="X41" s="1157">
        <v>720</v>
      </c>
      <c r="Y41" s="1128"/>
      <c r="Z41" s="1152"/>
      <c r="AA41" s="1165"/>
      <c r="AB41" s="1170" t="s">
        <v>1134</v>
      </c>
      <c r="AC41" s="286"/>
      <c r="AD41" s="1160"/>
      <c r="AE41" s="1137"/>
      <c r="AF41" s="1137"/>
      <c r="AG41" s="1287">
        <v>720</v>
      </c>
      <c r="AH41" s="1290"/>
      <c r="AI41" s="1290"/>
      <c r="AJ41" s="1289"/>
      <c r="AK41" s="1283" t="s">
        <v>1134</v>
      </c>
      <c r="AL41" s="1153"/>
      <c r="AM41" s="1160"/>
      <c r="AN41" s="1137"/>
      <c r="AO41" s="1137"/>
      <c r="AP41" s="1287">
        <v>720</v>
      </c>
      <c r="AQ41" s="1289"/>
      <c r="AR41" s="1290"/>
      <c r="AS41" s="1283"/>
      <c r="AT41" s="1283" t="s">
        <v>1134</v>
      </c>
    </row>
    <row r="42" spans="1:46" ht="52.95" customHeight="1" x14ac:dyDescent="0.45">
      <c r="A42" s="1352"/>
      <c r="B42" s="692">
        <v>2</v>
      </c>
      <c r="C42" s="1156"/>
      <c r="D42" s="1156"/>
      <c r="E42" s="1156"/>
      <c r="F42" s="1157">
        <v>720</v>
      </c>
      <c r="G42" s="1139"/>
      <c r="H42" s="1150"/>
      <c r="I42" s="1176"/>
      <c r="J42" s="1170" t="s">
        <v>1134</v>
      </c>
      <c r="K42" s="286"/>
      <c r="L42" s="1160"/>
      <c r="M42" s="1137"/>
      <c r="N42" s="1137"/>
      <c r="O42" s="1157">
        <v>720</v>
      </c>
      <c r="P42" s="1128"/>
      <c r="Q42" s="1152"/>
      <c r="R42" s="1137"/>
      <c r="S42" s="1170" t="s">
        <v>1134</v>
      </c>
      <c r="T42" s="286"/>
      <c r="U42" s="1160"/>
      <c r="V42" s="1137"/>
      <c r="W42" s="1137"/>
      <c r="X42" s="1157">
        <v>720</v>
      </c>
      <c r="Y42" s="1128"/>
      <c r="Z42" s="1152"/>
      <c r="AA42" s="1165"/>
      <c r="AB42" s="1170" t="s">
        <v>1134</v>
      </c>
      <c r="AC42" s="286"/>
      <c r="AD42" s="1160"/>
      <c r="AE42" s="1137"/>
      <c r="AF42" s="1137"/>
      <c r="AG42" s="1287">
        <v>720</v>
      </c>
      <c r="AH42" s="1290"/>
      <c r="AI42" s="1290"/>
      <c r="AJ42" s="1289"/>
      <c r="AK42" s="1283" t="s">
        <v>1134</v>
      </c>
      <c r="AL42" s="1153"/>
      <c r="AM42" s="1160"/>
      <c r="AN42" s="1137"/>
      <c r="AO42" s="1137"/>
      <c r="AP42" s="1287">
        <v>720</v>
      </c>
      <c r="AQ42" s="1289"/>
      <c r="AR42" s="1290"/>
      <c r="AS42" s="1283"/>
      <c r="AT42" s="1283" t="s">
        <v>1134</v>
      </c>
    </row>
    <row r="43" spans="1:46" ht="40.5" customHeight="1" x14ac:dyDescent="0.45">
      <c r="A43" s="1351">
        <v>45921</v>
      </c>
      <c r="B43" s="692">
        <v>1</v>
      </c>
      <c r="C43" s="1156"/>
      <c r="D43" s="1156"/>
      <c r="E43" s="1156"/>
      <c r="F43" s="1157">
        <v>720</v>
      </c>
      <c r="G43" s="1139"/>
      <c r="H43" s="1150"/>
      <c r="I43" s="1176"/>
      <c r="J43" s="1170" t="s">
        <v>1134</v>
      </c>
      <c r="K43" s="286"/>
      <c r="L43" s="1160"/>
      <c r="M43" s="1137"/>
      <c r="N43" s="1137"/>
      <c r="O43" s="1157">
        <v>720</v>
      </c>
      <c r="P43" s="1128"/>
      <c r="Q43" s="1152"/>
      <c r="R43" s="1137"/>
      <c r="S43" s="1170" t="s">
        <v>1134</v>
      </c>
      <c r="T43" s="286"/>
      <c r="U43" s="1160"/>
      <c r="V43" s="1137"/>
      <c r="W43" s="1137"/>
      <c r="X43" s="1157">
        <v>720</v>
      </c>
      <c r="Y43" s="1128"/>
      <c r="Z43" s="1152"/>
      <c r="AA43" s="1165"/>
      <c r="AB43" s="1170" t="s">
        <v>1134</v>
      </c>
      <c r="AC43" s="286"/>
      <c r="AD43" s="1160"/>
      <c r="AE43" s="1137"/>
      <c r="AF43" s="1137"/>
      <c r="AG43" s="1287">
        <v>720</v>
      </c>
      <c r="AH43" s="1290"/>
      <c r="AI43" s="1290"/>
      <c r="AJ43" s="1289"/>
      <c r="AK43" s="1283" t="s">
        <v>1134</v>
      </c>
      <c r="AL43" s="1153"/>
      <c r="AM43" s="1160"/>
      <c r="AN43" s="1137"/>
      <c r="AO43" s="1137"/>
      <c r="AP43" s="1287">
        <v>720</v>
      </c>
      <c r="AQ43" s="1289"/>
      <c r="AR43" s="1290"/>
      <c r="AS43" s="1283"/>
      <c r="AT43" s="1283" t="s">
        <v>1134</v>
      </c>
    </row>
    <row r="44" spans="1:46" ht="45.75" customHeight="1" x14ac:dyDescent="0.45">
      <c r="A44" s="1352"/>
      <c r="B44" s="692">
        <v>2</v>
      </c>
      <c r="C44" s="1156"/>
      <c r="D44" s="1156"/>
      <c r="E44" s="1156"/>
      <c r="F44" s="1157">
        <v>720</v>
      </c>
      <c r="G44" s="1139"/>
      <c r="H44" s="1150"/>
      <c r="I44" s="1176"/>
      <c r="J44" s="1170" t="s">
        <v>1134</v>
      </c>
      <c r="K44" s="286"/>
      <c r="L44" s="1160"/>
      <c r="M44" s="1137"/>
      <c r="N44" s="1137"/>
      <c r="O44" s="1157">
        <v>720</v>
      </c>
      <c r="P44" s="1128"/>
      <c r="Q44" s="1152"/>
      <c r="R44" s="1137"/>
      <c r="S44" s="1170" t="s">
        <v>1134</v>
      </c>
      <c r="T44" s="286"/>
      <c r="U44" s="1160"/>
      <c r="V44" s="1137"/>
      <c r="W44" s="1137"/>
      <c r="X44" s="1157">
        <v>720</v>
      </c>
      <c r="Y44" s="1128"/>
      <c r="Z44" s="1152"/>
      <c r="AA44" s="1165"/>
      <c r="AB44" s="1170" t="s">
        <v>1134</v>
      </c>
      <c r="AC44" s="286"/>
      <c r="AD44" s="1160"/>
      <c r="AE44" s="1137"/>
      <c r="AF44" s="1137"/>
      <c r="AG44" s="1287">
        <v>720</v>
      </c>
      <c r="AH44" s="1290"/>
      <c r="AI44" s="1290"/>
      <c r="AJ44" s="1289"/>
      <c r="AK44" s="1283" t="s">
        <v>1134</v>
      </c>
      <c r="AL44" s="1153"/>
      <c r="AM44" s="1160"/>
      <c r="AN44" s="1137"/>
      <c r="AO44" s="1137"/>
      <c r="AP44" s="1287">
        <v>720</v>
      </c>
      <c r="AQ44" s="1289"/>
      <c r="AR44" s="1290"/>
      <c r="AS44" s="1283"/>
      <c r="AT44" s="1283" t="s">
        <v>1134</v>
      </c>
    </row>
    <row r="45" spans="1:46" ht="48.75" customHeight="1" x14ac:dyDescent="0.45">
      <c r="A45" s="1351">
        <v>45922</v>
      </c>
      <c r="B45" s="692">
        <v>1</v>
      </c>
      <c r="C45" s="1156"/>
      <c r="D45" s="1156"/>
      <c r="E45" s="1156"/>
      <c r="F45" s="1157">
        <v>720</v>
      </c>
      <c r="G45" s="1139"/>
      <c r="H45" s="1150"/>
      <c r="I45" s="1176"/>
      <c r="J45" s="1170" t="s">
        <v>1134</v>
      </c>
      <c r="K45" s="286"/>
      <c r="L45" s="1160"/>
      <c r="M45" s="1137"/>
      <c r="N45" s="1137"/>
      <c r="O45" s="1157">
        <v>720</v>
      </c>
      <c r="P45" s="1128"/>
      <c r="Q45" s="1152"/>
      <c r="R45" s="1137"/>
      <c r="S45" s="1170" t="s">
        <v>1134</v>
      </c>
      <c r="T45" s="286"/>
      <c r="U45" s="1160"/>
      <c r="V45" s="1137"/>
      <c r="W45" s="1137"/>
      <c r="X45" s="1157">
        <v>720</v>
      </c>
      <c r="Y45" s="1128"/>
      <c r="Z45" s="1152"/>
      <c r="AA45" s="1165"/>
      <c r="AB45" s="1170" t="s">
        <v>1134</v>
      </c>
      <c r="AC45" s="286"/>
      <c r="AD45" s="1160"/>
      <c r="AE45" s="1137"/>
      <c r="AF45" s="1137"/>
      <c r="AG45" s="1287">
        <v>720</v>
      </c>
      <c r="AH45" s="1290"/>
      <c r="AI45" s="1290"/>
      <c r="AJ45" s="1289"/>
      <c r="AK45" s="1283" t="s">
        <v>1134</v>
      </c>
      <c r="AL45" s="1153"/>
      <c r="AM45" s="1160"/>
      <c r="AN45" s="1137"/>
      <c r="AO45" s="1137"/>
      <c r="AP45" s="1287">
        <v>720</v>
      </c>
      <c r="AQ45" s="1289"/>
      <c r="AR45" s="1290"/>
      <c r="AS45" s="1283"/>
      <c r="AT45" s="1283" t="s">
        <v>1134</v>
      </c>
    </row>
    <row r="46" spans="1:46" ht="48.65" customHeight="1" x14ac:dyDescent="0.45">
      <c r="A46" s="1352"/>
      <c r="B46" s="692">
        <v>2</v>
      </c>
      <c r="C46" s="1156"/>
      <c r="D46" s="1156"/>
      <c r="E46" s="1156"/>
      <c r="F46" s="1157">
        <v>720</v>
      </c>
      <c r="G46" s="1139"/>
      <c r="H46" s="1150"/>
      <c r="I46" s="1176"/>
      <c r="J46" s="1170" t="s">
        <v>1134</v>
      </c>
      <c r="K46" s="286"/>
      <c r="L46" s="1160"/>
      <c r="M46" s="1137"/>
      <c r="N46" s="1137"/>
      <c r="O46" s="1157">
        <v>720</v>
      </c>
      <c r="P46" s="1128"/>
      <c r="Q46" s="1152"/>
      <c r="R46" s="1137"/>
      <c r="S46" s="1170" t="s">
        <v>1134</v>
      </c>
      <c r="T46" s="286"/>
      <c r="U46" s="1160"/>
      <c r="V46" s="1137"/>
      <c r="W46" s="1137"/>
      <c r="X46" s="1157">
        <v>720</v>
      </c>
      <c r="Y46" s="1128"/>
      <c r="Z46" s="1152"/>
      <c r="AA46" s="1165"/>
      <c r="AB46" s="1170" t="s">
        <v>1134</v>
      </c>
      <c r="AC46" s="286"/>
      <c r="AD46" s="1160"/>
      <c r="AE46" s="1137"/>
      <c r="AF46" s="1137"/>
      <c r="AG46" s="1287">
        <v>720</v>
      </c>
      <c r="AH46" s="1290"/>
      <c r="AI46" s="1290"/>
      <c r="AJ46" s="1289"/>
      <c r="AK46" s="1283" t="s">
        <v>1134</v>
      </c>
      <c r="AL46" s="1153"/>
      <c r="AM46" s="1160"/>
      <c r="AN46" s="1137"/>
      <c r="AO46" s="1137"/>
      <c r="AP46" s="1287">
        <v>720</v>
      </c>
      <c r="AQ46" s="1289"/>
      <c r="AR46" s="1290"/>
      <c r="AS46" s="1283"/>
      <c r="AT46" s="1283" t="s">
        <v>1134</v>
      </c>
    </row>
    <row r="47" spans="1:46" ht="43.5" customHeight="1" x14ac:dyDescent="0.45">
      <c r="A47" s="1351">
        <v>45923</v>
      </c>
      <c r="B47" s="692">
        <v>1</v>
      </c>
      <c r="C47" s="1156"/>
      <c r="D47" s="1156"/>
      <c r="E47" s="1156"/>
      <c r="F47" s="1157">
        <v>720</v>
      </c>
      <c r="G47" s="1139"/>
      <c r="H47" s="1150"/>
      <c r="I47" s="1176"/>
      <c r="J47" s="1170" t="s">
        <v>1134</v>
      </c>
      <c r="K47" s="286"/>
      <c r="L47" s="1160"/>
      <c r="M47" s="1137"/>
      <c r="N47" s="1137"/>
      <c r="O47" s="1157">
        <v>720</v>
      </c>
      <c r="P47" s="1128"/>
      <c r="Q47" s="1152"/>
      <c r="R47" s="1137"/>
      <c r="S47" s="1170" t="s">
        <v>1134</v>
      </c>
      <c r="T47" s="286"/>
      <c r="U47" s="1160"/>
      <c r="V47" s="1137"/>
      <c r="W47" s="1137"/>
      <c r="X47" s="1157">
        <v>720</v>
      </c>
      <c r="Y47" s="1128"/>
      <c r="Z47" s="1152"/>
      <c r="AA47" s="1165"/>
      <c r="AB47" s="1170" t="s">
        <v>1134</v>
      </c>
      <c r="AC47" s="286"/>
      <c r="AD47" s="1160"/>
      <c r="AE47" s="1137"/>
      <c r="AF47" s="1137"/>
      <c r="AG47" s="1287">
        <v>720</v>
      </c>
      <c r="AH47" s="1290"/>
      <c r="AI47" s="1290"/>
      <c r="AJ47" s="1289"/>
      <c r="AK47" s="1283" t="s">
        <v>1134</v>
      </c>
      <c r="AL47" s="1153"/>
      <c r="AM47" s="1160"/>
      <c r="AN47" s="1137"/>
      <c r="AO47" s="1137"/>
      <c r="AP47" s="1287">
        <v>720</v>
      </c>
      <c r="AQ47" s="1289"/>
      <c r="AR47" s="1290"/>
      <c r="AS47" s="1283"/>
      <c r="AT47" s="1283" t="s">
        <v>1134</v>
      </c>
    </row>
    <row r="48" spans="1:46" ht="34.950000000000003" customHeight="1" x14ac:dyDescent="0.45">
      <c r="A48" s="1352"/>
      <c r="B48" s="692">
        <v>2</v>
      </c>
      <c r="C48" s="1156"/>
      <c r="D48" s="1156"/>
      <c r="E48" s="1156"/>
      <c r="F48" s="1157">
        <v>720</v>
      </c>
      <c r="G48" s="1139"/>
      <c r="H48" s="1150"/>
      <c r="I48" s="1176"/>
      <c r="J48" s="1170" t="s">
        <v>1134</v>
      </c>
      <c r="K48" s="286"/>
      <c r="L48" s="1160"/>
      <c r="M48" s="1137"/>
      <c r="N48" s="1137"/>
      <c r="O48" s="1157">
        <v>720</v>
      </c>
      <c r="P48" s="1128"/>
      <c r="Q48" s="1152"/>
      <c r="R48" s="1137"/>
      <c r="S48" s="1170" t="s">
        <v>1134</v>
      </c>
      <c r="T48" s="286"/>
      <c r="U48" s="1160"/>
      <c r="V48" s="1137"/>
      <c r="W48" s="1137"/>
      <c r="X48" s="1157">
        <v>720</v>
      </c>
      <c r="Y48" s="1128"/>
      <c r="Z48" s="1152"/>
      <c r="AA48" s="1165"/>
      <c r="AB48" s="1170" t="s">
        <v>1134</v>
      </c>
      <c r="AC48" s="286"/>
      <c r="AD48" s="1160"/>
      <c r="AE48" s="1137"/>
      <c r="AF48" s="1137"/>
      <c r="AG48" s="1287">
        <v>720</v>
      </c>
      <c r="AH48" s="1290"/>
      <c r="AI48" s="1290"/>
      <c r="AJ48" s="1289"/>
      <c r="AK48" s="1283" t="s">
        <v>1134</v>
      </c>
      <c r="AL48" s="1153"/>
      <c r="AM48" s="1160"/>
      <c r="AN48" s="1137"/>
      <c r="AO48" s="1137"/>
      <c r="AP48" s="1287">
        <v>720</v>
      </c>
      <c r="AQ48" s="1289"/>
      <c r="AR48" s="1290"/>
      <c r="AS48" s="1283"/>
      <c r="AT48" s="1283" t="s">
        <v>1134</v>
      </c>
    </row>
    <row r="49" spans="1:46" ht="43.2" customHeight="1" x14ac:dyDescent="0.45">
      <c r="A49" s="1351">
        <v>45924</v>
      </c>
      <c r="B49" s="692">
        <v>1</v>
      </c>
      <c r="C49" s="1156"/>
      <c r="D49" s="1156"/>
      <c r="E49" s="1156"/>
      <c r="F49" s="1157">
        <v>720</v>
      </c>
      <c r="G49" s="1139"/>
      <c r="H49" s="1150"/>
      <c r="I49" s="1176"/>
      <c r="J49" s="1170" t="s">
        <v>1134</v>
      </c>
      <c r="K49" s="286"/>
      <c r="L49" s="1160"/>
      <c r="M49" s="1137"/>
      <c r="N49" s="1137"/>
      <c r="O49" s="1157">
        <v>720</v>
      </c>
      <c r="P49" s="1128"/>
      <c r="Q49" s="1152"/>
      <c r="R49" s="1137"/>
      <c r="S49" s="1170" t="s">
        <v>1134</v>
      </c>
      <c r="T49" s="286"/>
      <c r="U49" s="1160"/>
      <c r="V49" s="1137"/>
      <c r="W49" s="1137"/>
      <c r="X49" s="1157">
        <v>720</v>
      </c>
      <c r="Y49" s="1128"/>
      <c r="Z49" s="1152"/>
      <c r="AA49" s="1165"/>
      <c r="AB49" s="1170" t="s">
        <v>1134</v>
      </c>
      <c r="AC49" s="286"/>
      <c r="AD49" s="1160"/>
      <c r="AE49" s="1137"/>
      <c r="AF49" s="1137"/>
      <c r="AG49" s="1287">
        <v>720</v>
      </c>
      <c r="AH49" s="1290"/>
      <c r="AI49" s="1290"/>
      <c r="AJ49" s="1289"/>
      <c r="AK49" s="1283" t="s">
        <v>1134</v>
      </c>
      <c r="AL49" s="1153"/>
      <c r="AM49" s="1160"/>
      <c r="AN49" s="1137"/>
      <c r="AO49" s="1137"/>
      <c r="AP49" s="1287">
        <v>720</v>
      </c>
      <c r="AQ49" s="1289"/>
      <c r="AR49" s="1290"/>
      <c r="AS49" s="1283"/>
      <c r="AT49" s="1283" t="s">
        <v>1134</v>
      </c>
    </row>
    <row r="50" spans="1:46" ht="51.65" customHeight="1" x14ac:dyDescent="0.45">
      <c r="A50" s="1352"/>
      <c r="B50" s="692">
        <v>2</v>
      </c>
      <c r="C50" s="1156"/>
      <c r="D50" s="1156"/>
      <c r="E50" s="1156"/>
      <c r="F50" s="1157">
        <v>720</v>
      </c>
      <c r="G50" s="1139"/>
      <c r="H50" s="1150"/>
      <c r="I50" s="1176"/>
      <c r="J50" s="1170" t="s">
        <v>1134</v>
      </c>
      <c r="K50" s="286"/>
      <c r="L50" s="1160"/>
      <c r="M50" s="1137"/>
      <c r="N50" s="1137"/>
      <c r="O50" s="1157">
        <v>720</v>
      </c>
      <c r="P50" s="1128"/>
      <c r="Q50" s="1152"/>
      <c r="R50" s="1137"/>
      <c r="S50" s="1170" t="s">
        <v>1134</v>
      </c>
      <c r="T50" s="286"/>
      <c r="U50" s="1160"/>
      <c r="V50" s="1137"/>
      <c r="W50" s="1137"/>
      <c r="X50" s="1157">
        <v>720</v>
      </c>
      <c r="Y50" s="1128"/>
      <c r="Z50" s="1152"/>
      <c r="AA50" s="1165"/>
      <c r="AB50" s="1170" t="s">
        <v>1134</v>
      </c>
      <c r="AC50" s="286"/>
      <c r="AD50" s="1160"/>
      <c r="AE50" s="1137"/>
      <c r="AF50" s="1137"/>
      <c r="AG50" s="1287">
        <v>720</v>
      </c>
      <c r="AH50" s="1290"/>
      <c r="AI50" s="1290"/>
      <c r="AJ50" s="1289"/>
      <c r="AK50" s="1283" t="s">
        <v>1134</v>
      </c>
      <c r="AL50" s="1153"/>
      <c r="AM50" s="1160"/>
      <c r="AN50" s="1137"/>
      <c r="AO50" s="1137"/>
      <c r="AP50" s="1287">
        <v>720</v>
      </c>
      <c r="AQ50" s="1289"/>
      <c r="AR50" s="1290"/>
      <c r="AS50" s="1283"/>
      <c r="AT50" s="1283" t="s">
        <v>1134</v>
      </c>
    </row>
    <row r="51" spans="1:46" ht="34.950000000000003" customHeight="1" x14ac:dyDescent="0.45">
      <c r="A51" s="1351">
        <v>45925</v>
      </c>
      <c r="B51" s="692">
        <v>1</v>
      </c>
      <c r="C51" s="1156"/>
      <c r="D51" s="1156"/>
      <c r="E51" s="1156"/>
      <c r="F51" s="1157">
        <v>720</v>
      </c>
      <c r="G51" s="1139"/>
      <c r="H51" s="1150"/>
      <c r="I51" s="1176"/>
      <c r="J51" s="1170" t="s">
        <v>1134</v>
      </c>
      <c r="K51" s="286"/>
      <c r="L51" s="1160"/>
      <c r="M51" s="1137"/>
      <c r="N51" s="1137"/>
      <c r="O51" s="1157">
        <v>720</v>
      </c>
      <c r="P51" s="1128"/>
      <c r="Q51" s="1152"/>
      <c r="R51" s="1137"/>
      <c r="S51" s="1170" t="s">
        <v>1134</v>
      </c>
      <c r="T51" s="286"/>
      <c r="U51" s="1160"/>
      <c r="V51" s="1137"/>
      <c r="W51" s="1137"/>
      <c r="X51" s="1157">
        <v>720</v>
      </c>
      <c r="Y51" s="1128"/>
      <c r="Z51" s="1152"/>
      <c r="AA51" s="1165"/>
      <c r="AB51" s="1170" t="s">
        <v>1134</v>
      </c>
      <c r="AC51" s="286"/>
      <c r="AD51" s="1160"/>
      <c r="AE51" s="1137"/>
      <c r="AF51" s="1137"/>
      <c r="AG51" s="1287">
        <v>720</v>
      </c>
      <c r="AH51" s="1290"/>
      <c r="AI51" s="1290"/>
      <c r="AJ51" s="1289"/>
      <c r="AK51" s="1283" t="s">
        <v>1134</v>
      </c>
      <c r="AL51" s="1153"/>
      <c r="AM51" s="1160"/>
      <c r="AN51" s="1137"/>
      <c r="AO51" s="1137"/>
      <c r="AP51" s="1287">
        <v>720</v>
      </c>
      <c r="AQ51" s="1289"/>
      <c r="AR51" s="1290"/>
      <c r="AS51" s="1283"/>
      <c r="AT51" s="1283" t="s">
        <v>1134</v>
      </c>
    </row>
    <row r="52" spans="1:46" ht="49.2" customHeight="1" x14ac:dyDescent="0.45">
      <c r="A52" s="1352"/>
      <c r="B52" s="692">
        <v>2</v>
      </c>
      <c r="C52" s="1156"/>
      <c r="D52" s="1156"/>
      <c r="E52" s="1156"/>
      <c r="F52" s="1157">
        <v>720</v>
      </c>
      <c r="G52" s="1139"/>
      <c r="H52" s="1150"/>
      <c r="I52" s="1176"/>
      <c r="J52" s="1170" t="s">
        <v>1134</v>
      </c>
      <c r="K52" s="286"/>
      <c r="L52" s="1160"/>
      <c r="M52" s="1137"/>
      <c r="N52" s="1137"/>
      <c r="O52" s="1157">
        <v>720</v>
      </c>
      <c r="P52" s="1128"/>
      <c r="Q52" s="1152"/>
      <c r="R52" s="1137"/>
      <c r="S52" s="1170" t="s">
        <v>1134</v>
      </c>
      <c r="T52" s="286"/>
      <c r="U52" s="1160"/>
      <c r="V52" s="1137"/>
      <c r="W52" s="1137"/>
      <c r="X52" s="1157">
        <v>720</v>
      </c>
      <c r="Y52" s="1128"/>
      <c r="Z52" s="1152"/>
      <c r="AA52" s="1165"/>
      <c r="AB52" s="1170" t="s">
        <v>1134</v>
      </c>
      <c r="AC52" s="286"/>
      <c r="AD52" s="1160"/>
      <c r="AE52" s="1137"/>
      <c r="AF52" s="1137"/>
      <c r="AG52" s="1287">
        <v>720</v>
      </c>
      <c r="AH52" s="1290"/>
      <c r="AI52" s="1290"/>
      <c r="AJ52" s="1289"/>
      <c r="AK52" s="1283" t="s">
        <v>1134</v>
      </c>
      <c r="AL52" s="1153"/>
      <c r="AM52" s="1160"/>
      <c r="AN52" s="1137"/>
      <c r="AO52" s="1137"/>
      <c r="AP52" s="1287">
        <v>720</v>
      </c>
      <c r="AQ52" s="1289"/>
      <c r="AR52" s="1290"/>
      <c r="AS52" s="1283"/>
      <c r="AT52" s="1283" t="s">
        <v>1134</v>
      </c>
    </row>
    <row r="53" spans="1:46" ht="48" customHeight="1" x14ac:dyDescent="0.45">
      <c r="A53" s="1351">
        <v>45926</v>
      </c>
      <c r="B53" s="692">
        <v>1</v>
      </c>
      <c r="C53" s="1156"/>
      <c r="D53" s="1156"/>
      <c r="E53" s="1156"/>
      <c r="F53" s="1157">
        <v>720</v>
      </c>
      <c r="G53" s="1139"/>
      <c r="H53" s="1150"/>
      <c r="I53" s="1176"/>
      <c r="J53" s="1170" t="s">
        <v>1134</v>
      </c>
      <c r="K53" s="286"/>
      <c r="L53" s="1160"/>
      <c r="M53" s="1137"/>
      <c r="N53" s="1137"/>
      <c r="O53" s="1157">
        <v>720</v>
      </c>
      <c r="P53" s="1128"/>
      <c r="Q53" s="1152"/>
      <c r="R53" s="1137"/>
      <c r="S53" s="1170" t="s">
        <v>1134</v>
      </c>
      <c r="T53" s="286"/>
      <c r="U53" s="1160"/>
      <c r="V53" s="1137"/>
      <c r="W53" s="1137"/>
      <c r="X53" s="1157">
        <v>720</v>
      </c>
      <c r="Y53" s="1128"/>
      <c r="Z53" s="1152"/>
      <c r="AA53" s="1165"/>
      <c r="AB53" s="1170" t="s">
        <v>1134</v>
      </c>
      <c r="AC53" s="286"/>
      <c r="AD53" s="1160"/>
      <c r="AE53" s="1137"/>
      <c r="AF53" s="1137"/>
      <c r="AG53" s="1287">
        <v>720</v>
      </c>
      <c r="AH53" s="1290"/>
      <c r="AI53" s="1290"/>
      <c r="AJ53" s="1289"/>
      <c r="AK53" s="1283" t="s">
        <v>1134</v>
      </c>
      <c r="AL53" s="1153"/>
      <c r="AM53" s="1160"/>
      <c r="AN53" s="1137"/>
      <c r="AO53" s="1137"/>
      <c r="AP53" s="1287">
        <v>720</v>
      </c>
      <c r="AQ53" s="1289"/>
      <c r="AR53" s="1290"/>
      <c r="AS53" s="1283"/>
      <c r="AT53" s="1283" t="s">
        <v>1134</v>
      </c>
    </row>
    <row r="54" spans="1:46" ht="45.65" customHeight="1" x14ac:dyDescent="0.45">
      <c r="A54" s="1352"/>
      <c r="B54" s="725">
        <v>2</v>
      </c>
      <c r="C54" s="1156"/>
      <c r="D54" s="1156"/>
      <c r="E54" s="1156"/>
      <c r="F54" s="1157">
        <v>429</v>
      </c>
      <c r="G54" s="1140"/>
      <c r="H54" s="1150"/>
      <c r="I54" s="1141"/>
      <c r="J54" s="1170" t="s">
        <v>1135</v>
      </c>
      <c r="K54" s="286"/>
      <c r="L54" s="1160"/>
      <c r="M54" s="1137"/>
      <c r="N54" s="1137"/>
      <c r="O54" s="1157">
        <v>443</v>
      </c>
      <c r="P54" s="1140"/>
      <c r="Q54" s="1150"/>
      <c r="R54" s="1140"/>
      <c r="S54" s="1170" t="s">
        <v>1135</v>
      </c>
      <c r="T54" s="286"/>
      <c r="U54" s="1160"/>
      <c r="V54" s="1137"/>
      <c r="W54" s="1137"/>
      <c r="X54" s="1157">
        <v>433</v>
      </c>
      <c r="Y54" s="1150"/>
      <c r="Z54" s="1150"/>
      <c r="AA54" s="1165"/>
      <c r="AB54" s="1170" t="s">
        <v>1135</v>
      </c>
      <c r="AC54" s="286"/>
      <c r="AD54" s="1160">
        <v>720</v>
      </c>
      <c r="AE54" s="1137"/>
      <c r="AF54" s="1137"/>
      <c r="AG54" s="1203"/>
      <c r="AH54" s="1289" t="s">
        <v>45</v>
      </c>
      <c r="AI54" s="1283"/>
      <c r="AJ54" s="1290"/>
      <c r="AK54" s="1283"/>
      <c r="AL54" s="1153"/>
      <c r="AM54" s="1160">
        <v>241</v>
      </c>
      <c r="AN54" s="1184">
        <v>48</v>
      </c>
      <c r="AO54" s="1161"/>
      <c r="AP54" s="1203">
        <v>399</v>
      </c>
      <c r="AQ54" s="1290" t="s">
        <v>45</v>
      </c>
      <c r="AR54" s="1283" t="s">
        <v>317</v>
      </c>
      <c r="AS54" s="1283"/>
      <c r="AT54" s="1283" t="s">
        <v>1135</v>
      </c>
    </row>
    <row r="55" spans="1:46" ht="39.65" customHeight="1" x14ac:dyDescent="0.45">
      <c r="A55" s="1351">
        <v>45927</v>
      </c>
      <c r="B55" s="692">
        <v>1</v>
      </c>
      <c r="C55" s="1155"/>
      <c r="D55" s="1156"/>
      <c r="E55" s="1156"/>
      <c r="F55" s="1157"/>
      <c r="G55" s="1140"/>
      <c r="H55" s="1140"/>
      <c r="I55" s="1141"/>
      <c r="J55" s="1148"/>
      <c r="K55" s="286"/>
      <c r="L55" s="1160"/>
      <c r="M55" s="1137"/>
      <c r="N55" s="1137"/>
      <c r="O55" s="1148"/>
      <c r="P55" s="1128"/>
      <c r="Q55" s="1150"/>
      <c r="R55" s="1137"/>
      <c r="S55" s="1148"/>
      <c r="T55" s="286"/>
      <c r="U55" s="1160"/>
      <c r="V55" s="1137"/>
      <c r="W55" s="1137">
        <v>5</v>
      </c>
      <c r="X55" s="1148"/>
      <c r="Y55" s="1128"/>
      <c r="Z55" s="1140"/>
      <c r="AA55" s="1165" t="s">
        <v>388</v>
      </c>
      <c r="AB55" s="1148"/>
      <c r="AC55" s="286"/>
      <c r="AD55" s="1160">
        <v>720</v>
      </c>
      <c r="AE55" s="1137"/>
      <c r="AF55" s="1137"/>
      <c r="AG55" s="1203"/>
      <c r="AH55" s="1289" t="s">
        <v>45</v>
      </c>
      <c r="AI55" s="1283"/>
      <c r="AJ55" s="1290"/>
      <c r="AK55" s="1289"/>
      <c r="AL55" s="1153"/>
      <c r="AM55" s="1160"/>
      <c r="AN55" s="1184"/>
      <c r="AO55" s="1137"/>
      <c r="AP55" s="1203"/>
      <c r="AQ55" s="1289"/>
      <c r="AR55" s="1283"/>
      <c r="AS55" s="1283"/>
      <c r="AT55" s="1283"/>
    </row>
    <row r="56" spans="1:46" ht="47.25" customHeight="1" x14ac:dyDescent="0.45">
      <c r="A56" s="1352"/>
      <c r="B56" s="725">
        <v>2</v>
      </c>
      <c r="C56" s="1155"/>
      <c r="D56" s="1156"/>
      <c r="E56" s="1156"/>
      <c r="F56" s="1157"/>
      <c r="G56" s="1150"/>
      <c r="H56" s="1150"/>
      <c r="I56" s="1141"/>
      <c r="J56" s="1170"/>
      <c r="K56" s="286"/>
      <c r="L56" s="1160"/>
      <c r="M56" s="1137"/>
      <c r="N56" s="1137"/>
      <c r="O56" s="1157"/>
      <c r="P56" s="1150"/>
      <c r="Q56" s="1140"/>
      <c r="R56" s="1150"/>
      <c r="S56" s="1170"/>
      <c r="T56" s="286"/>
      <c r="U56" s="1160"/>
      <c r="V56" s="1137"/>
      <c r="W56" s="1137"/>
      <c r="X56" s="1157"/>
      <c r="Y56" s="1149"/>
      <c r="Z56" s="1140"/>
      <c r="AA56" s="1165"/>
      <c r="AB56" s="1170"/>
      <c r="AC56" s="286"/>
      <c r="AD56" s="1160">
        <v>720</v>
      </c>
      <c r="AE56" s="1137"/>
      <c r="AF56" s="1137"/>
      <c r="AG56" s="1287"/>
      <c r="AH56" s="1289" t="s">
        <v>45</v>
      </c>
      <c r="AI56" s="1282"/>
      <c r="AJ56" s="1283"/>
      <c r="AK56" s="1283"/>
      <c r="AL56" s="1153"/>
      <c r="AM56" s="1160"/>
      <c r="AN56" s="1184"/>
      <c r="AO56" s="1137"/>
      <c r="AP56" s="1203"/>
      <c r="AQ56" s="1283"/>
      <c r="AR56" s="1283"/>
      <c r="AS56" s="1289"/>
      <c r="AT56" s="1283"/>
    </row>
    <row r="57" spans="1:46" ht="47.25" customHeight="1" x14ac:dyDescent="0.45">
      <c r="A57" s="1351">
        <v>45928</v>
      </c>
      <c r="B57" s="725">
        <v>1</v>
      </c>
      <c r="C57" s="1155"/>
      <c r="D57" s="1156"/>
      <c r="E57" s="1156"/>
      <c r="F57" s="1157"/>
      <c r="G57" s="1150"/>
      <c r="H57" s="1150"/>
      <c r="I57" s="1141"/>
      <c r="J57" s="1170"/>
      <c r="K57" s="286"/>
      <c r="L57" s="1160"/>
      <c r="M57" s="1137"/>
      <c r="N57" s="1137"/>
      <c r="O57" s="1157"/>
      <c r="P57" s="1150"/>
      <c r="Q57" s="1140"/>
      <c r="R57" s="1150"/>
      <c r="S57" s="1170"/>
      <c r="T57" s="286"/>
      <c r="U57" s="1160"/>
      <c r="V57" s="1137">
        <v>16</v>
      </c>
      <c r="W57" s="1137">
        <v>15</v>
      </c>
      <c r="X57" s="1157"/>
      <c r="Y57" s="1149"/>
      <c r="Z57" s="1140" t="s">
        <v>1136</v>
      </c>
      <c r="AA57" s="1165" t="s">
        <v>578</v>
      </c>
      <c r="AB57" s="1170"/>
      <c r="AC57" s="286"/>
      <c r="AD57" s="1160">
        <v>720</v>
      </c>
      <c r="AE57" s="1137"/>
      <c r="AF57" s="1137"/>
      <c r="AG57" s="1287"/>
      <c r="AH57" s="1289" t="s">
        <v>45</v>
      </c>
      <c r="AI57" s="1282"/>
      <c r="AJ57" s="1283"/>
      <c r="AK57" s="1283"/>
      <c r="AL57" s="1153"/>
      <c r="AM57" s="1160">
        <v>720</v>
      </c>
      <c r="AN57" s="1184"/>
      <c r="AO57" s="1137"/>
      <c r="AP57" s="1203"/>
      <c r="AQ57" s="1283" t="s">
        <v>45</v>
      </c>
      <c r="AR57" s="1283"/>
      <c r="AS57" s="1289"/>
      <c r="AT57" s="1283"/>
    </row>
    <row r="58" spans="1:46" ht="47.25" customHeight="1" x14ac:dyDescent="0.45">
      <c r="A58" s="1352"/>
      <c r="B58" s="725">
        <v>2</v>
      </c>
      <c r="C58" s="1155"/>
      <c r="D58" s="1156">
        <v>39</v>
      </c>
      <c r="E58" s="1156"/>
      <c r="F58" s="1157"/>
      <c r="G58" s="1150"/>
      <c r="H58" s="1150" t="s">
        <v>317</v>
      </c>
      <c r="I58" s="1141"/>
      <c r="J58" s="1170"/>
      <c r="K58" s="286"/>
      <c r="L58" s="1160"/>
      <c r="M58" s="1137"/>
      <c r="N58" s="1137"/>
      <c r="O58" s="1157"/>
      <c r="P58" s="1150"/>
      <c r="Q58" s="1140"/>
      <c r="R58" s="1150"/>
      <c r="S58" s="1170"/>
      <c r="T58" s="286"/>
      <c r="U58" s="1160"/>
      <c r="V58" s="1137"/>
      <c r="W58" s="1137"/>
      <c r="X58" s="1157"/>
      <c r="Y58" s="1149"/>
      <c r="Z58" s="1140"/>
      <c r="AA58" s="1165"/>
      <c r="AB58" s="1170"/>
      <c r="AC58" s="286"/>
      <c r="AD58" s="1160">
        <v>720</v>
      </c>
      <c r="AE58" s="1137"/>
      <c r="AF58" s="1137"/>
      <c r="AG58" s="1287"/>
      <c r="AH58" s="1289" t="s">
        <v>45</v>
      </c>
      <c r="AI58" s="1282"/>
      <c r="AJ58" s="1283"/>
      <c r="AK58" s="1283"/>
      <c r="AL58" s="1153"/>
      <c r="AM58" s="1160">
        <v>240</v>
      </c>
      <c r="AN58" s="1184"/>
      <c r="AO58" s="1137"/>
      <c r="AP58" s="1203"/>
      <c r="AQ58" s="1283" t="s">
        <v>45</v>
      </c>
      <c r="AR58" s="1283"/>
      <c r="AS58" s="1289"/>
      <c r="AT58" s="1283"/>
    </row>
    <row r="59" spans="1:46" ht="47.25" customHeight="1" x14ac:dyDescent="0.45">
      <c r="A59" s="1351">
        <v>45929</v>
      </c>
      <c r="B59" s="725">
        <v>1</v>
      </c>
      <c r="C59" s="1155"/>
      <c r="D59" s="1156"/>
      <c r="E59" s="1156"/>
      <c r="F59" s="1157"/>
      <c r="G59" s="1150"/>
      <c r="H59" s="1150"/>
      <c r="I59" s="1141"/>
      <c r="J59" s="1170"/>
      <c r="K59" s="286"/>
      <c r="L59" s="1160"/>
      <c r="M59" s="1137"/>
      <c r="N59" s="1137"/>
      <c r="O59" s="1157"/>
      <c r="P59" s="1150"/>
      <c r="Q59" s="1140"/>
      <c r="R59" s="1150"/>
      <c r="S59" s="1170"/>
      <c r="T59" s="286"/>
      <c r="U59" s="1160"/>
      <c r="V59" s="1137"/>
      <c r="W59" s="1137">
        <v>5</v>
      </c>
      <c r="X59" s="1157"/>
      <c r="Y59" s="1149"/>
      <c r="Z59" s="1140"/>
      <c r="AA59" s="1165" t="s">
        <v>578</v>
      </c>
      <c r="AB59" s="1170"/>
      <c r="AC59" s="286"/>
      <c r="AD59" s="1160">
        <v>720</v>
      </c>
      <c r="AE59" s="1137"/>
      <c r="AF59" s="1137"/>
      <c r="AG59" s="1287"/>
      <c r="AH59" s="1289" t="s">
        <v>45</v>
      </c>
      <c r="AI59" s="1282"/>
      <c r="AJ59" s="1283"/>
      <c r="AK59" s="1283"/>
      <c r="AL59" s="1153"/>
      <c r="AM59" s="1160">
        <v>11</v>
      </c>
      <c r="AN59" s="1184">
        <v>6</v>
      </c>
      <c r="AO59" s="1137"/>
      <c r="AP59" s="1203"/>
      <c r="AQ59" s="1283" t="s">
        <v>97</v>
      </c>
      <c r="AR59" s="1283" t="s">
        <v>317</v>
      </c>
      <c r="AS59" s="1289"/>
      <c r="AT59" s="1283"/>
    </row>
    <row r="60" spans="1:46" ht="47.25" customHeight="1" x14ac:dyDescent="0.45">
      <c r="A60" s="1352"/>
      <c r="B60" s="725">
        <v>2</v>
      </c>
      <c r="C60" s="1155"/>
      <c r="D60" s="1156"/>
      <c r="E60" s="1156"/>
      <c r="F60" s="1157"/>
      <c r="G60" s="1150"/>
      <c r="H60" s="1150"/>
      <c r="I60" s="1141"/>
      <c r="J60" s="1170"/>
      <c r="K60" s="286"/>
      <c r="L60" s="1160"/>
      <c r="M60" s="1137"/>
      <c r="N60" s="1137"/>
      <c r="O60" s="1157"/>
      <c r="P60" s="1150"/>
      <c r="Q60" s="1140"/>
      <c r="R60" s="1150"/>
      <c r="S60" s="1170"/>
      <c r="T60" s="286"/>
      <c r="U60" s="1160"/>
      <c r="V60" s="1137"/>
      <c r="W60" s="1137"/>
      <c r="X60" s="1157"/>
      <c r="Y60" s="1149"/>
      <c r="Z60" s="1140"/>
      <c r="AA60" s="1165"/>
      <c r="AB60" s="1170"/>
      <c r="AC60" s="286"/>
      <c r="AD60" s="1160">
        <v>720</v>
      </c>
      <c r="AE60" s="1137"/>
      <c r="AF60" s="1137"/>
      <c r="AG60" s="1287"/>
      <c r="AH60" s="1289" t="s">
        <v>45</v>
      </c>
      <c r="AI60" s="1282"/>
      <c r="AJ60" s="1283"/>
      <c r="AK60" s="1283"/>
      <c r="AL60" s="1153"/>
      <c r="AM60" s="1160"/>
      <c r="AN60" s="1184"/>
      <c r="AO60" s="1137"/>
      <c r="AP60" s="1203"/>
      <c r="AQ60" s="1283"/>
      <c r="AR60" s="1283"/>
      <c r="AS60" s="1289"/>
      <c r="AT60" s="1283"/>
    </row>
    <row r="61" spans="1:46" ht="47.25" customHeight="1" x14ac:dyDescent="0.45">
      <c r="A61" s="1351">
        <v>45930</v>
      </c>
      <c r="B61" s="725">
        <v>1</v>
      </c>
      <c r="C61" s="1155"/>
      <c r="D61" s="1156"/>
      <c r="E61" s="1156"/>
      <c r="F61" s="1157">
        <v>122</v>
      </c>
      <c r="G61" s="1150"/>
      <c r="H61" s="1150"/>
      <c r="I61" s="1141"/>
      <c r="J61" s="1170" t="s">
        <v>1134</v>
      </c>
      <c r="K61" s="286"/>
      <c r="L61" s="1160"/>
      <c r="M61" s="1137"/>
      <c r="N61" s="1137"/>
      <c r="O61" s="1157">
        <v>111</v>
      </c>
      <c r="P61" s="1150"/>
      <c r="Q61" s="1140"/>
      <c r="R61" s="1150"/>
      <c r="S61" s="1170" t="s">
        <v>1134</v>
      </c>
      <c r="T61" s="286"/>
      <c r="U61" s="1160">
        <v>15</v>
      </c>
      <c r="V61" s="1137"/>
      <c r="W61" s="1137">
        <v>13</v>
      </c>
      <c r="X61" s="1157">
        <v>116</v>
      </c>
      <c r="Y61" s="1149" t="s">
        <v>97</v>
      </c>
      <c r="Z61" s="1140"/>
      <c r="AA61" s="1165" t="s">
        <v>578</v>
      </c>
      <c r="AB61" s="1170" t="s">
        <v>1134</v>
      </c>
      <c r="AC61" s="286"/>
      <c r="AD61" s="1160">
        <v>720</v>
      </c>
      <c r="AE61" s="1137"/>
      <c r="AF61" s="1137"/>
      <c r="AG61" s="1287"/>
      <c r="AH61" s="1289" t="s">
        <v>45</v>
      </c>
      <c r="AI61" s="1282"/>
      <c r="AJ61" s="1283"/>
      <c r="AK61" s="1283"/>
      <c r="AL61" s="1153"/>
      <c r="AM61" s="1160"/>
      <c r="AN61" s="1184"/>
      <c r="AO61" s="1137"/>
      <c r="AP61" s="1203">
        <v>124</v>
      </c>
      <c r="AQ61" s="1283"/>
      <c r="AR61" s="1283"/>
      <c r="AS61" s="1289"/>
      <c r="AT61" s="1283" t="s">
        <v>1134</v>
      </c>
    </row>
    <row r="62" spans="1:46" ht="47.25" customHeight="1" x14ac:dyDescent="0.45">
      <c r="A62" s="1352"/>
      <c r="B62" s="725">
        <v>2</v>
      </c>
      <c r="C62" s="1155"/>
      <c r="D62" s="1156">
        <v>8</v>
      </c>
      <c r="E62" s="1156"/>
      <c r="F62" s="1157"/>
      <c r="G62" s="1150"/>
      <c r="H62" s="1150" t="s">
        <v>1137</v>
      </c>
      <c r="I62" s="1141"/>
      <c r="J62" s="1170"/>
      <c r="K62" s="286"/>
      <c r="L62" s="1160"/>
      <c r="M62" s="1137"/>
      <c r="N62" s="1137"/>
      <c r="O62" s="1157"/>
      <c r="P62" s="1150"/>
      <c r="Q62" s="1140"/>
      <c r="R62" s="1150"/>
      <c r="S62" s="1170"/>
      <c r="T62" s="286"/>
      <c r="U62" s="1160"/>
      <c r="V62" s="1137">
        <v>36</v>
      </c>
      <c r="W62" s="1137"/>
      <c r="X62" s="1157"/>
      <c r="Y62" s="1149"/>
      <c r="Z62" s="1140" t="s">
        <v>348</v>
      </c>
      <c r="AA62" s="1165"/>
      <c r="AB62" s="1170"/>
      <c r="AC62" s="286"/>
      <c r="AD62" s="1160">
        <v>720</v>
      </c>
      <c r="AE62" s="1137"/>
      <c r="AF62" s="1137"/>
      <c r="AG62" s="1287"/>
      <c r="AH62" s="1289" t="s">
        <v>45</v>
      </c>
      <c r="AI62" s="1282"/>
      <c r="AJ62" s="1283"/>
      <c r="AK62" s="1283"/>
      <c r="AL62" s="1153"/>
      <c r="AM62" s="1160"/>
      <c r="AN62" s="1184"/>
      <c r="AO62" s="1137"/>
      <c r="AP62" s="1203"/>
      <c r="AQ62" s="1283"/>
      <c r="AR62" s="1283"/>
      <c r="AS62" s="1289"/>
      <c r="AT62" s="1283"/>
    </row>
    <row r="63" spans="1:46" ht="18" x14ac:dyDescent="0.45">
      <c r="A63" s="255" t="s">
        <v>225</v>
      </c>
      <c r="B63" s="354"/>
      <c r="C63" s="757">
        <f>SUM(C3:C62)</f>
        <v>160</v>
      </c>
      <c r="D63" s="354">
        <f>SUM(D3:D62)</f>
        <v>55</v>
      </c>
      <c r="E63" s="757">
        <f>SUM(E3:E62)</f>
        <v>113</v>
      </c>
      <c r="F63" s="354">
        <f>SUM(F3:F62)</f>
        <v>19587</v>
      </c>
      <c r="G63" s="255"/>
      <c r="H63" s="255"/>
      <c r="I63" s="255"/>
      <c r="J63" s="255"/>
      <c r="K63" s="255"/>
      <c r="L63" s="354">
        <f>SUM(L3:L62)</f>
        <v>438</v>
      </c>
      <c r="M63" s="354">
        <f>SUM(M3:M62)</f>
        <v>0</v>
      </c>
      <c r="N63" s="354">
        <f>SUM(N3:N62)</f>
        <v>0</v>
      </c>
      <c r="O63" s="354">
        <f>SUM(O3:O62)</f>
        <v>19569</v>
      </c>
      <c r="P63" s="255"/>
      <c r="Q63" s="255"/>
      <c r="R63" s="255"/>
      <c r="S63" s="255"/>
      <c r="T63" s="255"/>
      <c r="U63" s="354">
        <f>SUM(U3:U62)</f>
        <v>15</v>
      </c>
      <c r="V63" s="354">
        <f>SUM(V3:V62)</f>
        <v>107</v>
      </c>
      <c r="W63" s="354">
        <f>SUM(W3:W62)</f>
        <v>142</v>
      </c>
      <c r="X63" s="354">
        <f>SUM(X3:X62)</f>
        <v>19567</v>
      </c>
      <c r="Y63" s="255"/>
      <c r="Z63" s="255"/>
      <c r="AA63" s="255"/>
      <c r="AB63" s="255"/>
      <c r="AC63" s="255"/>
      <c r="AD63" s="354">
        <f>SUM(AD3:AD62)</f>
        <v>8034</v>
      </c>
      <c r="AE63" s="354">
        <f>SUM(AE3:AE62)</f>
        <v>0</v>
      </c>
      <c r="AF63" s="354">
        <f>SUM(AF3:AF62)</f>
        <v>0</v>
      </c>
      <c r="AG63" s="354">
        <f>SUM(AG3:AG62)</f>
        <v>18860</v>
      </c>
      <c r="AH63" s="255"/>
      <c r="AI63" s="255"/>
      <c r="AJ63" s="255"/>
      <c r="AK63" s="255"/>
      <c r="AL63" s="255"/>
      <c r="AM63" s="354">
        <f>SUM(AM3:AM62)</f>
        <v>1212</v>
      </c>
      <c r="AN63" s="354">
        <f>SUM(AN3:AN62)</f>
        <v>54</v>
      </c>
      <c r="AO63" s="354">
        <f>SUM(AO3:AO62)</f>
        <v>10</v>
      </c>
      <c r="AP63" s="354">
        <f>SUM(AP3:AP62)</f>
        <v>27165</v>
      </c>
      <c r="AQ63" s="255"/>
      <c r="AR63" s="255"/>
      <c r="AS63" s="255"/>
      <c r="AT63" s="255"/>
    </row>
    <row r="71" spans="2:10" ht="14.6" thickBot="1" x14ac:dyDescent="0.4"/>
    <row r="72" spans="2:10" ht="18.45" thickBot="1" x14ac:dyDescent="0.5">
      <c r="B72" s="354"/>
      <c r="C72" s="1349" t="s">
        <v>199</v>
      </c>
      <c r="D72" s="1350"/>
      <c r="E72" s="1347" t="s">
        <v>200</v>
      </c>
      <c r="F72" s="1348"/>
      <c r="G72" s="1349" t="s">
        <v>201</v>
      </c>
      <c r="H72" s="1350"/>
      <c r="I72" s="1349" t="s">
        <v>204</v>
      </c>
      <c r="J72" s="1350"/>
    </row>
    <row r="73" spans="2:10" ht="18.45" thickBot="1" x14ac:dyDescent="0.5">
      <c r="B73" s="354"/>
      <c r="C73" s="552" t="s">
        <v>222</v>
      </c>
      <c r="D73" s="553" t="s">
        <v>223</v>
      </c>
      <c r="E73" s="554" t="s">
        <v>222</v>
      </c>
      <c r="F73" s="555" t="s">
        <v>223</v>
      </c>
      <c r="G73" s="552" t="s">
        <v>222</v>
      </c>
      <c r="H73" s="553" t="s">
        <v>223</v>
      </c>
      <c r="I73" s="552" t="s">
        <v>222</v>
      </c>
      <c r="J73" s="553" t="s">
        <v>223</v>
      </c>
    </row>
    <row r="74" spans="2:10" ht="18" x14ac:dyDescent="0.4">
      <c r="B74" s="541" t="s">
        <v>218</v>
      </c>
      <c r="C74" s="542">
        <f>C63</f>
        <v>160</v>
      </c>
      <c r="D74" s="543">
        <f>C74/60</f>
        <v>2.6666666666666665</v>
      </c>
      <c r="E74" s="542">
        <f>D63</f>
        <v>55</v>
      </c>
      <c r="F74" s="544">
        <f>E74/60</f>
        <v>0.91666666666666663</v>
      </c>
      <c r="G74" s="542">
        <f>E63</f>
        <v>113</v>
      </c>
      <c r="H74" s="543">
        <f>G74/60</f>
        <v>1.8833333333333333</v>
      </c>
      <c r="I74" s="542">
        <f>F63</f>
        <v>19587</v>
      </c>
      <c r="J74" s="543">
        <f>I74/60</f>
        <v>326.45</v>
      </c>
    </row>
    <row r="75" spans="2:10" ht="18" x14ac:dyDescent="0.4">
      <c r="B75" s="541" t="s">
        <v>219</v>
      </c>
      <c r="C75" s="545">
        <f>L63</f>
        <v>438</v>
      </c>
      <c r="D75" s="546">
        <f>C75/60</f>
        <v>7.3</v>
      </c>
      <c r="E75" s="545">
        <f>M63</f>
        <v>0</v>
      </c>
      <c r="F75" s="547">
        <f>E75/60</f>
        <v>0</v>
      </c>
      <c r="G75" s="545">
        <f>N63</f>
        <v>0</v>
      </c>
      <c r="H75" s="546">
        <f>G75/60</f>
        <v>0</v>
      </c>
      <c r="I75" s="545">
        <f>O63</f>
        <v>19569</v>
      </c>
      <c r="J75" s="546">
        <f>I75/60</f>
        <v>326.14999999999998</v>
      </c>
    </row>
    <row r="76" spans="2:10" ht="18" x14ac:dyDescent="0.4">
      <c r="B76" s="541" t="s">
        <v>220</v>
      </c>
      <c r="C76" s="545">
        <f>U63</f>
        <v>15</v>
      </c>
      <c r="D76" s="546">
        <f>C76/60</f>
        <v>0.25</v>
      </c>
      <c r="E76" s="545">
        <f>V63</f>
        <v>107</v>
      </c>
      <c r="F76" s="547">
        <f>E76/60</f>
        <v>1.7833333333333334</v>
      </c>
      <c r="G76" s="545">
        <f>W63</f>
        <v>142</v>
      </c>
      <c r="H76" s="546">
        <f>G76/60</f>
        <v>2.3666666666666667</v>
      </c>
      <c r="I76" s="545">
        <f>X63</f>
        <v>19567</v>
      </c>
      <c r="J76" s="546">
        <f>I76/60</f>
        <v>326.11666666666667</v>
      </c>
    </row>
    <row r="77" spans="2:10" ht="18.45" thickBot="1" x14ac:dyDescent="0.45">
      <c r="B77" s="541" t="s">
        <v>221</v>
      </c>
      <c r="C77" s="548">
        <f>AD63</f>
        <v>8034</v>
      </c>
      <c r="D77" s="549">
        <f>C77/60</f>
        <v>133.9</v>
      </c>
      <c r="E77" s="548">
        <f>AE63</f>
        <v>0</v>
      </c>
      <c r="F77" s="550">
        <f>E77/60</f>
        <v>0</v>
      </c>
      <c r="G77" s="548">
        <f>AF63</f>
        <v>0</v>
      </c>
      <c r="H77" s="549">
        <f>G77/60</f>
        <v>0</v>
      </c>
      <c r="I77" s="548">
        <f>AG63</f>
        <v>18860</v>
      </c>
      <c r="J77" s="549">
        <f>I77/60</f>
        <v>314.33333333333331</v>
      </c>
    </row>
    <row r="78" spans="2:10" ht="18.45" thickBot="1" x14ac:dyDescent="0.45">
      <c r="B78" s="541" t="s">
        <v>488</v>
      </c>
      <c r="C78" s="643">
        <f>AM63</f>
        <v>1212</v>
      </c>
      <c r="D78" s="642">
        <f>C78/60</f>
        <v>20.2</v>
      </c>
      <c r="E78" s="643">
        <f>AN63</f>
        <v>54</v>
      </c>
      <c r="F78" s="644">
        <f>E78/60</f>
        <v>0.9</v>
      </c>
      <c r="G78" s="643">
        <f>AO63</f>
        <v>10</v>
      </c>
      <c r="H78" s="642">
        <f>G78/60</f>
        <v>0.16666666666666666</v>
      </c>
      <c r="I78" s="643">
        <f>AP63</f>
        <v>27165</v>
      </c>
      <c r="J78" s="642">
        <f>I78/60</f>
        <v>452.75</v>
      </c>
    </row>
    <row r="79" spans="2:10" ht="18.45" thickBot="1" x14ac:dyDescent="0.5">
      <c r="B79" s="354"/>
      <c r="C79" s="255"/>
      <c r="D79" s="255"/>
      <c r="E79" s="255"/>
      <c r="F79" s="255"/>
      <c r="G79" s="255"/>
      <c r="H79" s="255"/>
      <c r="I79" s="255"/>
      <c r="J79" s="255"/>
    </row>
    <row r="80" spans="2:10" ht="18.45" thickBot="1" x14ac:dyDescent="0.5">
      <c r="B80" s="551" t="s">
        <v>217</v>
      </c>
      <c r="C80" s="556"/>
      <c r="D80" s="557">
        <f>SUM(D74:D78)</f>
        <v>164.31666666666666</v>
      </c>
      <c r="E80" s="556"/>
      <c r="F80" s="557">
        <f>SUM(F74:F78)</f>
        <v>3.6</v>
      </c>
      <c r="G80" s="556"/>
      <c r="H80" s="557">
        <f>SUM(H74:H78)</f>
        <v>4.416666666666667</v>
      </c>
      <c r="I80" s="556"/>
      <c r="J80" s="558">
        <f>AVERAGE(J74:J78)</f>
        <v>349.15999999999997</v>
      </c>
    </row>
  </sheetData>
  <mergeCells count="44">
    <mergeCell ref="A5:A6"/>
    <mergeCell ref="C1:F1"/>
    <mergeCell ref="G1:J1"/>
    <mergeCell ref="L1:O1"/>
    <mergeCell ref="P1:S1"/>
    <mergeCell ref="AD1:AG1"/>
    <mergeCell ref="AH1:AK1"/>
    <mergeCell ref="AM1:AP1"/>
    <mergeCell ref="AQ1:AT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G72:H72"/>
    <mergeCell ref="I72:J72"/>
    <mergeCell ref="A61:A62"/>
    <mergeCell ref="A55:A56"/>
    <mergeCell ref="A57:A58"/>
    <mergeCell ref="A59:A60"/>
    <mergeCell ref="C72:D72"/>
    <mergeCell ref="E72:F72"/>
  </mergeCell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T92"/>
  <sheetViews>
    <sheetView topLeftCell="A46" zoomScale="85" zoomScaleNormal="85" workbookViewId="0">
      <selection activeCell="I47" sqref="I47"/>
    </sheetView>
  </sheetViews>
  <sheetFormatPr defaultRowHeight="14.6" x14ac:dyDescent="0.4"/>
  <cols>
    <col min="1" max="1" width="13.3828125" customWidth="1"/>
    <col min="2" max="2" width="8" customWidth="1"/>
    <col min="7" max="9" width="20.69140625" customWidth="1"/>
    <col min="10" max="10" width="25.69140625" customWidth="1"/>
    <col min="11" max="11" width="4" customWidth="1"/>
    <col min="16" max="18" width="20.69140625" customWidth="1"/>
    <col min="19" max="19" width="25.69140625" customWidth="1"/>
    <col min="20" max="20" width="5.15234375" customWidth="1"/>
    <col min="23" max="23" width="9.15234375" customWidth="1"/>
    <col min="25" max="27" width="20.69140625" customWidth="1"/>
    <col min="28" max="28" width="25.69140625" customWidth="1"/>
    <col min="29" max="29" width="3.84375" customWidth="1"/>
    <col min="34" max="36" width="20.69140625" customWidth="1"/>
    <col min="37" max="37" width="25.69140625" customWidth="1"/>
    <col min="38" max="38" width="4.69140625" customWidth="1"/>
    <col min="43" max="45" width="20.69140625" customWidth="1"/>
    <col min="46" max="46" width="25.84375" customWidth="1"/>
  </cols>
  <sheetData>
    <row r="1" spans="1:46" ht="15.45" x14ac:dyDescent="0.4">
      <c r="A1" s="423"/>
      <c r="B1" s="65"/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15.45" x14ac:dyDescent="0.4">
      <c r="A2" s="655" t="s">
        <v>0</v>
      </c>
      <c r="B2" s="659" t="s">
        <v>198</v>
      </c>
      <c r="C2" s="1131" t="s">
        <v>199</v>
      </c>
      <c r="D2" s="1129" t="s">
        <v>200</v>
      </c>
      <c r="E2" s="1129" t="s">
        <v>201</v>
      </c>
      <c r="F2" s="1129" t="s">
        <v>204</v>
      </c>
      <c r="G2" s="1132" t="s">
        <v>199</v>
      </c>
      <c r="H2" s="1132" t="s">
        <v>200</v>
      </c>
      <c r="I2" s="1132" t="s">
        <v>201</v>
      </c>
      <c r="J2" s="1132" t="s">
        <v>204</v>
      </c>
      <c r="K2" s="1133" t="s">
        <v>269</v>
      </c>
      <c r="L2" s="1129" t="s">
        <v>199</v>
      </c>
      <c r="M2" s="1129" t="s">
        <v>200</v>
      </c>
      <c r="N2" s="1129" t="s">
        <v>201</v>
      </c>
      <c r="O2" s="1129" t="s">
        <v>204</v>
      </c>
      <c r="P2" s="1130" t="s">
        <v>199</v>
      </c>
      <c r="Q2" s="1129" t="s">
        <v>200</v>
      </c>
      <c r="R2" s="1129" t="s">
        <v>201</v>
      </c>
      <c r="S2" s="1129" t="s">
        <v>204</v>
      </c>
      <c r="T2" s="1133"/>
      <c r="U2" s="1129" t="s">
        <v>199</v>
      </c>
      <c r="V2" s="1129" t="s">
        <v>200</v>
      </c>
      <c r="W2" s="1129" t="s">
        <v>201</v>
      </c>
      <c r="X2" s="1129" t="s">
        <v>204</v>
      </c>
      <c r="Y2" s="1134" t="s">
        <v>199</v>
      </c>
      <c r="Z2" s="1129" t="s">
        <v>200</v>
      </c>
      <c r="AA2" s="1129" t="s">
        <v>201</v>
      </c>
      <c r="AB2" s="1129" t="s">
        <v>204</v>
      </c>
      <c r="AC2" s="1133"/>
      <c r="AD2" s="1129" t="s">
        <v>199</v>
      </c>
      <c r="AE2" s="1129" t="s">
        <v>200</v>
      </c>
      <c r="AF2" s="1129" t="s">
        <v>201</v>
      </c>
      <c r="AG2" s="1129" t="s">
        <v>204</v>
      </c>
      <c r="AH2" s="1130" t="s">
        <v>199</v>
      </c>
      <c r="AI2" s="1129" t="s">
        <v>200</v>
      </c>
      <c r="AJ2" s="1129" t="s">
        <v>201</v>
      </c>
      <c r="AK2" s="1129" t="s">
        <v>204</v>
      </c>
      <c r="AL2" s="1133"/>
      <c r="AM2" s="1129" t="s">
        <v>199</v>
      </c>
      <c r="AN2" s="1129" t="s">
        <v>200</v>
      </c>
      <c r="AO2" s="1129" t="s">
        <v>201</v>
      </c>
      <c r="AP2" s="1129" t="s">
        <v>204</v>
      </c>
      <c r="AQ2" s="1130" t="s">
        <v>199</v>
      </c>
      <c r="AR2" s="1129" t="s">
        <v>200</v>
      </c>
      <c r="AS2" s="1129" t="s">
        <v>201</v>
      </c>
      <c r="AT2" s="1129" t="s">
        <v>204</v>
      </c>
    </row>
    <row r="3" spans="1:46" ht="18" x14ac:dyDescent="0.45">
      <c r="A3" s="1351">
        <v>45931</v>
      </c>
      <c r="B3" s="676">
        <v>1</v>
      </c>
      <c r="C3" s="1135"/>
      <c r="D3" s="1136"/>
      <c r="E3" s="1137"/>
      <c r="F3" s="1138"/>
      <c r="G3" s="1139"/>
      <c r="H3" s="1140"/>
      <c r="I3" s="1141"/>
      <c r="J3" s="1142"/>
      <c r="K3" s="286"/>
      <c r="L3" s="1143"/>
      <c r="M3" s="1144"/>
      <c r="N3" s="1144"/>
      <c r="O3" s="1145"/>
      <c r="P3" s="1146"/>
      <c r="Q3" s="1147"/>
      <c r="R3" s="1147"/>
      <c r="S3" s="1145"/>
      <c r="T3" s="286"/>
      <c r="U3" s="1143"/>
      <c r="V3" s="1144"/>
      <c r="W3" s="1137"/>
      <c r="X3" s="1148"/>
      <c r="Y3" s="1149"/>
      <c r="Z3" s="1146"/>
      <c r="AA3" s="1150"/>
      <c r="AB3" s="1151"/>
      <c r="AC3" s="286"/>
      <c r="AD3" s="1143">
        <v>720</v>
      </c>
      <c r="AE3" s="1144"/>
      <c r="AF3" s="1137"/>
      <c r="AG3" s="1145"/>
      <c r="AH3" s="1146" t="s">
        <v>45</v>
      </c>
      <c r="AI3" s="1146"/>
      <c r="AJ3" s="1152"/>
      <c r="AK3" s="1145"/>
      <c r="AL3" s="1153"/>
      <c r="AM3" s="1143"/>
      <c r="AN3" s="1144"/>
      <c r="AO3" s="1137"/>
      <c r="AP3" s="1145"/>
      <c r="AQ3" s="1146"/>
      <c r="AR3" s="1154"/>
      <c r="AS3" s="1152"/>
      <c r="AT3" s="1145"/>
    </row>
    <row r="4" spans="1:46" ht="18" x14ac:dyDescent="0.45">
      <c r="A4" s="1352"/>
      <c r="B4" s="692">
        <v>2</v>
      </c>
      <c r="C4" s="1155"/>
      <c r="D4" s="1156"/>
      <c r="E4" s="1156"/>
      <c r="F4" s="1157"/>
      <c r="G4" s="1158"/>
      <c r="H4" s="1140"/>
      <c r="I4" s="1141"/>
      <c r="J4" s="1159"/>
      <c r="K4" s="286"/>
      <c r="L4" s="1160"/>
      <c r="M4" s="1137"/>
      <c r="N4" s="1137"/>
      <c r="O4" s="1148"/>
      <c r="P4" s="1128"/>
      <c r="Q4" s="1140"/>
      <c r="R4" s="1161"/>
      <c r="S4" s="1148"/>
      <c r="T4" s="286"/>
      <c r="U4" s="1160"/>
      <c r="V4" s="1152"/>
      <c r="W4" s="1137"/>
      <c r="X4" s="1148"/>
      <c r="Y4" s="1158"/>
      <c r="Z4" s="1150"/>
      <c r="AA4" s="1150"/>
      <c r="AB4" s="1162"/>
      <c r="AC4" s="286"/>
      <c r="AD4" s="1160">
        <v>720</v>
      </c>
      <c r="AE4" s="1137"/>
      <c r="AF4" s="1137"/>
      <c r="AG4" s="1148"/>
      <c r="AH4" s="1128" t="s">
        <v>45</v>
      </c>
      <c r="AI4" s="1150"/>
      <c r="AJ4" s="1137"/>
      <c r="AK4" s="1148"/>
      <c r="AL4" s="1153"/>
      <c r="AM4" s="1160">
        <v>34</v>
      </c>
      <c r="AN4" s="1137"/>
      <c r="AO4" s="1137"/>
      <c r="AP4" s="1148"/>
      <c r="AQ4" s="1128" t="s">
        <v>97</v>
      </c>
      <c r="AR4" s="1150"/>
      <c r="AS4" s="1137"/>
      <c r="AT4" s="1148"/>
    </row>
    <row r="5" spans="1:46" ht="19.5" customHeight="1" x14ac:dyDescent="0.45">
      <c r="A5" s="1351">
        <v>45932</v>
      </c>
      <c r="B5" s="692">
        <v>1</v>
      </c>
      <c r="C5" s="1155"/>
      <c r="D5" s="1156"/>
      <c r="E5" s="1156"/>
      <c r="F5" s="1157"/>
      <c r="G5" s="1163"/>
      <c r="H5" s="1164"/>
      <c r="I5" s="1141"/>
      <c r="J5" s="1159"/>
      <c r="K5" s="286"/>
      <c r="L5" s="1160"/>
      <c r="M5" s="1137"/>
      <c r="N5" s="1137"/>
      <c r="O5" s="1148"/>
      <c r="P5" s="1128"/>
      <c r="Q5" s="1137"/>
      <c r="R5" s="1137"/>
      <c r="S5" s="1148"/>
      <c r="T5" s="286"/>
      <c r="U5" s="1160"/>
      <c r="V5" s="1137"/>
      <c r="W5" s="1137"/>
      <c r="X5" s="1148"/>
      <c r="Y5" s="1149"/>
      <c r="Z5" s="1140"/>
      <c r="AA5" s="1165"/>
      <c r="AB5" s="1166"/>
      <c r="AC5" s="286"/>
      <c r="AD5" s="1160">
        <v>720</v>
      </c>
      <c r="AE5" s="1137"/>
      <c r="AF5" s="1137"/>
      <c r="AG5" s="1148"/>
      <c r="AH5" s="1128" t="s">
        <v>45</v>
      </c>
      <c r="AI5" s="1137"/>
      <c r="AJ5" s="1167"/>
      <c r="AK5" s="1148"/>
      <c r="AL5" s="1153"/>
      <c r="AM5" s="1160"/>
      <c r="AN5" s="1137"/>
      <c r="AO5" s="1137"/>
      <c r="AP5" s="1148"/>
      <c r="AQ5" s="1128"/>
      <c r="AR5" s="1168"/>
      <c r="AS5" s="1152"/>
      <c r="AT5" s="1169"/>
    </row>
    <row r="6" spans="1:46" ht="21" customHeight="1" x14ac:dyDescent="0.45">
      <c r="A6" s="1352"/>
      <c r="B6" s="692">
        <v>2</v>
      </c>
      <c r="C6" s="1155"/>
      <c r="D6" s="1156"/>
      <c r="E6" s="1156"/>
      <c r="F6" s="1157"/>
      <c r="G6" s="1139"/>
      <c r="H6" s="1150"/>
      <c r="I6" s="1141"/>
      <c r="J6" s="1170"/>
      <c r="K6" s="286"/>
      <c r="L6" s="1160"/>
      <c r="M6" s="1137"/>
      <c r="N6" s="1137"/>
      <c r="O6" s="1148"/>
      <c r="P6" s="1128"/>
      <c r="Q6" s="1140"/>
      <c r="R6" s="1137"/>
      <c r="S6" s="1170"/>
      <c r="T6" s="286"/>
      <c r="U6" s="1160"/>
      <c r="V6" s="1137"/>
      <c r="W6" s="1137"/>
      <c r="X6" s="1148"/>
      <c r="Y6" s="1149"/>
      <c r="Z6" s="1140"/>
      <c r="AA6" s="1150"/>
      <c r="AB6" s="1170"/>
      <c r="AC6" s="286"/>
      <c r="AD6" s="1160">
        <v>720</v>
      </c>
      <c r="AE6" s="1137"/>
      <c r="AF6" s="1137"/>
      <c r="AG6" s="1148"/>
      <c r="AH6" s="1128" t="s">
        <v>45</v>
      </c>
      <c r="AI6" s="1137"/>
      <c r="AJ6" s="1171"/>
      <c r="AK6" s="1170"/>
      <c r="AL6" s="1153"/>
      <c r="AM6" s="1160"/>
      <c r="AN6" s="1137"/>
      <c r="AO6" s="1137"/>
      <c r="AP6" s="1148"/>
      <c r="AQ6" s="1172"/>
      <c r="AR6" s="1173"/>
      <c r="AS6" s="1149"/>
      <c r="AT6" s="1170"/>
    </row>
    <row r="7" spans="1:46" ht="20.25" customHeight="1" x14ac:dyDescent="0.45">
      <c r="A7" s="1351">
        <v>45933</v>
      </c>
      <c r="B7" s="692">
        <v>1</v>
      </c>
      <c r="C7" s="1155"/>
      <c r="D7" s="1156"/>
      <c r="E7" s="1156"/>
      <c r="F7" s="1157">
        <v>130</v>
      </c>
      <c r="G7" s="1139"/>
      <c r="H7" s="1150"/>
      <c r="I7" s="1141"/>
      <c r="J7" s="1170" t="s">
        <v>1138</v>
      </c>
      <c r="K7" s="286"/>
      <c r="L7" s="1160"/>
      <c r="M7" s="1128"/>
      <c r="N7" s="1137"/>
      <c r="O7" s="1148">
        <v>128</v>
      </c>
      <c r="P7" s="1128"/>
      <c r="Q7" s="972"/>
      <c r="R7" s="1137"/>
      <c r="S7" s="1169" t="s">
        <v>1138</v>
      </c>
      <c r="T7" s="286"/>
      <c r="U7" s="1160"/>
      <c r="V7" s="1137"/>
      <c r="W7" s="1137"/>
      <c r="X7" s="1148">
        <v>126</v>
      </c>
      <c r="Y7" s="1149"/>
      <c r="Z7" s="1140"/>
      <c r="AA7" s="1165"/>
      <c r="AB7" s="1169" t="s">
        <v>1138</v>
      </c>
      <c r="AC7" s="286"/>
      <c r="AD7" s="1160">
        <v>720</v>
      </c>
      <c r="AE7" s="1137"/>
      <c r="AF7" s="1137"/>
      <c r="AG7" s="1148"/>
      <c r="AH7" s="1128" t="s">
        <v>45</v>
      </c>
      <c r="AI7" s="972"/>
      <c r="AJ7" s="1171"/>
      <c r="AK7" s="1174"/>
      <c r="AL7" s="1153"/>
      <c r="AM7" s="1160">
        <v>21</v>
      </c>
      <c r="AN7" s="1137"/>
      <c r="AO7" s="1137"/>
      <c r="AP7" s="1148">
        <v>120</v>
      </c>
      <c r="AQ7" s="1127" t="s">
        <v>97</v>
      </c>
      <c r="AR7" s="1175"/>
      <c r="AS7" s="974"/>
      <c r="AT7" s="1176" t="s">
        <v>1138</v>
      </c>
    </row>
    <row r="8" spans="1:46" ht="19.5" customHeight="1" x14ac:dyDescent="0.45">
      <c r="A8" s="1352"/>
      <c r="B8" s="692">
        <v>2</v>
      </c>
      <c r="C8" s="1155"/>
      <c r="D8" s="1177"/>
      <c r="E8" s="1156"/>
      <c r="F8" s="1157">
        <v>118</v>
      </c>
      <c r="G8" s="1158"/>
      <c r="H8" s="1150"/>
      <c r="I8" s="1141"/>
      <c r="J8" s="1170" t="s">
        <v>1138</v>
      </c>
      <c r="K8" s="286"/>
      <c r="L8" s="1160"/>
      <c r="M8" s="1137"/>
      <c r="N8" s="1137"/>
      <c r="O8" s="1148">
        <v>115</v>
      </c>
      <c r="P8" s="1128"/>
      <c r="Q8" s="1137"/>
      <c r="R8" s="1152"/>
      <c r="S8" s="1169" t="s">
        <v>1138</v>
      </c>
      <c r="T8" s="286"/>
      <c r="U8" s="1178"/>
      <c r="V8" s="1175"/>
      <c r="W8" s="1128"/>
      <c r="X8" s="1148">
        <v>108</v>
      </c>
      <c r="Y8" s="1149"/>
      <c r="Z8" s="1172"/>
      <c r="AA8" s="1149"/>
      <c r="AB8" s="1170" t="s">
        <v>1138</v>
      </c>
      <c r="AC8" s="286"/>
      <c r="AD8" s="1160">
        <v>720</v>
      </c>
      <c r="AE8" s="1137"/>
      <c r="AF8" s="1137"/>
      <c r="AG8" s="1148"/>
      <c r="AH8" s="1128" t="s">
        <v>45</v>
      </c>
      <c r="AI8" s="1152"/>
      <c r="AJ8" s="1171"/>
      <c r="AK8" s="1179"/>
      <c r="AL8" s="1153"/>
      <c r="AM8" s="1160"/>
      <c r="AN8" s="1137"/>
      <c r="AO8" s="1137"/>
      <c r="AP8" s="1148">
        <v>105</v>
      </c>
      <c r="AQ8" s="1127"/>
      <c r="AR8" s="1180"/>
      <c r="AS8" s="1128"/>
      <c r="AT8" s="1170" t="s">
        <v>1138</v>
      </c>
    </row>
    <row r="9" spans="1:46" ht="21" customHeight="1" x14ac:dyDescent="0.45">
      <c r="A9" s="1351">
        <v>45934</v>
      </c>
      <c r="B9" s="692">
        <v>1</v>
      </c>
      <c r="C9" s="1181"/>
      <c r="D9" s="1182"/>
      <c r="E9" s="1183"/>
      <c r="F9" s="1157"/>
      <c r="G9" s="1158"/>
      <c r="H9" s="1239"/>
      <c r="I9" s="1141"/>
      <c r="J9" s="1170"/>
      <c r="K9" s="286"/>
      <c r="L9" s="1160"/>
      <c r="M9" s="1137"/>
      <c r="N9" s="1137"/>
      <c r="O9" s="1148"/>
      <c r="P9" s="1128"/>
      <c r="Q9" s="1137"/>
      <c r="R9" s="1152"/>
      <c r="S9" s="1170"/>
      <c r="T9" s="286"/>
      <c r="U9" s="1178"/>
      <c r="V9" s="1128"/>
      <c r="W9" s="1137"/>
      <c r="X9" s="1148"/>
      <c r="Y9" s="1149"/>
      <c r="Z9" s="1137"/>
      <c r="AA9" s="1165"/>
      <c r="AB9" s="1170"/>
      <c r="AC9" s="286"/>
      <c r="AD9" s="1160">
        <v>720</v>
      </c>
      <c r="AE9" s="1137"/>
      <c r="AF9" s="1137"/>
      <c r="AG9" s="1148"/>
      <c r="AH9" s="1128" t="s">
        <v>45</v>
      </c>
      <c r="AI9" s="1137"/>
      <c r="AJ9" s="1137"/>
      <c r="AK9" s="1170"/>
      <c r="AL9" s="1153"/>
      <c r="AM9" s="1160"/>
      <c r="AN9" s="1137"/>
      <c r="AO9" s="1137"/>
      <c r="AP9" s="1148"/>
      <c r="AQ9" s="1127"/>
      <c r="AR9" s="1175"/>
      <c r="AS9" s="1128"/>
      <c r="AT9" s="1184"/>
    </row>
    <row r="10" spans="1:46" ht="18" x14ac:dyDescent="0.45">
      <c r="A10" s="1352"/>
      <c r="B10" s="692">
        <v>2</v>
      </c>
      <c r="C10" s="1181"/>
      <c r="D10" s="1185"/>
      <c r="E10" s="1183"/>
      <c r="F10" s="1157"/>
      <c r="G10" s="1186"/>
      <c r="H10" s="1248"/>
      <c r="I10" s="1164"/>
      <c r="J10" s="1170"/>
      <c r="K10" s="286"/>
      <c r="L10" s="1160"/>
      <c r="M10" s="1137"/>
      <c r="N10" s="1137"/>
      <c r="O10" s="1148"/>
      <c r="P10" s="1128"/>
      <c r="Q10" s="1137"/>
      <c r="R10" s="1152"/>
      <c r="S10" s="1170"/>
      <c r="T10" s="286"/>
      <c r="U10" s="1160"/>
      <c r="V10" s="1137"/>
      <c r="W10" s="1137">
        <v>18</v>
      </c>
      <c r="X10" s="1148"/>
      <c r="Y10" s="1149"/>
      <c r="Z10" s="1149"/>
      <c r="AA10" s="286" t="s">
        <v>1081</v>
      </c>
      <c r="AB10" s="1170"/>
      <c r="AC10" s="286"/>
      <c r="AD10" s="1160">
        <v>720</v>
      </c>
      <c r="AE10" s="1137"/>
      <c r="AF10" s="1137"/>
      <c r="AG10" s="1148"/>
      <c r="AH10" s="1149" t="s">
        <v>45</v>
      </c>
      <c r="AI10" s="1152"/>
      <c r="AJ10" s="1150"/>
      <c r="AK10" s="1170"/>
      <c r="AL10" s="1153"/>
      <c r="AM10" s="1160"/>
      <c r="AN10" s="1137"/>
      <c r="AO10" s="1137"/>
      <c r="AP10" s="1148"/>
      <c r="AQ10" s="1127"/>
      <c r="AR10" s="1188"/>
      <c r="AS10" s="1128"/>
      <c r="AT10" s="1170"/>
    </row>
    <row r="11" spans="1:46" ht="18" x14ac:dyDescent="0.45">
      <c r="A11" s="1351">
        <v>45935</v>
      </c>
      <c r="B11" s="692">
        <v>1</v>
      </c>
      <c r="C11" s="1181"/>
      <c r="D11" s="1189"/>
      <c r="E11" s="1183"/>
      <c r="F11" s="1157"/>
      <c r="G11" s="1190"/>
      <c r="H11" s="1247"/>
      <c r="I11" s="1164"/>
      <c r="J11" s="1159"/>
      <c r="K11" s="286"/>
      <c r="L11" s="1160"/>
      <c r="M11" s="1137"/>
      <c r="N11" s="1137"/>
      <c r="O11" s="1148"/>
      <c r="P11" s="1128"/>
      <c r="Q11" s="1137"/>
      <c r="R11" s="1152"/>
      <c r="S11" s="1148"/>
      <c r="T11" s="286"/>
      <c r="U11" s="1160"/>
      <c r="V11" s="1137"/>
      <c r="W11" s="1137"/>
      <c r="X11" s="1148"/>
      <c r="Y11" s="1149"/>
      <c r="Z11" s="1137"/>
      <c r="AA11" s="1165"/>
      <c r="AB11" s="1148"/>
      <c r="AC11" s="286"/>
      <c r="AD11" s="1160">
        <v>720</v>
      </c>
      <c r="AE11" s="1137"/>
      <c r="AF11" s="1137"/>
      <c r="AG11" s="1148"/>
      <c r="AH11" s="1128" t="s">
        <v>45</v>
      </c>
      <c r="AI11" s="1137"/>
      <c r="AJ11" s="1165"/>
      <c r="AK11" s="1148"/>
      <c r="AL11" s="1153"/>
      <c r="AM11" s="1160"/>
      <c r="AN11" s="1137"/>
      <c r="AO11" s="1137"/>
      <c r="AP11" s="1148"/>
      <c r="AQ11" s="1128"/>
      <c r="AR11" s="1161"/>
      <c r="AS11" s="1137"/>
      <c r="AT11" s="1169"/>
    </row>
    <row r="12" spans="1:46" ht="18" x14ac:dyDescent="0.45">
      <c r="A12" s="1352"/>
      <c r="B12" s="692">
        <v>2</v>
      </c>
      <c r="C12" s="1155"/>
      <c r="D12" s="1191"/>
      <c r="E12" s="1156"/>
      <c r="F12" s="1157"/>
      <c r="G12" s="1158"/>
      <c r="H12" s="1140"/>
      <c r="I12" s="1164"/>
      <c r="J12" s="1170"/>
      <c r="K12" s="286"/>
      <c r="L12" s="1160"/>
      <c r="M12" s="1137"/>
      <c r="N12" s="1137"/>
      <c r="O12" s="1148"/>
      <c r="P12" s="1128"/>
      <c r="Q12" s="1137"/>
      <c r="R12" s="1152"/>
      <c r="S12" s="1170"/>
      <c r="T12" s="286"/>
      <c r="U12" s="1160"/>
      <c r="V12" s="1137"/>
      <c r="W12" s="1137"/>
      <c r="X12" s="1148"/>
      <c r="Y12" s="1149"/>
      <c r="Z12" s="1150"/>
      <c r="AA12" s="1165"/>
      <c r="AB12" s="1170"/>
      <c r="AC12" s="286"/>
      <c r="AD12" s="1160">
        <v>720</v>
      </c>
      <c r="AE12" s="1137"/>
      <c r="AF12" s="1137"/>
      <c r="AG12" s="1148"/>
      <c r="AH12" s="1128" t="s">
        <v>45</v>
      </c>
      <c r="AI12" s="1152"/>
      <c r="AJ12" s="1152"/>
      <c r="AK12" s="1170"/>
      <c r="AL12" s="1153"/>
      <c r="AM12" s="1160"/>
      <c r="AN12" s="1137"/>
      <c r="AO12" s="1137"/>
      <c r="AP12" s="1148"/>
      <c r="AQ12" s="1128"/>
      <c r="AR12" s="1137"/>
      <c r="AS12" s="1152"/>
      <c r="AT12" s="1170"/>
    </row>
    <row r="13" spans="1:46" ht="19.5" customHeight="1" x14ac:dyDescent="0.45">
      <c r="A13" s="1351">
        <v>45936</v>
      </c>
      <c r="B13" s="692">
        <v>1</v>
      </c>
      <c r="C13" s="1155"/>
      <c r="D13" s="1156"/>
      <c r="E13" s="1156"/>
      <c r="F13" s="1157"/>
      <c r="G13" s="1158"/>
      <c r="H13" s="1140"/>
      <c r="I13" s="1141"/>
      <c r="J13" s="1170"/>
      <c r="K13" s="286"/>
      <c r="L13" s="1160"/>
      <c r="M13" s="1137"/>
      <c r="N13" s="1137"/>
      <c r="O13" s="1157"/>
      <c r="P13" s="1128"/>
      <c r="Q13" s="1137"/>
      <c r="R13" s="1137"/>
      <c r="S13" s="1170"/>
      <c r="T13" s="286"/>
      <c r="U13" s="1160"/>
      <c r="V13" s="1137"/>
      <c r="W13" s="1137">
        <v>7</v>
      </c>
      <c r="X13" s="1157"/>
      <c r="Y13" s="1149"/>
      <c r="Z13" s="1152"/>
      <c r="AA13" s="1165" t="s">
        <v>1081</v>
      </c>
      <c r="AB13" s="1170"/>
      <c r="AC13" s="286"/>
      <c r="AD13" s="1160">
        <v>720</v>
      </c>
      <c r="AE13" s="1137"/>
      <c r="AF13" s="1137"/>
      <c r="AG13" s="1157"/>
      <c r="AH13" s="1128" t="s">
        <v>45</v>
      </c>
      <c r="AI13" s="1137"/>
      <c r="AJ13" s="1165"/>
      <c r="AK13" s="1170"/>
      <c r="AL13" s="1153"/>
      <c r="AM13" s="1160"/>
      <c r="AN13" s="1137"/>
      <c r="AO13" s="1137"/>
      <c r="AP13" s="1157"/>
      <c r="AQ13" s="1128"/>
      <c r="AR13" s="1137"/>
      <c r="AS13" s="1150"/>
      <c r="AT13" s="1170"/>
    </row>
    <row r="14" spans="1:46" ht="18" x14ac:dyDescent="0.45">
      <c r="A14" s="1352"/>
      <c r="B14" s="692">
        <v>2</v>
      </c>
      <c r="C14" s="1155"/>
      <c r="D14" s="1156"/>
      <c r="E14" s="1156"/>
      <c r="F14" s="1157"/>
      <c r="G14" s="1158"/>
      <c r="H14" s="1150"/>
      <c r="I14" s="1141"/>
      <c r="J14" s="1170"/>
      <c r="K14" s="286"/>
      <c r="L14" s="1160"/>
      <c r="M14" s="1137"/>
      <c r="N14" s="1137"/>
      <c r="O14" s="1157"/>
      <c r="P14" s="1149"/>
      <c r="Q14" s="1137"/>
      <c r="R14" s="1137"/>
      <c r="S14" s="1170"/>
      <c r="T14" s="286"/>
      <c r="U14" s="1160"/>
      <c r="V14" s="1137"/>
      <c r="W14" s="1137">
        <v>19</v>
      </c>
      <c r="X14" s="1157"/>
      <c r="Y14" s="1149"/>
      <c r="Z14" s="1152"/>
      <c r="AA14" s="1165" t="s">
        <v>1081</v>
      </c>
      <c r="AB14" s="1170"/>
      <c r="AC14" s="286"/>
      <c r="AD14" s="1160">
        <v>720</v>
      </c>
      <c r="AE14" s="1137"/>
      <c r="AF14" s="1137"/>
      <c r="AG14" s="1157"/>
      <c r="AH14" s="1329" t="s">
        <v>45</v>
      </c>
      <c r="AI14" s="1329" t="s">
        <v>1139</v>
      </c>
      <c r="AJ14" s="1329" t="s">
        <v>1140</v>
      </c>
      <c r="AK14" s="1170"/>
      <c r="AL14" s="1153"/>
      <c r="AM14" s="1160"/>
      <c r="AN14" s="1137"/>
      <c r="AO14" s="1192"/>
      <c r="AP14" s="1193"/>
      <c r="AQ14" s="1149"/>
      <c r="AR14" s="1137"/>
      <c r="AS14" s="1165"/>
      <c r="AT14" s="1170"/>
    </row>
    <row r="15" spans="1:46" ht="18" x14ac:dyDescent="0.45">
      <c r="A15" s="1351">
        <v>45937</v>
      </c>
      <c r="B15" s="692">
        <v>1</v>
      </c>
      <c r="C15" s="1155"/>
      <c r="D15" s="1177"/>
      <c r="E15" s="1168"/>
      <c r="F15" s="1194"/>
      <c r="G15" s="1195"/>
      <c r="H15" s="1196"/>
      <c r="I15" s="1197"/>
      <c r="J15" s="1194"/>
      <c r="K15" s="286"/>
      <c r="L15" s="1198"/>
      <c r="M15" s="1168"/>
      <c r="N15" s="1168"/>
      <c r="O15" s="1199"/>
      <c r="P15" s="1200"/>
      <c r="Q15" s="1196"/>
      <c r="R15" s="1150"/>
      <c r="S15" s="1170"/>
      <c r="T15" s="286"/>
      <c r="U15" s="1160"/>
      <c r="V15" s="1137"/>
      <c r="W15" s="1137"/>
      <c r="X15" s="1157"/>
      <c r="Y15" s="1158"/>
      <c r="Z15" s="1150"/>
      <c r="AA15" s="1165"/>
      <c r="AB15" s="1170"/>
      <c r="AC15" s="286"/>
      <c r="AD15" s="1160">
        <v>720</v>
      </c>
      <c r="AE15" s="1137"/>
      <c r="AF15" s="286"/>
      <c r="AG15" s="1157"/>
      <c r="AH15" s="1330" t="s">
        <v>45</v>
      </c>
      <c r="AI15" s="1330"/>
      <c r="AJ15" s="1330"/>
      <c r="AK15" s="1170"/>
      <c r="AL15" s="1153"/>
      <c r="AM15" s="1160"/>
      <c r="AN15" s="1137"/>
      <c r="AO15" s="1201"/>
      <c r="AP15" s="1202"/>
      <c r="AQ15" s="1164"/>
      <c r="AR15" s="1150"/>
      <c r="AS15" s="1150"/>
      <c r="AT15" s="1170"/>
    </row>
    <row r="16" spans="1:46" ht="18.75" customHeight="1" x14ac:dyDescent="0.45">
      <c r="A16" s="1352"/>
      <c r="B16" s="692">
        <v>2</v>
      </c>
      <c r="C16" s="1181"/>
      <c r="D16" s="1223"/>
      <c r="E16" s="1224"/>
      <c r="F16" s="1225"/>
      <c r="G16" s="1226"/>
      <c r="H16" s="1227"/>
      <c r="I16" s="1228"/>
      <c r="J16" s="1229"/>
      <c r="K16" s="1230"/>
      <c r="L16" s="1231"/>
      <c r="M16" s="1232"/>
      <c r="N16" s="1232"/>
      <c r="O16" s="1225"/>
      <c r="P16" s="1233"/>
      <c r="Q16" s="1234"/>
      <c r="R16" s="1235"/>
      <c r="S16" s="1170"/>
      <c r="T16" s="286"/>
      <c r="U16" s="1160"/>
      <c r="V16" s="1137"/>
      <c r="W16" s="1137"/>
      <c r="X16" s="1157"/>
      <c r="Y16" s="1236"/>
      <c r="Z16" s="1187"/>
      <c r="AA16" s="1204"/>
      <c r="AB16" s="1170"/>
      <c r="AC16" s="286"/>
      <c r="AD16" s="1160">
        <v>720</v>
      </c>
      <c r="AE16" s="1137"/>
      <c r="AF16" s="1137"/>
      <c r="AG16" s="1157"/>
      <c r="AH16" s="1139" t="s">
        <v>45</v>
      </c>
      <c r="AI16" s="1150"/>
      <c r="AJ16" s="1152"/>
      <c r="AK16" s="1170"/>
      <c r="AL16" s="1153"/>
      <c r="AM16" s="1160"/>
      <c r="AN16" s="1137"/>
      <c r="AO16" s="1137"/>
      <c r="AP16" s="1157"/>
      <c r="AQ16" s="1238"/>
      <c r="AR16" s="1187"/>
      <c r="AS16" s="1235"/>
      <c r="AT16" s="1170"/>
    </row>
    <row r="17" spans="1:46" ht="18" customHeight="1" x14ac:dyDescent="0.45">
      <c r="A17" s="1351">
        <v>45938</v>
      </c>
      <c r="B17" s="717">
        <v>1</v>
      </c>
      <c r="C17" s="1155"/>
      <c r="D17" s="1215"/>
      <c r="E17" s="1216">
        <v>12</v>
      </c>
      <c r="F17" s="1217"/>
      <c r="G17" s="1218"/>
      <c r="H17" s="1219"/>
      <c r="I17" s="1220" t="s">
        <v>97</v>
      </c>
      <c r="J17" s="1221"/>
      <c r="K17" s="286"/>
      <c r="L17" s="1222"/>
      <c r="M17" s="1161"/>
      <c r="N17" s="1161"/>
      <c r="O17" s="1217"/>
      <c r="P17" s="1218"/>
      <c r="Q17" s="1219"/>
      <c r="R17" s="1150"/>
      <c r="S17" s="1170"/>
      <c r="T17" s="286"/>
      <c r="U17" s="1160"/>
      <c r="V17" s="1137"/>
      <c r="W17" s="1137"/>
      <c r="X17" s="1157"/>
      <c r="Y17" s="1158"/>
      <c r="Z17" s="1140"/>
      <c r="AA17" s="1204"/>
      <c r="AB17" s="1170"/>
      <c r="AC17" s="286"/>
      <c r="AD17" s="1160">
        <v>720</v>
      </c>
      <c r="AE17" s="1137"/>
      <c r="AF17" s="1137"/>
      <c r="AG17" s="1157"/>
      <c r="AH17" s="1237" t="s">
        <v>45</v>
      </c>
      <c r="AI17" s="1187"/>
      <c r="AJ17" s="1235"/>
      <c r="AK17" s="1170"/>
      <c r="AL17" s="1153"/>
      <c r="AM17" s="1160"/>
      <c r="AN17" s="1137"/>
      <c r="AO17" s="1192"/>
      <c r="AP17" s="1193"/>
      <c r="AQ17" s="1213"/>
      <c r="AR17" s="1187"/>
      <c r="AS17" s="1214"/>
      <c r="AT17" s="1170"/>
    </row>
    <row r="18" spans="1:46" ht="17.25" customHeight="1" x14ac:dyDescent="0.45">
      <c r="A18" s="1352"/>
      <c r="B18" s="692">
        <v>2</v>
      </c>
      <c r="C18" s="1155"/>
      <c r="D18" s="1156"/>
      <c r="E18" s="1156"/>
      <c r="F18" s="1157"/>
      <c r="G18" s="1158"/>
      <c r="H18" s="1212"/>
      <c r="I18" s="1141"/>
      <c r="J18" s="1170"/>
      <c r="K18" s="286"/>
      <c r="L18" s="1160"/>
      <c r="M18" s="1137"/>
      <c r="N18" s="1137"/>
      <c r="O18" s="1157"/>
      <c r="P18" s="1158"/>
      <c r="Q18" s="1150"/>
      <c r="R18" s="1141"/>
      <c r="S18" s="1170"/>
      <c r="T18" s="286"/>
      <c r="U18" s="1160"/>
      <c r="V18" s="1137"/>
      <c r="W18" s="1156">
        <v>4</v>
      </c>
      <c r="X18" s="1157"/>
      <c r="Y18" s="1158"/>
      <c r="Z18" s="1150"/>
      <c r="AA18" s="1165" t="s">
        <v>1081</v>
      </c>
      <c r="AB18" s="1170"/>
      <c r="AC18" s="286"/>
      <c r="AD18" s="1160">
        <v>720</v>
      </c>
      <c r="AE18" s="1137"/>
      <c r="AF18" s="1137"/>
      <c r="AG18" s="1157"/>
      <c r="AH18" s="1139" t="s">
        <v>45</v>
      </c>
      <c r="AI18" s="1140"/>
      <c r="AJ18" s="1150"/>
      <c r="AK18" s="1170"/>
      <c r="AL18" s="1153"/>
      <c r="AM18" s="1160"/>
      <c r="AN18" s="1137"/>
      <c r="AO18" s="1192"/>
      <c r="AP18" s="1193"/>
      <c r="AQ18" s="1213"/>
      <c r="AR18" s="1187"/>
      <c r="AS18" s="1214"/>
      <c r="AT18" s="1170"/>
    </row>
    <row r="19" spans="1:46" ht="18.75" customHeight="1" x14ac:dyDescent="0.45">
      <c r="A19" s="1351">
        <v>45939</v>
      </c>
      <c r="B19" s="692">
        <v>1</v>
      </c>
      <c r="C19" s="286"/>
      <c r="D19" s="1156"/>
      <c r="E19" s="1156"/>
      <c r="F19" s="1157"/>
      <c r="G19" s="1205"/>
      <c r="H19" s="1137"/>
      <c r="I19" s="1164"/>
      <c r="J19" s="1170"/>
      <c r="K19" s="286"/>
      <c r="L19" s="1160"/>
      <c r="M19" s="1137"/>
      <c r="N19" s="1137"/>
      <c r="O19" s="1157"/>
      <c r="P19" s="1160"/>
      <c r="Q19" s="1137"/>
      <c r="R19" s="1137"/>
      <c r="S19" s="1170"/>
      <c r="T19" s="286"/>
      <c r="U19" s="1160"/>
      <c r="V19" s="1137"/>
      <c r="W19" s="1137"/>
      <c r="X19" s="1157"/>
      <c r="Y19" s="1160"/>
      <c r="Z19" s="1152"/>
      <c r="AA19" s="1204"/>
      <c r="AB19" s="1170"/>
      <c r="AC19" s="286"/>
      <c r="AD19" s="1160">
        <v>720</v>
      </c>
      <c r="AE19" s="1137"/>
      <c r="AF19" s="1137"/>
      <c r="AG19" s="1157"/>
      <c r="AH19" s="1158" t="s">
        <v>45</v>
      </c>
      <c r="AI19" s="1150"/>
      <c r="AJ19" s="1140"/>
      <c r="AK19" s="1170"/>
      <c r="AL19" s="1153"/>
      <c r="AM19" s="1160"/>
      <c r="AN19" s="1137"/>
      <c r="AO19" s="1137"/>
      <c r="AP19" s="1157"/>
      <c r="AQ19" s="1160"/>
      <c r="AR19" s="1137"/>
      <c r="AS19" s="1150"/>
      <c r="AT19" s="1170"/>
    </row>
    <row r="20" spans="1:46" ht="18" customHeight="1" x14ac:dyDescent="0.45">
      <c r="A20" s="1352"/>
      <c r="B20" s="692">
        <v>2</v>
      </c>
      <c r="C20" s="1155"/>
      <c r="D20" s="1156"/>
      <c r="E20" s="1156"/>
      <c r="F20" s="1157"/>
      <c r="G20" s="1205"/>
      <c r="H20" s="1152"/>
      <c r="I20" s="1164"/>
      <c r="J20" s="1170"/>
      <c r="K20" s="286"/>
      <c r="L20" s="1160"/>
      <c r="M20" s="1137"/>
      <c r="N20" s="1137"/>
      <c r="O20" s="1157"/>
      <c r="P20" s="1205"/>
      <c r="Q20" s="1152"/>
      <c r="R20" s="1141"/>
      <c r="S20" s="1170"/>
      <c r="T20" s="286"/>
      <c r="U20" s="1160"/>
      <c r="V20" s="1137"/>
      <c r="W20" s="1137"/>
      <c r="X20" s="1157"/>
      <c r="Y20" s="1205"/>
      <c r="Z20" s="1152"/>
      <c r="AA20" s="1150"/>
      <c r="AB20" s="1170"/>
      <c r="AC20" s="286"/>
      <c r="AD20" s="1160">
        <v>712</v>
      </c>
      <c r="AE20" s="1137"/>
      <c r="AF20" s="1137"/>
      <c r="AG20" s="1157"/>
      <c r="AH20" s="1160" t="s">
        <v>45</v>
      </c>
      <c r="AI20" s="1137"/>
      <c r="AJ20" s="1165"/>
      <c r="AK20" s="1170"/>
      <c r="AL20" s="1153"/>
      <c r="AM20" s="1160"/>
      <c r="AN20" s="1137"/>
      <c r="AO20" s="1137"/>
      <c r="AP20" s="1157"/>
      <c r="AQ20" s="1205"/>
      <c r="AR20" s="1152"/>
      <c r="AS20" s="1141"/>
      <c r="AT20" s="1170"/>
    </row>
    <row r="21" spans="1:46" ht="21" customHeight="1" x14ac:dyDescent="0.45">
      <c r="A21" s="1351">
        <v>45940</v>
      </c>
      <c r="B21" s="692">
        <v>1</v>
      </c>
      <c r="C21" s="1155"/>
      <c r="D21" s="1156"/>
      <c r="E21" s="1156"/>
      <c r="F21" s="1157"/>
      <c r="G21" s="1210"/>
      <c r="H21" s="1140"/>
      <c r="I21" s="1164"/>
      <c r="J21" s="1211"/>
      <c r="K21" s="286"/>
      <c r="L21" s="1160"/>
      <c r="M21" s="1137"/>
      <c r="N21" s="1137"/>
      <c r="O21" s="1157"/>
      <c r="P21" s="1160"/>
      <c r="Q21" s="1152"/>
      <c r="R21" s="1137"/>
      <c r="S21" s="1211"/>
      <c r="T21" s="286"/>
      <c r="U21" s="1160"/>
      <c r="V21" s="1137"/>
      <c r="W21" s="1137">
        <v>10</v>
      </c>
      <c r="X21" s="1157"/>
      <c r="Y21" s="1205"/>
      <c r="Z21" s="1137"/>
      <c r="AA21" s="1150" t="s">
        <v>152</v>
      </c>
      <c r="AB21" s="1211"/>
      <c r="AC21" s="286"/>
      <c r="AD21" s="1160">
        <v>64</v>
      </c>
      <c r="AE21" s="1137"/>
      <c r="AF21" s="1137">
        <v>32</v>
      </c>
      <c r="AG21" s="1157"/>
      <c r="AH21" s="1205" t="s">
        <v>1141</v>
      </c>
      <c r="AI21" s="1152"/>
      <c r="AJ21" s="1141" t="s">
        <v>336</v>
      </c>
      <c r="AK21" s="1211"/>
      <c r="AL21" s="1153"/>
      <c r="AM21" s="1160"/>
      <c r="AN21" s="1137"/>
      <c r="AO21" s="1137"/>
      <c r="AP21" s="1157"/>
      <c r="AQ21" s="1160"/>
      <c r="AR21" s="1152"/>
      <c r="AS21" s="1165"/>
      <c r="AT21" s="1211"/>
    </row>
    <row r="22" spans="1:46" ht="29.25" customHeight="1" x14ac:dyDescent="0.45">
      <c r="A22" s="1352"/>
      <c r="B22" s="692">
        <v>2</v>
      </c>
      <c r="C22" s="1155"/>
      <c r="D22" s="1156"/>
      <c r="E22" s="1156">
        <v>34</v>
      </c>
      <c r="F22" s="1157">
        <v>43</v>
      </c>
      <c r="G22" s="1209"/>
      <c r="H22" s="1150"/>
      <c r="I22" s="1141" t="s">
        <v>97</v>
      </c>
      <c r="J22" s="1170" t="s">
        <v>1138</v>
      </c>
      <c r="K22" s="286"/>
      <c r="L22" s="1160"/>
      <c r="M22" s="1137"/>
      <c r="N22" s="1137"/>
      <c r="O22" s="1157">
        <v>32</v>
      </c>
      <c r="P22" s="1149"/>
      <c r="Q22" s="1150"/>
      <c r="R22" s="1137"/>
      <c r="S22" s="1170" t="s">
        <v>1138</v>
      </c>
      <c r="T22" s="286"/>
      <c r="U22" s="1160"/>
      <c r="V22" s="1137"/>
      <c r="W22" s="1137"/>
      <c r="X22" s="1157">
        <v>49</v>
      </c>
      <c r="Y22" s="1205"/>
      <c r="Z22" s="1150"/>
      <c r="AA22" s="1150"/>
      <c r="AB22" s="1170" t="s">
        <v>1138</v>
      </c>
      <c r="AC22" s="286"/>
      <c r="AD22" s="1160"/>
      <c r="AE22" s="1137"/>
      <c r="AF22" s="1137"/>
      <c r="AG22" s="1157">
        <v>85</v>
      </c>
      <c r="AH22" s="1205"/>
      <c r="AI22" s="1137"/>
      <c r="AJ22" s="1165"/>
      <c r="AK22" s="1179" t="s">
        <v>1138</v>
      </c>
      <c r="AL22" s="1153"/>
      <c r="AM22" s="1160"/>
      <c r="AN22" s="1137"/>
      <c r="AO22" s="1137"/>
      <c r="AP22" s="1157">
        <v>47</v>
      </c>
      <c r="AQ22" s="1160"/>
      <c r="AR22" s="1150"/>
      <c r="AS22" s="1203"/>
      <c r="AT22" s="1170" t="s">
        <v>1138</v>
      </c>
    </row>
    <row r="23" spans="1:46" ht="18" x14ac:dyDescent="0.45">
      <c r="A23" s="1351">
        <v>45941</v>
      </c>
      <c r="B23" s="717">
        <v>1</v>
      </c>
      <c r="C23" s="1155"/>
      <c r="D23" s="1156"/>
      <c r="E23" s="1156">
        <v>15</v>
      </c>
      <c r="F23" s="1157"/>
      <c r="G23" s="1139"/>
      <c r="H23" s="1140"/>
      <c r="I23" s="1164" t="s">
        <v>152</v>
      </c>
      <c r="J23" s="1170"/>
      <c r="K23" s="286"/>
      <c r="L23" s="1160"/>
      <c r="M23" s="1137"/>
      <c r="N23" s="1137"/>
      <c r="O23" s="1157"/>
      <c r="P23" s="1139"/>
      <c r="Q23" s="1140"/>
      <c r="R23" s="1150"/>
      <c r="S23" s="1170"/>
      <c r="T23" s="286"/>
      <c r="U23" s="1160"/>
      <c r="V23" s="1137"/>
      <c r="W23" s="1137"/>
      <c r="X23" s="1157"/>
      <c r="Y23" s="1205"/>
      <c r="Z23" s="1141"/>
      <c r="AA23" s="1204"/>
      <c r="AB23" s="1170"/>
      <c r="AC23" s="286"/>
      <c r="AD23" s="1160"/>
      <c r="AE23" s="1137"/>
      <c r="AF23" s="1128"/>
      <c r="AG23" s="1157"/>
      <c r="AH23" s="1160"/>
      <c r="AI23" s="1137"/>
      <c r="AJ23" s="1171"/>
      <c r="AK23" s="1179"/>
      <c r="AL23" s="1153"/>
      <c r="AM23" s="1160"/>
      <c r="AN23" s="1137"/>
      <c r="AO23" s="1137"/>
      <c r="AP23" s="1157"/>
      <c r="AQ23" s="1137"/>
      <c r="AR23" s="1140"/>
      <c r="AS23" s="1176"/>
      <c r="AT23" s="1170"/>
    </row>
    <row r="24" spans="1:46" ht="16.5" customHeight="1" x14ac:dyDescent="0.45">
      <c r="A24" s="1352"/>
      <c r="B24" s="692">
        <v>2</v>
      </c>
      <c r="C24" s="1155"/>
      <c r="D24" s="1156"/>
      <c r="E24" s="1156"/>
      <c r="F24" s="1157"/>
      <c r="G24" s="1139"/>
      <c r="H24" s="1150"/>
      <c r="I24" s="1164"/>
      <c r="J24" s="1170"/>
      <c r="K24" s="286"/>
      <c r="L24" s="1160"/>
      <c r="M24" s="1137"/>
      <c r="N24" s="1137"/>
      <c r="O24" s="1157"/>
      <c r="P24" s="1139"/>
      <c r="Q24" s="1140"/>
      <c r="R24" s="1150"/>
      <c r="S24" s="1170"/>
      <c r="T24" s="1206"/>
      <c r="U24" s="1128"/>
      <c r="V24" s="1207"/>
      <c r="W24" s="1204"/>
      <c r="X24" s="1157"/>
      <c r="Y24" s="1141"/>
      <c r="Z24" s="1140"/>
      <c r="AA24" s="1165"/>
      <c r="AB24" s="1170"/>
      <c r="AC24" s="286"/>
      <c r="AD24" s="1160">
        <v>35</v>
      </c>
      <c r="AE24" s="1137"/>
      <c r="AF24" s="1128"/>
      <c r="AG24" s="1157"/>
      <c r="AH24" s="1160" t="s">
        <v>1031</v>
      </c>
      <c r="AI24" s="1140"/>
      <c r="AJ24" s="1208"/>
      <c r="AK24" s="1170"/>
      <c r="AL24" s="1153"/>
      <c r="AM24" s="1160"/>
      <c r="AN24" s="1137"/>
      <c r="AO24" s="1137"/>
      <c r="AP24" s="1157"/>
      <c r="AQ24" s="1140"/>
      <c r="AR24" s="1140"/>
      <c r="AS24" s="1170"/>
      <c r="AT24" s="1170"/>
    </row>
    <row r="25" spans="1:46" ht="18.75" customHeight="1" x14ac:dyDescent="0.45">
      <c r="A25" s="1351">
        <v>45942</v>
      </c>
      <c r="B25" s="692">
        <v>1</v>
      </c>
      <c r="C25" s="1155"/>
      <c r="D25" s="1156"/>
      <c r="E25" s="1156"/>
      <c r="F25" s="1157"/>
      <c r="G25" s="1139"/>
      <c r="H25" s="1140"/>
      <c r="I25" s="1141"/>
      <c r="J25" s="1170"/>
      <c r="K25" s="286"/>
      <c r="L25" s="1160"/>
      <c r="M25" s="1137"/>
      <c r="N25" s="1137"/>
      <c r="O25" s="1157"/>
      <c r="P25" s="1160"/>
      <c r="Q25" s="1140"/>
      <c r="R25" s="1137"/>
      <c r="S25" s="1170"/>
      <c r="T25" s="286"/>
      <c r="U25" s="1160"/>
      <c r="V25" s="1137"/>
      <c r="W25" s="1137"/>
      <c r="X25" s="1157"/>
      <c r="Y25" s="1205"/>
      <c r="Z25" s="1152"/>
      <c r="AA25" s="1150"/>
      <c r="AB25" s="1170"/>
      <c r="AC25" s="286"/>
      <c r="AD25" s="1160"/>
      <c r="AE25" s="1137"/>
      <c r="AF25" s="1137"/>
      <c r="AG25" s="1157"/>
      <c r="AH25" s="1141"/>
      <c r="AI25" s="1140"/>
      <c r="AJ25" s="1150"/>
      <c r="AK25" s="1170"/>
      <c r="AL25" s="1153"/>
      <c r="AM25" s="1160"/>
      <c r="AN25" s="1137"/>
      <c r="AO25" s="1137"/>
      <c r="AP25" s="1157"/>
      <c r="AQ25" s="1137"/>
      <c r="AR25" s="1137"/>
      <c r="AS25" s="1150"/>
      <c r="AT25" s="1170"/>
    </row>
    <row r="26" spans="1:46" ht="19.5" customHeight="1" x14ac:dyDescent="0.45">
      <c r="A26" s="1352"/>
      <c r="B26" s="692">
        <v>2</v>
      </c>
      <c r="C26" s="1155"/>
      <c r="D26" s="1156"/>
      <c r="E26" s="1156"/>
      <c r="F26" s="1157"/>
      <c r="G26" s="1139"/>
      <c r="H26" s="1150"/>
      <c r="I26" s="1141"/>
      <c r="J26" s="1170"/>
      <c r="K26" s="286"/>
      <c r="L26" s="1160"/>
      <c r="M26" s="1137"/>
      <c r="N26" s="1137"/>
      <c r="O26" s="1157"/>
      <c r="P26" s="1139"/>
      <c r="Q26" s="1150"/>
      <c r="R26" s="1176"/>
      <c r="S26" s="1170"/>
      <c r="T26" s="286"/>
      <c r="U26" s="1160"/>
      <c r="V26" s="1156"/>
      <c r="W26" s="1137">
        <v>16</v>
      </c>
      <c r="X26" s="1157"/>
      <c r="Y26" s="1141"/>
      <c r="Z26" s="1150"/>
      <c r="AA26" s="1165" t="s">
        <v>152</v>
      </c>
      <c r="AB26" s="1170"/>
      <c r="AC26" s="286"/>
      <c r="AD26" s="1160"/>
      <c r="AE26" s="1156"/>
      <c r="AF26" s="1137"/>
      <c r="AG26" s="1157"/>
      <c r="AH26" s="1137"/>
      <c r="AI26" s="1152"/>
      <c r="AJ26" s="1150"/>
      <c r="AK26" s="1170"/>
      <c r="AL26" s="1153"/>
      <c r="AM26" s="1160"/>
      <c r="AN26" s="1156"/>
      <c r="AO26" s="1137"/>
      <c r="AP26" s="1157"/>
      <c r="AQ26" s="1139"/>
      <c r="AR26" s="1150"/>
      <c r="AS26" s="1150"/>
      <c r="AT26" s="1170"/>
    </row>
    <row r="27" spans="1:46" ht="21" customHeight="1" x14ac:dyDescent="0.45">
      <c r="A27" s="1351">
        <v>45943</v>
      </c>
      <c r="B27" s="717">
        <v>1</v>
      </c>
      <c r="C27" s="1155"/>
      <c r="D27" s="1156"/>
      <c r="E27" s="1156"/>
      <c r="F27" s="1157"/>
      <c r="G27" s="1139"/>
      <c r="H27" s="1140"/>
      <c r="I27" s="1164"/>
      <c r="J27" s="1170"/>
      <c r="K27" s="286"/>
      <c r="L27" s="1160"/>
      <c r="M27" s="1137"/>
      <c r="N27" s="1137"/>
      <c r="O27" s="1157"/>
      <c r="P27" s="1139"/>
      <c r="Q27" s="1140"/>
      <c r="R27" s="1150"/>
      <c r="S27" s="1170"/>
      <c r="T27" s="286"/>
      <c r="U27" s="1160"/>
      <c r="V27" s="1137"/>
      <c r="W27" s="1137"/>
      <c r="X27" s="1157"/>
      <c r="Y27" s="1139"/>
      <c r="Z27" s="1150"/>
      <c r="AA27" s="1204"/>
      <c r="AB27" s="1170"/>
      <c r="AC27" s="286"/>
      <c r="AD27" s="1160"/>
      <c r="AE27" s="1137"/>
      <c r="AF27" s="1137"/>
      <c r="AG27" s="1157"/>
      <c r="AH27" s="1141"/>
      <c r="AI27" s="1150"/>
      <c r="AJ27" s="1150"/>
      <c r="AK27" s="1170"/>
      <c r="AL27" s="1153"/>
      <c r="AM27" s="1160"/>
      <c r="AN27" s="1137"/>
      <c r="AO27" s="1137"/>
      <c r="AP27" s="1157"/>
      <c r="AQ27" s="1152"/>
      <c r="AR27" s="1137"/>
      <c r="AS27" s="1150"/>
      <c r="AT27" s="1170"/>
    </row>
    <row r="28" spans="1:46" ht="21" customHeight="1" x14ac:dyDescent="0.45">
      <c r="A28" s="1352"/>
      <c r="B28" s="692">
        <v>2</v>
      </c>
      <c r="C28" s="1155"/>
      <c r="D28" s="1156"/>
      <c r="E28" s="1156"/>
      <c r="F28" s="1157"/>
      <c r="G28" s="1150"/>
      <c r="H28" s="1150"/>
      <c r="I28" s="1176"/>
      <c r="J28" s="1170"/>
      <c r="K28" s="286"/>
      <c r="L28" s="1160"/>
      <c r="M28" s="1137"/>
      <c r="N28" s="1137"/>
      <c r="O28" s="1157"/>
      <c r="P28" s="1150"/>
      <c r="Q28" s="1150"/>
      <c r="R28" s="1150"/>
      <c r="S28" s="1170"/>
      <c r="T28" s="286"/>
      <c r="U28" s="1160"/>
      <c r="V28" s="1137"/>
      <c r="W28" s="286"/>
      <c r="X28" s="1157"/>
      <c r="Y28" s="1150"/>
      <c r="Z28" s="1137"/>
      <c r="AA28" s="1165"/>
      <c r="AB28" s="1170"/>
      <c r="AC28" s="286"/>
      <c r="AD28" s="1160"/>
      <c r="AE28" s="1137"/>
      <c r="AF28" s="1137"/>
      <c r="AG28" s="1157"/>
      <c r="AH28" s="1139"/>
      <c r="AI28" s="1152"/>
      <c r="AJ28" s="1150"/>
      <c r="AK28" s="1170"/>
      <c r="AL28" s="1153"/>
      <c r="AM28" s="1160"/>
      <c r="AN28" s="1137"/>
      <c r="AO28" s="1137"/>
      <c r="AP28" s="1157"/>
      <c r="AQ28" s="1152"/>
      <c r="AR28" s="1137"/>
      <c r="AS28" s="1150"/>
      <c r="AT28" s="1170"/>
    </row>
    <row r="29" spans="1:46" ht="18" x14ac:dyDescent="0.45">
      <c r="A29" s="1351">
        <v>45944</v>
      </c>
      <c r="B29" s="692">
        <v>1</v>
      </c>
      <c r="C29" s="1155"/>
      <c r="D29" s="1156"/>
      <c r="E29" s="1156"/>
      <c r="F29" s="1157"/>
      <c r="G29" s="1150"/>
      <c r="H29" s="1140"/>
      <c r="I29" s="1176"/>
      <c r="J29" s="1170"/>
      <c r="K29" s="286"/>
      <c r="L29" s="1160"/>
      <c r="M29" s="1137"/>
      <c r="N29" s="1137"/>
      <c r="O29" s="1157"/>
      <c r="P29" s="1139"/>
      <c r="Q29" s="1150"/>
      <c r="R29" s="1150"/>
      <c r="S29" s="1170"/>
      <c r="T29" s="286"/>
      <c r="U29" s="1160"/>
      <c r="V29" s="1137"/>
      <c r="W29" s="1137"/>
      <c r="X29" s="1157"/>
      <c r="Y29" s="1150"/>
      <c r="Z29" s="1140"/>
      <c r="AA29" s="1165"/>
      <c r="AB29" s="1170"/>
      <c r="AC29" s="286"/>
      <c r="AD29" s="1160"/>
      <c r="AE29" s="1137"/>
      <c r="AF29" s="1137"/>
      <c r="AG29" s="1157"/>
      <c r="AH29" s="1139"/>
      <c r="AI29" s="1152"/>
      <c r="AJ29" s="1165"/>
      <c r="AK29" s="1170"/>
      <c r="AL29" s="1153"/>
      <c r="AM29" s="1160"/>
      <c r="AN29" s="1137"/>
      <c r="AO29" s="1137"/>
      <c r="AP29" s="1137"/>
      <c r="AQ29" s="1152"/>
      <c r="AR29" s="1140"/>
      <c r="AS29" s="1203"/>
      <c r="AT29" s="1170"/>
    </row>
    <row r="30" spans="1:46" ht="27.75" customHeight="1" x14ac:dyDescent="0.45">
      <c r="A30" s="1352"/>
      <c r="B30" s="717">
        <v>2</v>
      </c>
      <c r="C30" s="1155"/>
      <c r="D30" s="1156"/>
      <c r="E30" s="1156">
        <v>20</v>
      </c>
      <c r="F30" s="1157"/>
      <c r="G30" s="1150"/>
      <c r="H30" s="1140"/>
      <c r="I30" s="1165" t="s">
        <v>97</v>
      </c>
      <c r="J30" s="1170"/>
      <c r="K30" s="286"/>
      <c r="L30" s="1160"/>
      <c r="M30" s="1137"/>
      <c r="N30" s="1137"/>
      <c r="O30" s="1157"/>
      <c r="P30" s="1139"/>
      <c r="Q30" s="1150"/>
      <c r="R30" s="1150"/>
      <c r="S30" s="1170"/>
      <c r="T30" s="286"/>
      <c r="U30" s="1160"/>
      <c r="V30" s="1137"/>
      <c r="W30" s="1137"/>
      <c r="X30" s="1157"/>
      <c r="Y30" s="1150"/>
      <c r="Z30" s="1239"/>
      <c r="AA30" s="1240"/>
      <c r="AB30" s="1170"/>
      <c r="AC30" s="286"/>
      <c r="AD30" s="1160"/>
      <c r="AE30" s="1137"/>
      <c r="AF30" s="1137"/>
      <c r="AG30" s="1157"/>
      <c r="AH30" s="1139"/>
      <c r="AI30" s="1140"/>
      <c r="AJ30" s="1137"/>
      <c r="AK30" s="1170"/>
      <c r="AL30" s="1153"/>
      <c r="AM30" s="1160"/>
      <c r="AN30" s="1137"/>
      <c r="AO30" s="1137"/>
      <c r="AP30" s="1137"/>
      <c r="AQ30" s="1149"/>
      <c r="AR30" s="1140"/>
      <c r="AS30" s="1203"/>
      <c r="AT30" s="1169"/>
    </row>
    <row r="31" spans="1:46" ht="18" x14ac:dyDescent="0.45">
      <c r="A31" s="1351">
        <v>45945</v>
      </c>
      <c r="B31" s="692">
        <v>1</v>
      </c>
      <c r="C31" s="1155"/>
      <c r="D31" s="1156"/>
      <c r="E31" s="1156">
        <v>35</v>
      </c>
      <c r="F31" s="1157"/>
      <c r="G31" s="1139"/>
      <c r="H31" s="1171"/>
      <c r="I31" s="1241" t="s">
        <v>152</v>
      </c>
      <c r="J31" s="1170"/>
      <c r="K31" s="286"/>
      <c r="L31" s="1160"/>
      <c r="M31" s="1137"/>
      <c r="N31" s="1137"/>
      <c r="O31" s="1157"/>
      <c r="P31" s="1128"/>
      <c r="Q31" s="1137"/>
      <c r="R31" s="1137"/>
      <c r="S31" s="1170"/>
      <c r="T31" s="286"/>
      <c r="U31" s="1160"/>
      <c r="V31" s="1137"/>
      <c r="W31" s="1137">
        <v>10</v>
      </c>
      <c r="X31" s="1157"/>
      <c r="Y31" s="1172"/>
      <c r="Z31" s="1242"/>
      <c r="AA31" s="1240" t="s">
        <v>152</v>
      </c>
      <c r="AB31" s="1179"/>
      <c r="AC31" s="286"/>
      <c r="AD31" s="1160"/>
      <c r="AE31" s="1137"/>
      <c r="AF31" s="1137"/>
      <c r="AG31" s="1157"/>
      <c r="AH31" s="1139"/>
      <c r="AI31" s="1150"/>
      <c r="AJ31" s="1137"/>
      <c r="AK31" s="1170"/>
      <c r="AL31" s="1153"/>
      <c r="AM31" s="1160"/>
      <c r="AN31" s="1137"/>
      <c r="AO31" s="1137"/>
      <c r="AP31" s="1137"/>
      <c r="AQ31" s="1128"/>
      <c r="AR31" s="1140"/>
      <c r="AS31" s="1137"/>
      <c r="AT31" s="1169"/>
    </row>
    <row r="32" spans="1:46" ht="20.25" customHeight="1" x14ac:dyDescent="0.45">
      <c r="A32" s="1352"/>
      <c r="B32" s="692">
        <v>2</v>
      </c>
      <c r="C32" s="1245"/>
      <c r="D32" s="1183"/>
      <c r="E32" s="1207"/>
      <c r="F32" s="1183"/>
      <c r="G32" s="1139"/>
      <c r="H32" s="1171"/>
      <c r="I32" s="1241"/>
      <c r="J32" s="1170"/>
      <c r="K32" s="286"/>
      <c r="L32" s="1160"/>
      <c r="M32" s="1137"/>
      <c r="N32" s="1137"/>
      <c r="O32" s="1137"/>
      <c r="P32" s="1128"/>
      <c r="Q32" s="1171"/>
      <c r="R32" s="1128"/>
      <c r="S32" s="1170"/>
      <c r="T32" s="286"/>
      <c r="U32" s="1160"/>
      <c r="V32" s="1137"/>
      <c r="W32" s="1156"/>
      <c r="X32" s="1137"/>
      <c r="Y32" s="1237"/>
      <c r="Z32" s="1246"/>
      <c r="AA32" s="1243"/>
      <c r="AB32" s="1179"/>
      <c r="AC32" s="286"/>
      <c r="AD32" s="1160"/>
      <c r="AE32" s="1137"/>
      <c r="AF32" s="1156"/>
      <c r="AG32" s="1137"/>
      <c r="AH32" s="1139"/>
      <c r="AI32" s="1137"/>
      <c r="AJ32" s="1137"/>
      <c r="AK32" s="1170"/>
      <c r="AL32" s="1153"/>
      <c r="AM32" s="1160"/>
      <c r="AN32" s="1137"/>
      <c r="AO32" s="1137"/>
      <c r="AP32" s="1137"/>
      <c r="AQ32" s="1128"/>
      <c r="AR32" s="1140"/>
      <c r="AS32" s="1164"/>
      <c r="AT32" s="1169"/>
    </row>
    <row r="33" spans="1:46" ht="18" x14ac:dyDescent="0.45">
      <c r="A33" s="1351">
        <v>45946</v>
      </c>
      <c r="B33" s="692">
        <v>1</v>
      </c>
      <c r="C33" s="1155"/>
      <c r="D33" s="1156"/>
      <c r="E33" s="1156"/>
      <c r="F33" s="1157">
        <v>93</v>
      </c>
      <c r="G33" s="1139"/>
      <c r="H33" s="1171"/>
      <c r="I33" s="1241"/>
      <c r="J33" s="1170" t="s">
        <v>1063</v>
      </c>
      <c r="K33" s="286"/>
      <c r="L33" s="1160"/>
      <c r="M33" s="1137"/>
      <c r="N33" s="1137"/>
      <c r="O33" s="1157"/>
      <c r="P33" s="1128"/>
      <c r="Q33" s="1137"/>
      <c r="R33" s="1137"/>
      <c r="S33" s="1170"/>
      <c r="T33" s="286"/>
      <c r="U33" s="1160"/>
      <c r="V33" s="1137"/>
      <c r="W33" s="1137"/>
      <c r="X33" s="1157">
        <v>124</v>
      </c>
      <c r="Y33" s="1128"/>
      <c r="Z33" s="1161"/>
      <c r="AA33" s="1243"/>
      <c r="AB33" s="1170" t="s">
        <v>1063</v>
      </c>
      <c r="AC33" s="286"/>
      <c r="AD33" s="1160"/>
      <c r="AE33" s="1137"/>
      <c r="AF33" s="1137"/>
      <c r="AG33" s="1157">
        <v>225</v>
      </c>
      <c r="AH33" s="1139"/>
      <c r="AI33" s="1171"/>
      <c r="AJ33" s="1241"/>
      <c r="AK33" s="1170" t="s">
        <v>1063</v>
      </c>
      <c r="AL33" s="1153"/>
      <c r="AM33" s="1160"/>
      <c r="AN33" s="1137"/>
      <c r="AO33" s="1137"/>
      <c r="AP33" s="1137">
        <v>223</v>
      </c>
      <c r="AQ33" s="1128"/>
      <c r="AR33" s="1244"/>
      <c r="AS33" s="1128"/>
      <c r="AT33" s="1170" t="s">
        <v>1063</v>
      </c>
    </row>
    <row r="34" spans="1:46" ht="18" x14ac:dyDescent="0.45">
      <c r="A34" s="1352"/>
      <c r="B34" s="717">
        <v>2</v>
      </c>
      <c r="C34" s="1156"/>
      <c r="D34" s="1156"/>
      <c r="E34" s="1156"/>
      <c r="F34" s="1157">
        <v>178</v>
      </c>
      <c r="G34" s="1158"/>
      <c r="H34" s="1150"/>
      <c r="I34" s="1165"/>
      <c r="J34" s="1170" t="s">
        <v>1063</v>
      </c>
      <c r="K34" s="286"/>
      <c r="L34" s="1160"/>
      <c r="M34" s="1137"/>
      <c r="N34" s="1137"/>
      <c r="O34" s="1157">
        <v>176</v>
      </c>
      <c r="P34" s="1128"/>
      <c r="Q34" s="1150"/>
      <c r="R34" s="1137"/>
      <c r="S34" s="1170" t="s">
        <v>1063</v>
      </c>
      <c r="T34" s="286"/>
      <c r="U34" s="1160"/>
      <c r="V34" s="1137"/>
      <c r="W34" s="1137"/>
      <c r="X34" s="1157">
        <v>578</v>
      </c>
      <c r="Y34" s="1152"/>
      <c r="Z34" s="1152"/>
      <c r="AA34" s="1243"/>
      <c r="AB34" s="1170" t="s">
        <v>1063</v>
      </c>
      <c r="AC34" s="286"/>
      <c r="AD34" s="1160"/>
      <c r="AE34" s="1137"/>
      <c r="AF34" s="1137"/>
      <c r="AG34" s="1157">
        <v>203</v>
      </c>
      <c r="AH34" s="1128"/>
      <c r="AI34" s="1244"/>
      <c r="AJ34" s="1241"/>
      <c r="AK34" s="1170" t="s">
        <v>1063</v>
      </c>
      <c r="AL34" s="1153"/>
      <c r="AM34" s="1160"/>
      <c r="AN34" s="1137"/>
      <c r="AO34" s="1137"/>
      <c r="AP34" s="1137">
        <v>331</v>
      </c>
      <c r="AQ34" s="1128"/>
      <c r="AR34" s="1244"/>
      <c r="AS34" s="1150"/>
      <c r="AT34" s="1170" t="s">
        <v>1063</v>
      </c>
    </row>
    <row r="35" spans="1:46" ht="15" customHeight="1" x14ac:dyDescent="0.45">
      <c r="A35" s="1351">
        <v>45947</v>
      </c>
      <c r="B35" s="692">
        <v>1</v>
      </c>
      <c r="C35" s="1156"/>
      <c r="D35" s="1156"/>
      <c r="E35" s="1203">
        <v>34</v>
      </c>
      <c r="F35" s="1157"/>
      <c r="G35" s="1205"/>
      <c r="H35" s="1128"/>
      <c r="I35" s="1176" t="s">
        <v>152</v>
      </c>
      <c r="J35" s="1170"/>
      <c r="K35" s="286"/>
      <c r="L35" s="1160"/>
      <c r="M35" s="1137"/>
      <c r="N35" s="1137"/>
      <c r="O35" s="1157"/>
      <c r="P35" s="1205"/>
      <c r="Q35" s="1150"/>
      <c r="R35" s="1150"/>
      <c r="S35" s="1170"/>
      <c r="T35" s="286"/>
      <c r="U35" s="1160"/>
      <c r="V35" s="1137">
        <v>119</v>
      </c>
      <c r="W35" s="1137">
        <v>15</v>
      </c>
      <c r="X35" s="1157"/>
      <c r="Y35" s="1205"/>
      <c r="Z35" s="1152" t="s">
        <v>96</v>
      </c>
      <c r="AA35" s="1165" t="s">
        <v>152</v>
      </c>
      <c r="AB35" s="1170"/>
      <c r="AC35" s="286"/>
      <c r="AD35" s="1160"/>
      <c r="AE35" s="1137"/>
      <c r="AF35" s="1137"/>
      <c r="AG35" s="1157"/>
      <c r="AH35" s="1128"/>
      <c r="AI35" s="1137"/>
      <c r="AJ35" s="1152"/>
      <c r="AK35" s="1170"/>
      <c r="AL35" s="1153"/>
      <c r="AM35" s="1160"/>
      <c r="AN35" s="1137"/>
      <c r="AO35" s="1137"/>
      <c r="AP35" s="1137"/>
      <c r="AQ35" s="1128"/>
      <c r="AR35" s="1244"/>
      <c r="AS35" s="1172"/>
      <c r="AT35" s="1170"/>
    </row>
    <row r="36" spans="1:46" ht="15.75" customHeight="1" x14ac:dyDescent="0.45">
      <c r="A36" s="1352"/>
      <c r="B36" s="692">
        <v>2</v>
      </c>
      <c r="C36" s="1203"/>
      <c r="D36" s="1137"/>
      <c r="E36" s="1203">
        <v>48</v>
      </c>
      <c r="F36" s="1157"/>
      <c r="G36" s="1176"/>
      <c r="H36" s="1150"/>
      <c r="I36" s="1176" t="s">
        <v>152</v>
      </c>
      <c r="J36" s="1170"/>
      <c r="K36" s="286"/>
      <c r="L36" s="1205"/>
      <c r="M36" s="1137"/>
      <c r="N36" s="1137"/>
      <c r="O36" s="1157"/>
      <c r="P36" s="1205"/>
      <c r="Q36" s="1150"/>
      <c r="R36" s="1152"/>
      <c r="S36" s="1170"/>
      <c r="T36" s="286"/>
      <c r="U36" s="1160"/>
      <c r="V36" s="1137"/>
      <c r="W36" s="1137">
        <v>15</v>
      </c>
      <c r="X36" s="1157"/>
      <c r="Y36" s="1205"/>
      <c r="Z36" s="1150"/>
      <c r="AA36" s="1165" t="s">
        <v>152</v>
      </c>
      <c r="AB36" s="1170"/>
      <c r="AC36" s="286"/>
      <c r="AD36" s="1160"/>
      <c r="AE36" s="1137"/>
      <c r="AF36" s="1203"/>
      <c r="AG36" s="1157"/>
      <c r="AH36" s="1205"/>
      <c r="AI36" s="1192"/>
      <c r="AJ36" s="1164"/>
      <c r="AK36" s="1170"/>
      <c r="AL36" s="1153"/>
      <c r="AM36" s="1160"/>
      <c r="AN36" s="1137"/>
      <c r="AO36" s="1137"/>
      <c r="AP36" s="1137"/>
      <c r="AQ36" s="1128"/>
      <c r="AR36" s="1244"/>
      <c r="AS36" s="1149"/>
      <c r="AT36" s="1170"/>
    </row>
    <row r="37" spans="1:46" ht="18" x14ac:dyDescent="0.45">
      <c r="A37" s="1351">
        <v>45948</v>
      </c>
      <c r="B37" s="717">
        <v>1</v>
      </c>
      <c r="C37" s="1203"/>
      <c r="D37" s="1156"/>
      <c r="E37" s="1203"/>
      <c r="F37" s="1157"/>
      <c r="G37" s="1176"/>
      <c r="H37" s="1149"/>
      <c r="I37" s="1141"/>
      <c r="J37" s="1170"/>
      <c r="K37" s="286"/>
      <c r="L37" s="1160"/>
      <c r="M37" s="1137"/>
      <c r="N37" s="1137"/>
      <c r="O37" s="1157"/>
      <c r="P37" s="1128"/>
      <c r="Q37" s="1150"/>
      <c r="R37" s="1137"/>
      <c r="S37" s="1170"/>
      <c r="T37" s="286"/>
      <c r="U37" s="1160"/>
      <c r="V37" s="1137"/>
      <c r="W37" s="1137"/>
      <c r="X37" s="1157"/>
      <c r="Y37" s="1128"/>
      <c r="Z37" s="1152"/>
      <c r="AA37" s="1165"/>
      <c r="AB37" s="1170"/>
      <c r="AC37" s="286"/>
      <c r="AD37" s="1160"/>
      <c r="AE37" s="1137"/>
      <c r="AF37" s="1137"/>
      <c r="AG37" s="1157"/>
      <c r="AH37" s="1205"/>
      <c r="AI37" s="1244"/>
      <c r="AJ37" s="1241"/>
      <c r="AK37" s="1170"/>
      <c r="AL37" s="1153"/>
      <c r="AM37" s="1160"/>
      <c r="AN37" s="1137"/>
      <c r="AO37" s="1137"/>
      <c r="AP37" s="1137"/>
      <c r="AQ37" s="1128"/>
      <c r="AR37" s="1244"/>
      <c r="AS37" s="1128"/>
      <c r="AT37" s="1170"/>
    </row>
    <row r="38" spans="1:46" ht="17.25" customHeight="1" x14ac:dyDescent="0.45">
      <c r="A38" s="1352"/>
      <c r="B38" s="692">
        <v>2</v>
      </c>
      <c r="C38" s="1203"/>
      <c r="D38" s="1156"/>
      <c r="E38" s="1203"/>
      <c r="F38" s="1157"/>
      <c r="G38" s="1176"/>
      <c r="H38" s="1149"/>
      <c r="I38" s="1141"/>
      <c r="J38" s="1170"/>
      <c r="K38" s="286"/>
      <c r="L38" s="1160"/>
      <c r="M38" s="1137"/>
      <c r="N38" s="1137"/>
      <c r="O38" s="1157"/>
      <c r="P38" s="1149"/>
      <c r="Q38" s="1149"/>
      <c r="R38" s="1137"/>
      <c r="S38" s="1170"/>
      <c r="T38" s="286"/>
      <c r="U38" s="1160"/>
      <c r="V38" s="1137"/>
      <c r="W38" s="1137">
        <v>15</v>
      </c>
      <c r="X38" s="1157"/>
      <c r="Y38" s="1149"/>
      <c r="Z38" s="1152"/>
      <c r="AA38" s="1165" t="s">
        <v>152</v>
      </c>
      <c r="AB38" s="1170"/>
      <c r="AC38" s="286"/>
      <c r="AD38" s="1160"/>
      <c r="AE38" s="1137"/>
      <c r="AF38" s="1137"/>
      <c r="AG38" s="1157"/>
      <c r="AH38" s="1149"/>
      <c r="AI38" s="1137"/>
      <c r="AJ38" s="1165"/>
      <c r="AK38" s="1170"/>
      <c r="AL38" s="1153"/>
      <c r="AM38" s="1160"/>
      <c r="AN38" s="1137"/>
      <c r="AO38" s="1137"/>
      <c r="AP38" s="1137"/>
      <c r="AQ38" s="1128"/>
      <c r="AR38" s="1244"/>
      <c r="AS38" s="1149"/>
      <c r="AT38" s="1170"/>
    </row>
    <row r="39" spans="1:46" ht="18.75" customHeight="1" x14ac:dyDescent="0.45">
      <c r="A39" s="1351">
        <v>45949</v>
      </c>
      <c r="B39" s="692">
        <v>1</v>
      </c>
      <c r="C39" s="1203"/>
      <c r="D39" s="1156">
        <v>160</v>
      </c>
      <c r="E39" s="1156"/>
      <c r="F39" s="1157"/>
      <c r="G39" s="1176"/>
      <c r="H39" s="1149" t="s">
        <v>96</v>
      </c>
      <c r="I39" s="1141"/>
      <c r="J39" s="1170"/>
      <c r="K39" s="286"/>
      <c r="L39" s="1160"/>
      <c r="M39" s="1137"/>
      <c r="N39" s="1137"/>
      <c r="O39" s="1157"/>
      <c r="P39" s="1176"/>
      <c r="Q39" s="1150"/>
      <c r="R39" s="1137"/>
      <c r="S39" s="1170"/>
      <c r="T39" s="286"/>
      <c r="U39" s="1160"/>
      <c r="V39" s="1137"/>
      <c r="W39" s="1137">
        <v>40</v>
      </c>
      <c r="X39" s="1157"/>
      <c r="Y39" s="1128"/>
      <c r="Z39" s="1150"/>
      <c r="AA39" s="1165" t="s">
        <v>152</v>
      </c>
      <c r="AB39" s="1170"/>
      <c r="AC39" s="286"/>
      <c r="AD39" s="1160"/>
      <c r="AE39" s="1137"/>
      <c r="AF39" s="1137"/>
      <c r="AG39" s="1157"/>
      <c r="AH39" s="1149"/>
      <c r="AI39" s="1137"/>
      <c r="AJ39" s="1165"/>
      <c r="AK39" s="1170"/>
      <c r="AL39" s="1153"/>
      <c r="AM39" s="1160"/>
      <c r="AN39" s="1137"/>
      <c r="AO39" s="1137"/>
      <c r="AP39" s="1137"/>
      <c r="AQ39" s="1128"/>
      <c r="AR39" s="1244"/>
      <c r="AS39" s="1241"/>
      <c r="AT39" s="1170"/>
    </row>
    <row r="40" spans="1:46" ht="15.75" customHeight="1" x14ac:dyDescent="0.45">
      <c r="A40" s="1352"/>
      <c r="B40" s="692">
        <v>2</v>
      </c>
      <c r="C40" s="1156"/>
      <c r="D40" s="1156"/>
      <c r="E40" s="1156">
        <v>16</v>
      </c>
      <c r="F40" s="1157"/>
      <c r="G40" s="1176"/>
      <c r="H40" s="1149"/>
      <c r="I40" s="1141" t="s">
        <v>152</v>
      </c>
      <c r="J40" s="1170"/>
      <c r="K40" s="286"/>
      <c r="L40" s="1160"/>
      <c r="M40" s="1137"/>
      <c r="N40" s="1137"/>
      <c r="O40" s="1157"/>
      <c r="P40" s="1139"/>
      <c r="Q40" s="1140"/>
      <c r="R40" s="1176"/>
      <c r="S40" s="1170"/>
      <c r="T40" s="286"/>
      <c r="U40" s="1160"/>
      <c r="V40" s="1137"/>
      <c r="W40" s="1137"/>
      <c r="X40" s="1157"/>
      <c r="Y40" s="1149"/>
      <c r="Z40" s="1137"/>
      <c r="AA40" s="1165"/>
      <c r="AB40" s="1170"/>
      <c r="AC40" s="286"/>
      <c r="AD40" s="1160"/>
      <c r="AE40" s="1137"/>
      <c r="AF40" s="1137"/>
      <c r="AG40" s="1157"/>
      <c r="AH40" s="1176"/>
      <c r="AI40" s="1140"/>
      <c r="AJ40" s="1165"/>
      <c r="AK40" s="1170"/>
      <c r="AL40" s="1153"/>
      <c r="AM40" s="1205"/>
      <c r="AN40" s="1137"/>
      <c r="AO40" s="1137"/>
      <c r="AP40" s="1137"/>
      <c r="AQ40" s="1128"/>
      <c r="AR40" s="1244"/>
      <c r="AS40" s="1176"/>
      <c r="AT40" s="1170"/>
    </row>
    <row r="41" spans="1:46" ht="17.25" customHeight="1" x14ac:dyDescent="0.45">
      <c r="A41" s="1351">
        <v>45950</v>
      </c>
      <c r="B41" s="692">
        <v>1</v>
      </c>
      <c r="C41" s="1155"/>
      <c r="D41" s="1156"/>
      <c r="E41" s="1156">
        <v>20</v>
      </c>
      <c r="F41" s="1157"/>
      <c r="G41" s="1139"/>
      <c r="H41" s="1150"/>
      <c r="I41" s="1141" t="s">
        <v>152</v>
      </c>
      <c r="J41" s="1170"/>
      <c r="K41" s="286"/>
      <c r="L41" s="1160"/>
      <c r="M41" s="1137"/>
      <c r="N41" s="1137"/>
      <c r="O41" s="1157"/>
      <c r="P41" s="1128"/>
      <c r="Q41" s="1137"/>
      <c r="R41" s="1176"/>
      <c r="S41" s="1170"/>
      <c r="T41" s="286"/>
      <c r="U41" s="1160"/>
      <c r="V41" s="1137"/>
      <c r="W41" s="1137">
        <v>23</v>
      </c>
      <c r="X41" s="1157"/>
      <c r="Y41" s="1128"/>
      <c r="Z41" s="1152"/>
      <c r="AA41" s="1165" t="s">
        <v>152</v>
      </c>
      <c r="AB41" s="1170"/>
      <c r="AC41" s="286"/>
      <c r="AD41" s="1160"/>
      <c r="AE41" s="1137"/>
      <c r="AF41" s="1137"/>
      <c r="AG41" s="1157"/>
      <c r="AH41" s="1205"/>
      <c r="AI41" s="1150"/>
      <c r="AJ41" s="1165"/>
      <c r="AK41" s="1170"/>
      <c r="AL41" s="1153"/>
      <c r="AM41" s="1160"/>
      <c r="AN41" s="1137"/>
      <c r="AO41" s="1137"/>
      <c r="AP41" s="1137"/>
      <c r="AQ41" s="1128"/>
      <c r="AR41" s="1244"/>
      <c r="AS41" s="1176"/>
      <c r="AT41" s="1170"/>
    </row>
    <row r="42" spans="1:46" ht="18" x14ac:dyDescent="0.4">
      <c r="A42" s="1352"/>
      <c r="B42" s="692">
        <v>2</v>
      </c>
      <c r="C42" s="1156"/>
      <c r="D42" s="1156"/>
      <c r="E42" s="1156"/>
      <c r="F42" s="1156"/>
      <c r="G42" s="1156"/>
      <c r="H42" s="1156"/>
      <c r="I42" s="1156"/>
      <c r="J42" s="1156"/>
      <c r="K42" s="1156"/>
      <c r="L42" s="1156"/>
      <c r="M42" s="1156"/>
      <c r="N42" s="1156"/>
      <c r="O42" s="1156"/>
      <c r="P42" s="1156"/>
      <c r="Q42" s="1156"/>
      <c r="R42" s="1156"/>
      <c r="S42" s="1156"/>
      <c r="T42" s="1156"/>
      <c r="U42" s="1156"/>
      <c r="V42" s="1156"/>
      <c r="W42" s="1156"/>
      <c r="X42" s="1156"/>
      <c r="Y42" s="1156"/>
      <c r="Z42" s="1156"/>
      <c r="AA42" s="1156"/>
      <c r="AB42" s="1156"/>
      <c r="AC42" s="1156"/>
      <c r="AD42" s="1156"/>
      <c r="AE42" s="1156"/>
      <c r="AF42" s="1156"/>
      <c r="AG42" s="1156"/>
      <c r="AH42" s="1205"/>
      <c r="AI42" s="1152"/>
      <c r="AJ42" s="1137"/>
      <c r="AK42" s="1156"/>
      <c r="AL42" s="1156"/>
      <c r="AM42" s="1156"/>
      <c r="AN42" s="1156"/>
      <c r="AO42" s="1156"/>
      <c r="AP42" s="1156"/>
      <c r="AQ42" s="1156"/>
      <c r="AR42" s="1156"/>
      <c r="AS42" s="1156"/>
      <c r="AT42" s="1156"/>
    </row>
    <row r="43" spans="1:46" ht="18" x14ac:dyDescent="0.45">
      <c r="A43" s="1351">
        <v>45951</v>
      </c>
      <c r="B43" s="692">
        <v>1</v>
      </c>
      <c r="C43" s="1156"/>
      <c r="D43" s="1156"/>
      <c r="E43" s="1156"/>
      <c r="F43" s="1157"/>
      <c r="G43" s="1140"/>
      <c r="H43" s="1140"/>
      <c r="I43" s="1176"/>
      <c r="J43" s="1170"/>
      <c r="K43" s="286"/>
      <c r="L43" s="1160"/>
      <c r="M43" s="1137"/>
      <c r="N43" s="1137"/>
      <c r="O43" s="1157"/>
      <c r="P43" s="1128"/>
      <c r="Q43" s="1137"/>
      <c r="R43" s="1137"/>
      <c r="S43" s="1170"/>
      <c r="T43" s="286"/>
      <c r="U43" s="1160"/>
      <c r="V43" s="1137"/>
      <c r="W43" s="1137"/>
      <c r="X43" s="1157"/>
      <c r="Y43" s="1128"/>
      <c r="Z43" s="1137"/>
      <c r="AA43" s="1165"/>
      <c r="AB43" s="1170"/>
      <c r="AC43" s="286"/>
      <c r="AD43" s="1160"/>
      <c r="AE43" s="1137"/>
      <c r="AF43" s="1137"/>
      <c r="AG43" s="1157"/>
      <c r="AH43" s="1156"/>
      <c r="AI43" s="1156"/>
      <c r="AJ43" s="1156"/>
      <c r="AK43" s="1170"/>
      <c r="AL43" s="1153"/>
      <c r="AM43" s="1160"/>
      <c r="AN43" s="1137"/>
      <c r="AO43" s="1137"/>
      <c r="AP43" s="1137"/>
      <c r="AQ43" s="1152"/>
      <c r="AR43" s="1244"/>
      <c r="AS43" s="1137"/>
      <c r="AT43" s="1170"/>
    </row>
    <row r="44" spans="1:46" ht="18" customHeight="1" x14ac:dyDescent="0.45">
      <c r="A44" s="1352"/>
      <c r="B44" s="692">
        <v>2</v>
      </c>
      <c r="C44" s="1156"/>
      <c r="D44" s="1156"/>
      <c r="E44" s="1156"/>
      <c r="F44" s="1157"/>
      <c r="G44" s="1140"/>
      <c r="H44" s="1149"/>
      <c r="I44" s="1176"/>
      <c r="J44" s="1170"/>
      <c r="K44" s="286"/>
      <c r="L44" s="1160"/>
      <c r="M44" s="1137"/>
      <c r="N44" s="1137"/>
      <c r="O44" s="1148"/>
      <c r="P44" s="1149"/>
      <c r="Q44" s="1137"/>
      <c r="R44" s="1152"/>
      <c r="S44" s="1170"/>
      <c r="T44" s="286"/>
      <c r="U44" s="1160"/>
      <c r="V44" s="1137"/>
      <c r="W44" s="1156"/>
      <c r="X44" s="1157"/>
      <c r="Y44" s="1140"/>
      <c r="Z44" s="1150"/>
      <c r="AA44" s="1165"/>
      <c r="AB44" s="1170"/>
      <c r="AC44" s="286"/>
      <c r="AD44" s="1160"/>
      <c r="AE44" s="1137"/>
      <c r="AF44" s="1137"/>
      <c r="AG44" s="1148"/>
      <c r="AH44" s="1152"/>
      <c r="AI44" s="1150"/>
      <c r="AJ44" s="1137"/>
      <c r="AK44" s="1170"/>
      <c r="AL44" s="1153"/>
      <c r="AM44" s="1160"/>
      <c r="AN44" s="1137"/>
      <c r="AO44" s="1137"/>
      <c r="AP44" s="1137"/>
      <c r="AQ44" s="1128"/>
      <c r="AR44" s="1152"/>
      <c r="AS44" s="1152"/>
      <c r="AT44" s="1170"/>
    </row>
    <row r="45" spans="1:46" ht="18" x14ac:dyDescent="0.45">
      <c r="A45" s="1351">
        <v>45952</v>
      </c>
      <c r="B45" s="692">
        <v>1</v>
      </c>
      <c r="C45" s="1156"/>
      <c r="D45" s="1156"/>
      <c r="E45" s="1156"/>
      <c r="F45" s="1157"/>
      <c r="G45" s="1140"/>
      <c r="H45" s="1140"/>
      <c r="I45" s="1176"/>
      <c r="J45" s="1170"/>
      <c r="K45" s="286"/>
      <c r="L45" s="1160"/>
      <c r="M45" s="1137"/>
      <c r="N45" s="1137"/>
      <c r="O45" s="1148"/>
      <c r="P45" s="1128"/>
      <c r="Q45" s="1152"/>
      <c r="R45" s="1137"/>
      <c r="S45" s="1170"/>
      <c r="T45" s="286"/>
      <c r="U45" s="1160"/>
      <c r="V45" s="1152"/>
      <c r="W45" s="1137">
        <v>15</v>
      </c>
      <c r="X45" s="1157"/>
      <c r="Y45" s="1128"/>
      <c r="Z45" s="1152"/>
      <c r="AA45" s="1165" t="s">
        <v>152</v>
      </c>
      <c r="AB45" s="1170"/>
      <c r="AC45" s="286"/>
      <c r="AD45" s="1160"/>
      <c r="AE45" s="1137"/>
      <c r="AF45" s="1137"/>
      <c r="AG45" s="1148"/>
      <c r="AH45" s="1128"/>
      <c r="AI45" s="1152"/>
      <c r="AJ45" s="1165"/>
      <c r="AK45" s="1170"/>
      <c r="AL45" s="1153"/>
      <c r="AM45" s="1160"/>
      <c r="AN45" s="1137"/>
      <c r="AO45" s="1137"/>
      <c r="AP45" s="1137"/>
      <c r="AQ45" s="1128"/>
      <c r="AR45" s="1152"/>
      <c r="AS45" s="1137"/>
      <c r="AT45" s="1170"/>
    </row>
    <row r="46" spans="1:46" ht="18" x14ac:dyDescent="0.45">
      <c r="A46" s="1352"/>
      <c r="B46" s="692">
        <v>2</v>
      </c>
      <c r="C46" s="1156"/>
      <c r="D46" s="1156"/>
      <c r="E46" s="1156"/>
      <c r="F46" s="1157"/>
      <c r="G46" s="1140"/>
      <c r="H46" s="1140"/>
      <c r="I46" s="1176"/>
      <c r="J46" s="1170"/>
      <c r="K46" s="286"/>
      <c r="L46" s="1160"/>
      <c r="M46" s="1137"/>
      <c r="N46" s="1137"/>
      <c r="O46" s="1001"/>
      <c r="P46" s="1128"/>
      <c r="Q46" s="1150"/>
      <c r="R46" s="1152"/>
      <c r="S46" s="1170"/>
      <c r="T46" s="286"/>
      <c r="U46" s="1160"/>
      <c r="V46" s="1137"/>
      <c r="W46" s="1137"/>
      <c r="X46" s="1148"/>
      <c r="Y46" s="1137"/>
      <c r="Z46" s="1137"/>
      <c r="AA46" s="1152"/>
      <c r="AB46" s="1170"/>
      <c r="AC46" s="286"/>
      <c r="AD46" s="1160"/>
      <c r="AE46" s="1137"/>
      <c r="AF46" s="1137"/>
      <c r="AG46" s="1148"/>
      <c r="AH46" s="1128"/>
      <c r="AI46" s="1152"/>
      <c r="AJ46" s="1152"/>
      <c r="AK46" s="1170"/>
      <c r="AL46" s="1153"/>
      <c r="AM46" s="1160"/>
      <c r="AN46" s="1137"/>
      <c r="AO46" s="1137"/>
      <c r="AP46" s="1137"/>
      <c r="AQ46" s="1128"/>
      <c r="AR46" s="1150"/>
      <c r="AS46" s="1152"/>
      <c r="AT46" s="1170"/>
    </row>
    <row r="47" spans="1:46" ht="18" x14ac:dyDescent="0.45">
      <c r="A47" s="1351">
        <v>45953</v>
      </c>
      <c r="B47" s="692">
        <v>1</v>
      </c>
      <c r="C47" s="1156"/>
      <c r="D47" s="1156"/>
      <c r="E47" s="1156"/>
      <c r="F47" s="1157"/>
      <c r="G47" s="1140"/>
      <c r="H47" s="1150"/>
      <c r="I47" s="1176"/>
      <c r="J47" s="1159"/>
      <c r="K47" s="286"/>
      <c r="L47" s="1160"/>
      <c r="M47" s="1137"/>
      <c r="N47" s="1137"/>
      <c r="O47" s="1148"/>
      <c r="P47" s="1128"/>
      <c r="Q47" s="1137"/>
      <c r="R47" s="1137"/>
      <c r="S47" s="1170"/>
      <c r="T47" s="286"/>
      <c r="U47" s="1160"/>
      <c r="V47" s="1137"/>
      <c r="W47" s="1137"/>
      <c r="X47" s="1148"/>
      <c r="Y47" s="1140"/>
      <c r="Z47" s="1152"/>
      <c r="AA47" s="1152"/>
      <c r="AB47" s="1170"/>
      <c r="AC47" s="286"/>
      <c r="AD47" s="1160"/>
      <c r="AE47" s="1137"/>
      <c r="AF47" s="1137"/>
      <c r="AG47" s="1137"/>
      <c r="AH47" s="1149"/>
      <c r="AI47" s="1152"/>
      <c r="AJ47" s="1165"/>
      <c r="AK47" s="1249"/>
      <c r="AL47" s="1153"/>
      <c r="AM47" s="1160"/>
      <c r="AN47" s="1137"/>
      <c r="AO47" s="1137"/>
      <c r="AP47" s="1137"/>
      <c r="AQ47" s="1128"/>
      <c r="AR47" s="1150"/>
      <c r="AS47" s="1152"/>
      <c r="AT47" s="1249"/>
    </row>
    <row r="48" spans="1:46" ht="15" customHeight="1" x14ac:dyDescent="0.45">
      <c r="A48" s="1352"/>
      <c r="B48" s="692">
        <v>2</v>
      </c>
      <c r="C48" s="1156"/>
      <c r="D48" s="1156"/>
      <c r="E48" s="1156"/>
      <c r="F48" s="1157"/>
      <c r="G48" s="1150"/>
      <c r="H48" s="1150"/>
      <c r="I48" s="1176"/>
      <c r="J48" s="1170"/>
      <c r="K48" s="286"/>
      <c r="L48" s="1160"/>
      <c r="M48" s="1137"/>
      <c r="N48" s="1137"/>
      <c r="O48" s="1157"/>
      <c r="P48" s="1150"/>
      <c r="Q48" s="1150"/>
      <c r="R48" s="1176"/>
      <c r="S48" s="1170"/>
      <c r="T48" s="286"/>
      <c r="U48" s="1160"/>
      <c r="V48" s="1137"/>
      <c r="W48" s="1137"/>
      <c r="X48" s="1157"/>
      <c r="Y48" s="1150"/>
      <c r="Z48" s="1150"/>
      <c r="AA48" s="1176"/>
      <c r="AB48" s="1170"/>
      <c r="AC48" s="286"/>
      <c r="AD48" s="1160"/>
      <c r="AE48" s="1137"/>
      <c r="AF48" s="1137"/>
      <c r="AG48" s="1137"/>
      <c r="AH48" s="1149"/>
      <c r="AI48" s="1150"/>
      <c r="AJ48" s="1165"/>
      <c r="AK48" s="1249"/>
      <c r="AL48" s="1153"/>
      <c r="AM48" s="1160"/>
      <c r="AN48" s="1192"/>
      <c r="AO48" s="1128"/>
      <c r="AP48" s="1192"/>
      <c r="AQ48" s="1193"/>
      <c r="AR48" s="1150"/>
      <c r="AS48" s="1152"/>
      <c r="AT48" s="1249"/>
    </row>
    <row r="49" spans="1:46" ht="16.5" customHeight="1" x14ac:dyDescent="0.45">
      <c r="A49" s="1351">
        <v>45954</v>
      </c>
      <c r="B49" s="692">
        <v>1</v>
      </c>
      <c r="C49" s="1156"/>
      <c r="D49" s="1156"/>
      <c r="E49" s="1156"/>
      <c r="F49" s="1157"/>
      <c r="G49" s="1150"/>
      <c r="H49" s="1140"/>
      <c r="I49" s="1176"/>
      <c r="J49" s="1170"/>
      <c r="K49" s="286"/>
      <c r="L49" s="1160"/>
      <c r="M49" s="1137"/>
      <c r="N49" s="1137"/>
      <c r="O49" s="1157"/>
      <c r="P49" s="1150"/>
      <c r="Q49" s="1140"/>
      <c r="R49" s="1176"/>
      <c r="S49" s="1170"/>
      <c r="T49" s="286"/>
      <c r="U49" s="1160"/>
      <c r="V49" s="1137"/>
      <c r="W49" s="1137"/>
      <c r="X49" s="1157"/>
      <c r="Y49" s="1150"/>
      <c r="Z49" s="1152"/>
      <c r="AA49" s="1152"/>
      <c r="AB49" s="1170"/>
      <c r="AC49" s="286"/>
      <c r="AD49" s="1160"/>
      <c r="AE49" s="1137"/>
      <c r="AF49" s="1137"/>
      <c r="AG49" s="1137"/>
      <c r="AH49" s="1149"/>
      <c r="AI49" s="1150"/>
      <c r="AJ49" s="1165"/>
      <c r="AK49" s="1249"/>
      <c r="AL49" s="1153"/>
      <c r="AM49" s="1160"/>
      <c r="AN49" s="1192"/>
      <c r="AO49" s="1128"/>
      <c r="AP49" s="1192"/>
      <c r="AQ49" s="1204"/>
      <c r="AR49" s="1150"/>
      <c r="AS49" s="1176"/>
      <c r="AT49" s="1250"/>
    </row>
    <row r="50" spans="1:46" ht="16.5" customHeight="1" x14ac:dyDescent="0.45">
      <c r="A50" s="1352"/>
      <c r="B50" s="692">
        <v>2</v>
      </c>
      <c r="C50" s="1156">
        <v>58</v>
      </c>
      <c r="D50" s="1156"/>
      <c r="E50" s="1156">
        <v>15</v>
      </c>
      <c r="F50" s="1157"/>
      <c r="G50" s="1140" t="s">
        <v>97</v>
      </c>
      <c r="H50" s="1140"/>
      <c r="I50" s="1176" t="s">
        <v>152</v>
      </c>
      <c r="J50" s="1170"/>
      <c r="K50" s="286"/>
      <c r="L50" s="1160"/>
      <c r="M50" s="1137"/>
      <c r="N50" s="1137"/>
      <c r="O50" s="1157"/>
      <c r="P50" s="1140"/>
      <c r="Q50" s="1140"/>
      <c r="R50" s="1176"/>
      <c r="S50" s="1170"/>
      <c r="T50" s="286"/>
      <c r="U50" s="1160"/>
      <c r="V50" s="1137"/>
      <c r="W50" s="1137"/>
      <c r="X50" s="1157"/>
      <c r="Y50" s="1140"/>
      <c r="Z50" s="1140"/>
      <c r="AA50" s="1176"/>
      <c r="AB50" s="1170"/>
      <c r="AC50" s="286"/>
      <c r="AD50" s="1160"/>
      <c r="AE50" s="1137"/>
      <c r="AF50" s="1137"/>
      <c r="AG50" s="1137"/>
      <c r="AH50" s="1149"/>
      <c r="AI50" s="1140"/>
      <c r="AJ50" s="1165"/>
      <c r="AK50" s="1249"/>
      <c r="AL50" s="1153"/>
      <c r="AM50" s="1160"/>
      <c r="AN50" s="1192"/>
      <c r="AO50" s="1137"/>
      <c r="AP50" s="1192"/>
      <c r="AQ50" s="1204"/>
      <c r="AR50" s="1150"/>
      <c r="AS50" s="1176"/>
      <c r="AT50" s="1251"/>
    </row>
    <row r="51" spans="1:46" ht="24.75" customHeight="1" x14ac:dyDescent="0.45">
      <c r="A51" s="1351">
        <v>45955</v>
      </c>
      <c r="B51" s="692">
        <v>1</v>
      </c>
      <c r="C51" s="1156"/>
      <c r="D51" s="1156"/>
      <c r="E51" s="1156"/>
      <c r="F51" s="1157"/>
      <c r="G51" s="1140"/>
      <c r="H51" s="1140"/>
      <c r="I51" s="1176"/>
      <c r="J51" s="1170"/>
      <c r="K51" s="286"/>
      <c r="L51" s="1160"/>
      <c r="M51" s="1137"/>
      <c r="N51" s="1137">
        <v>10</v>
      </c>
      <c r="O51" s="1157"/>
      <c r="P51" s="1140"/>
      <c r="Q51" s="1140"/>
      <c r="R51" s="1176" t="s">
        <v>97</v>
      </c>
      <c r="S51" s="1170"/>
      <c r="T51" s="286"/>
      <c r="U51" s="1160"/>
      <c r="V51" s="1137"/>
      <c r="W51" s="1137"/>
      <c r="X51" s="1157"/>
      <c r="Y51" s="1140"/>
      <c r="Z51" s="1140"/>
      <c r="AA51" s="1176"/>
      <c r="AB51" s="1170"/>
      <c r="AC51" s="286"/>
      <c r="AD51" s="1160"/>
      <c r="AE51" s="1137"/>
      <c r="AF51" s="1137"/>
      <c r="AG51" s="1157"/>
      <c r="AH51" s="1149"/>
      <c r="AI51" s="1140"/>
      <c r="AJ51" s="1165"/>
      <c r="AK51" s="1170"/>
      <c r="AL51" s="1153"/>
      <c r="AM51" s="1160"/>
      <c r="AN51" s="1192"/>
      <c r="AO51" s="1168"/>
      <c r="AP51" s="1192"/>
      <c r="AQ51" s="1204"/>
      <c r="AR51" s="1150"/>
      <c r="AS51" s="1176"/>
      <c r="AT51" s="1251"/>
    </row>
    <row r="52" spans="1:46" ht="18" customHeight="1" x14ac:dyDescent="0.45">
      <c r="A52" s="1352"/>
      <c r="B52" s="692">
        <v>2</v>
      </c>
      <c r="C52" s="1156"/>
      <c r="D52" s="1156"/>
      <c r="E52" s="1156">
        <v>15</v>
      </c>
      <c r="F52" s="1157"/>
      <c r="G52" s="1150"/>
      <c r="H52" s="1150"/>
      <c r="I52" s="1176" t="s">
        <v>1127</v>
      </c>
      <c r="J52" s="1252"/>
      <c r="K52" s="286"/>
      <c r="L52" s="1160"/>
      <c r="M52" s="1137"/>
      <c r="N52" s="1137"/>
      <c r="O52" s="1157"/>
      <c r="P52" s="1150"/>
      <c r="Q52" s="1150"/>
      <c r="R52" s="1176"/>
      <c r="S52" s="1252"/>
      <c r="T52" s="286"/>
      <c r="U52" s="1160"/>
      <c r="V52" s="1137"/>
      <c r="W52" s="1137">
        <v>33</v>
      </c>
      <c r="X52" s="1157"/>
      <c r="Y52" s="1150"/>
      <c r="Z52" s="1150"/>
      <c r="AA52" s="1176" t="s">
        <v>152</v>
      </c>
      <c r="AB52" s="1252"/>
      <c r="AC52" s="286"/>
      <c r="AD52" s="1160">
        <v>10</v>
      </c>
      <c r="AE52" s="1137"/>
      <c r="AF52" s="1137"/>
      <c r="AG52" s="1157"/>
      <c r="AH52" s="1140" t="s">
        <v>113</v>
      </c>
      <c r="AI52" s="1140"/>
      <c r="AJ52" s="1176"/>
      <c r="AK52" s="1252"/>
      <c r="AL52" s="1153"/>
      <c r="AM52" s="1160"/>
      <c r="AN52" s="1203"/>
      <c r="AO52" s="1173"/>
      <c r="AP52" s="1203"/>
      <c r="AQ52" s="1128"/>
      <c r="AR52" s="1150"/>
      <c r="AS52" s="1176"/>
      <c r="AT52" s="1252"/>
    </row>
    <row r="53" spans="1:46" ht="19.5" customHeight="1" x14ac:dyDescent="0.45">
      <c r="A53" s="1351">
        <v>45956</v>
      </c>
      <c r="B53" s="692">
        <v>1</v>
      </c>
      <c r="C53" s="1156">
        <v>17</v>
      </c>
      <c r="D53" s="1156"/>
      <c r="E53" s="1156"/>
      <c r="F53" s="1157"/>
      <c r="G53" s="1140" t="s">
        <v>113</v>
      </c>
      <c r="H53" s="1140"/>
      <c r="I53" s="1141"/>
      <c r="J53" s="1252"/>
      <c r="K53" s="286"/>
      <c r="L53" s="1160">
        <v>4</v>
      </c>
      <c r="M53" s="1137"/>
      <c r="N53" s="1137"/>
      <c r="O53" s="1148"/>
      <c r="P53" s="1150" t="s">
        <v>331</v>
      </c>
      <c r="Q53" s="1150"/>
      <c r="R53" s="1137"/>
      <c r="S53" s="1252"/>
      <c r="T53" s="286"/>
      <c r="U53" s="1160"/>
      <c r="V53" s="1137" t="s">
        <v>269</v>
      </c>
      <c r="W53" s="1137"/>
      <c r="X53" s="1148"/>
      <c r="Y53" s="1149"/>
      <c r="Z53" s="1137"/>
      <c r="AA53" s="1165"/>
      <c r="AB53" s="1252"/>
      <c r="AC53" s="286"/>
      <c r="AD53" s="1160"/>
      <c r="AE53" s="1152"/>
      <c r="AF53" s="1137">
        <v>8</v>
      </c>
      <c r="AG53" s="1148"/>
      <c r="AH53" s="1150"/>
      <c r="AI53" s="1150"/>
      <c r="AJ53" s="1176" t="s">
        <v>1142</v>
      </c>
      <c r="AK53" s="1252"/>
      <c r="AL53" s="1153"/>
      <c r="AM53" s="1160"/>
      <c r="AN53" s="1184"/>
      <c r="AO53" s="1188"/>
      <c r="AP53" s="1184"/>
      <c r="AQ53" s="1149"/>
      <c r="AR53" s="1150"/>
      <c r="AS53" s="1203"/>
      <c r="AT53" s="1252"/>
    </row>
    <row r="54" spans="1:46" ht="18" x14ac:dyDescent="0.45">
      <c r="A54" s="1352"/>
      <c r="B54" s="725">
        <v>2</v>
      </c>
      <c r="C54" s="1156"/>
      <c r="D54" s="1156"/>
      <c r="E54" s="1156"/>
      <c r="F54" s="1157"/>
      <c r="G54" s="1140"/>
      <c r="H54" s="1150"/>
      <c r="I54" s="1141"/>
      <c r="J54" s="1170"/>
      <c r="K54" s="286"/>
      <c r="L54" s="1160"/>
      <c r="M54" s="1137"/>
      <c r="N54" s="1137"/>
      <c r="O54" s="1157"/>
      <c r="P54" s="1150"/>
      <c r="Q54" s="1150"/>
      <c r="R54" s="1140"/>
      <c r="S54" s="1170"/>
      <c r="T54" s="286"/>
      <c r="U54" s="1160"/>
      <c r="V54" s="1137"/>
      <c r="W54" s="1137"/>
      <c r="X54" s="1157"/>
      <c r="Y54" s="1150"/>
      <c r="Z54" s="1150"/>
      <c r="AA54" s="1165"/>
      <c r="AB54" s="1170"/>
      <c r="AC54" s="286"/>
      <c r="AD54" s="1160"/>
      <c r="AE54" s="1137"/>
      <c r="AF54" s="1137">
        <v>18</v>
      </c>
      <c r="AG54" s="1148"/>
      <c r="AH54" s="1128"/>
      <c r="AI54" s="1137"/>
      <c r="AJ54" s="1152" t="s">
        <v>388</v>
      </c>
      <c r="AK54" s="1170"/>
      <c r="AL54" s="1153"/>
      <c r="AM54" s="1160"/>
      <c r="AN54" s="1184"/>
      <c r="AO54" s="1161"/>
      <c r="AP54" s="1184"/>
      <c r="AQ54" s="1149"/>
      <c r="AR54" s="1150"/>
      <c r="AS54" s="1176"/>
      <c r="AT54" s="1253"/>
    </row>
    <row r="55" spans="1:46" ht="18" x14ac:dyDescent="0.45">
      <c r="A55" s="1351">
        <v>45957</v>
      </c>
      <c r="B55" s="692">
        <v>1</v>
      </c>
      <c r="C55" s="1155"/>
      <c r="D55" s="1156"/>
      <c r="E55" s="1156"/>
      <c r="F55" s="1157"/>
      <c r="G55" s="1140"/>
      <c r="H55" s="1140"/>
      <c r="I55" s="1141"/>
      <c r="J55" s="1148"/>
      <c r="K55" s="286"/>
      <c r="L55" s="1160"/>
      <c r="M55" s="1137"/>
      <c r="N55" s="1137"/>
      <c r="O55" s="1148"/>
      <c r="P55" s="1128"/>
      <c r="Q55" s="1150"/>
      <c r="R55" s="1137"/>
      <c r="S55" s="1148"/>
      <c r="T55" s="286"/>
      <c r="U55" s="1160"/>
      <c r="V55" s="1137"/>
      <c r="W55" s="1137"/>
      <c r="X55" s="1148"/>
      <c r="Y55" s="1128"/>
      <c r="Z55" s="1140"/>
      <c r="AA55" s="1165"/>
      <c r="AB55" s="1148"/>
      <c r="AC55" s="286"/>
      <c r="AD55" s="1160"/>
      <c r="AE55" s="1137"/>
      <c r="AF55" s="1137">
        <v>12</v>
      </c>
      <c r="AG55" s="1148"/>
      <c r="AH55" s="1128"/>
      <c r="AI55" s="1150"/>
      <c r="AJ55" s="1137" t="s">
        <v>388</v>
      </c>
      <c r="AK55" s="1148"/>
      <c r="AL55" s="1153"/>
      <c r="AM55" s="1160"/>
      <c r="AN55" s="1184"/>
      <c r="AO55" s="1137"/>
      <c r="AP55" s="1184"/>
      <c r="AQ55" s="1128"/>
      <c r="AR55" s="1150"/>
      <c r="AS55" s="1176"/>
      <c r="AT55" s="1253"/>
    </row>
    <row r="56" spans="1:46" ht="18" x14ac:dyDescent="0.45">
      <c r="A56" s="1352"/>
      <c r="B56" s="725">
        <v>2</v>
      </c>
      <c r="C56" s="1155"/>
      <c r="D56" s="1156"/>
      <c r="E56" s="1156">
        <v>10</v>
      </c>
      <c r="F56" s="1157"/>
      <c r="G56" s="1150"/>
      <c r="H56" s="1150"/>
      <c r="I56" s="1141" t="s">
        <v>152</v>
      </c>
      <c r="J56" s="1170"/>
      <c r="K56" s="286"/>
      <c r="L56" s="1160"/>
      <c r="M56" s="1137"/>
      <c r="N56" s="1137"/>
      <c r="O56" s="1157"/>
      <c r="P56" s="1150"/>
      <c r="Q56" s="1140"/>
      <c r="R56" s="1150"/>
      <c r="S56" s="1170"/>
      <c r="T56" s="286"/>
      <c r="U56" s="1160"/>
      <c r="V56" s="1137"/>
      <c r="W56" s="1137">
        <v>15</v>
      </c>
      <c r="X56" s="1157"/>
      <c r="Y56" s="1149"/>
      <c r="Z56" s="1140"/>
      <c r="AA56" s="1165" t="s">
        <v>152</v>
      </c>
      <c r="AB56" s="1170"/>
      <c r="AC56" s="286"/>
      <c r="AD56" s="1160"/>
      <c r="AE56" s="1137"/>
      <c r="AF56" s="1137"/>
      <c r="AG56" s="1157"/>
      <c r="AH56" s="1128"/>
      <c r="AI56" s="1150"/>
      <c r="AJ56" s="1152"/>
      <c r="AK56" s="1170"/>
      <c r="AL56" s="1153"/>
      <c r="AM56" s="1160"/>
      <c r="AN56" s="1184"/>
      <c r="AO56" s="1137"/>
      <c r="AP56" s="1184"/>
      <c r="AQ56" s="1150"/>
      <c r="AR56" s="1150"/>
      <c r="AS56" s="1137"/>
      <c r="AT56" s="1253"/>
    </row>
    <row r="57" spans="1:46" ht="18" x14ac:dyDescent="0.45">
      <c r="A57" s="1351">
        <v>45958</v>
      </c>
      <c r="B57" s="692">
        <v>1</v>
      </c>
      <c r="C57" s="1155"/>
      <c r="D57" s="1156"/>
      <c r="E57" s="1156">
        <v>11</v>
      </c>
      <c r="F57" s="1157"/>
      <c r="G57" s="1150"/>
      <c r="H57" s="1150"/>
      <c r="I57" s="1176" t="s">
        <v>388</v>
      </c>
      <c r="J57" s="1170"/>
      <c r="K57" s="286"/>
      <c r="L57" s="1160"/>
      <c r="M57" s="1137"/>
      <c r="N57" s="1137"/>
      <c r="O57" s="1157"/>
      <c r="P57" s="1150"/>
      <c r="Q57" s="1140"/>
      <c r="R57" s="1150"/>
      <c r="S57" s="1170"/>
      <c r="T57" s="286"/>
      <c r="U57" s="1160"/>
      <c r="V57" s="1137"/>
      <c r="W57" s="1137"/>
      <c r="X57" s="1157"/>
      <c r="Y57" s="1150"/>
      <c r="Z57" s="1140"/>
      <c r="AA57" s="1152"/>
      <c r="AB57" s="1170"/>
      <c r="AC57" s="286"/>
      <c r="AD57" s="1160"/>
      <c r="AE57" s="1137"/>
      <c r="AF57" s="1137">
        <v>5</v>
      </c>
      <c r="AG57" s="1157"/>
      <c r="AH57" s="1150"/>
      <c r="AI57" s="1140"/>
      <c r="AJ57" s="1150" t="s">
        <v>388</v>
      </c>
      <c r="AK57" s="1170"/>
      <c r="AL57" s="1153"/>
      <c r="AM57" s="1160"/>
      <c r="AN57" s="1184"/>
      <c r="AO57" s="1137"/>
      <c r="AP57" s="1184"/>
      <c r="AQ57" s="1150"/>
      <c r="AR57" s="1150"/>
      <c r="AS57" s="1137"/>
      <c r="AT57" s="1253"/>
    </row>
    <row r="58" spans="1:46" ht="18" x14ac:dyDescent="0.45">
      <c r="A58" s="1352"/>
      <c r="B58" s="725">
        <v>2</v>
      </c>
      <c r="C58" s="1155">
        <v>77</v>
      </c>
      <c r="D58" s="1156"/>
      <c r="E58" s="1156"/>
      <c r="F58" s="1157"/>
      <c r="G58" s="1150" t="s">
        <v>97</v>
      </c>
      <c r="H58" s="1150"/>
      <c r="I58" s="1141"/>
      <c r="J58" s="1170"/>
      <c r="K58" s="286"/>
      <c r="L58" s="1160"/>
      <c r="M58" s="1137"/>
      <c r="N58" s="1137"/>
      <c r="O58" s="1157"/>
      <c r="P58" s="1150"/>
      <c r="Q58" s="1140"/>
      <c r="R58" s="1150"/>
      <c r="S58" s="1170"/>
      <c r="T58" s="286"/>
      <c r="U58" s="1160"/>
      <c r="V58" s="1137"/>
      <c r="W58" s="1137">
        <v>13</v>
      </c>
      <c r="X58" s="1157"/>
      <c r="Y58" s="1150"/>
      <c r="Z58" s="1140"/>
      <c r="AA58" s="1152" t="s">
        <v>152</v>
      </c>
      <c r="AB58" s="1170"/>
      <c r="AC58" s="286"/>
      <c r="AD58" s="1160"/>
      <c r="AE58" s="1137"/>
      <c r="AF58" s="1137"/>
      <c r="AG58" s="1137"/>
      <c r="AH58" s="1150"/>
      <c r="AI58" s="1140"/>
      <c r="AJ58" s="1150"/>
      <c r="AK58" s="1170"/>
      <c r="AL58" s="1153"/>
      <c r="AM58" s="1160"/>
      <c r="AN58" s="1137"/>
      <c r="AO58" s="1137"/>
      <c r="AP58" s="1184">
        <v>639</v>
      </c>
      <c r="AQ58" s="1184"/>
      <c r="AR58" s="1184"/>
      <c r="AS58" s="1184"/>
      <c r="AT58" s="1253" t="s">
        <v>1143</v>
      </c>
    </row>
    <row r="59" spans="1:46" ht="18" x14ac:dyDescent="0.45">
      <c r="A59" s="1351">
        <v>45959</v>
      </c>
      <c r="B59" s="692">
        <v>1</v>
      </c>
      <c r="C59" s="1155"/>
      <c r="D59" s="1156"/>
      <c r="E59" s="1156"/>
      <c r="F59" s="1157"/>
      <c r="G59" s="1150"/>
      <c r="H59" s="1140"/>
      <c r="I59" s="1141"/>
      <c r="J59" s="1170"/>
      <c r="K59" s="286"/>
      <c r="L59" s="1160"/>
      <c r="M59" s="1137"/>
      <c r="N59" s="1137"/>
      <c r="O59" s="1148"/>
      <c r="P59" s="1128"/>
      <c r="Q59" s="1152"/>
      <c r="R59" s="1137"/>
      <c r="S59" s="1170"/>
      <c r="T59" s="286"/>
      <c r="U59" s="1160"/>
      <c r="V59" s="1137"/>
      <c r="W59" s="1137">
        <v>23</v>
      </c>
      <c r="X59" s="1148"/>
      <c r="Y59" s="1150"/>
      <c r="Z59" s="1140"/>
      <c r="AA59" s="1141" t="s">
        <v>152</v>
      </c>
      <c r="AB59" s="1170"/>
      <c r="AC59" s="286"/>
      <c r="AD59" s="1160"/>
      <c r="AE59" s="1137"/>
      <c r="AF59" s="1137"/>
      <c r="AG59" s="1148"/>
      <c r="AH59" s="1150"/>
      <c r="AI59" s="1140"/>
      <c r="AJ59" s="1137"/>
      <c r="AK59" s="1170"/>
      <c r="AL59" s="1153"/>
      <c r="AM59" s="1160"/>
      <c r="AN59" s="1137"/>
      <c r="AO59" s="1137"/>
      <c r="AP59" s="1184"/>
      <c r="AQ59" s="1184"/>
      <c r="AR59" s="1184"/>
      <c r="AS59" s="1184"/>
      <c r="AT59" s="1253"/>
    </row>
    <row r="60" spans="1:46" ht="18" x14ac:dyDescent="0.45">
      <c r="A60" s="1352"/>
      <c r="B60" s="725">
        <v>2</v>
      </c>
      <c r="C60" s="1155"/>
      <c r="D60" s="1156"/>
      <c r="E60" s="1156">
        <v>18</v>
      </c>
      <c r="F60" s="1157"/>
      <c r="G60" s="1140"/>
      <c r="H60" s="1150"/>
      <c r="I60" s="1141" t="s">
        <v>152</v>
      </c>
      <c r="J60" s="1170"/>
      <c r="K60" s="286"/>
      <c r="L60" s="1160"/>
      <c r="M60" s="1137"/>
      <c r="N60" s="1137"/>
      <c r="O60" s="1148"/>
      <c r="P60" s="1128"/>
      <c r="Q60" s="1150"/>
      <c r="R60" s="1137"/>
      <c r="S60" s="1170"/>
      <c r="T60" s="286"/>
      <c r="U60" s="1160"/>
      <c r="V60" s="1137"/>
      <c r="W60" s="1137">
        <v>15</v>
      </c>
      <c r="X60" s="1148"/>
      <c r="Y60" s="1149"/>
      <c r="Z60" s="1150"/>
      <c r="AA60" s="1141" t="s">
        <v>578</v>
      </c>
      <c r="AB60" s="1170"/>
      <c r="AC60" s="286"/>
      <c r="AD60" s="1160"/>
      <c r="AE60" s="1160"/>
      <c r="AF60" s="1160"/>
      <c r="AG60" s="1160"/>
      <c r="AH60" s="1160"/>
      <c r="AI60" s="1137"/>
      <c r="AJ60" s="1150"/>
      <c r="AK60" s="1170"/>
      <c r="AL60" s="1153"/>
      <c r="AM60" s="1160"/>
      <c r="AN60" s="1137"/>
      <c r="AO60" s="1137"/>
      <c r="AP60" s="1184"/>
      <c r="AQ60" s="1128"/>
      <c r="AR60" s="1150"/>
      <c r="AS60" s="1152"/>
      <c r="AT60" s="1253"/>
    </row>
    <row r="61" spans="1:46" ht="18" x14ac:dyDescent="0.45">
      <c r="A61" s="1351">
        <v>45960</v>
      </c>
      <c r="B61" s="692">
        <v>1</v>
      </c>
      <c r="C61" s="1254"/>
      <c r="D61" s="1177"/>
      <c r="E61" s="1156"/>
      <c r="F61" s="1199"/>
      <c r="G61" s="1140"/>
      <c r="H61" s="1196"/>
      <c r="I61" s="1141"/>
      <c r="J61" s="1170"/>
      <c r="K61" s="286"/>
      <c r="L61" s="1160"/>
      <c r="M61" s="1128"/>
      <c r="N61" s="1137"/>
      <c r="O61" s="1148"/>
      <c r="P61" s="1255"/>
      <c r="Q61" s="1150"/>
      <c r="R61" s="1168"/>
      <c r="S61" s="1194"/>
      <c r="T61" s="286"/>
      <c r="U61" s="1160"/>
      <c r="V61" s="1137"/>
      <c r="W61" s="1137"/>
      <c r="X61" s="1148"/>
      <c r="Y61" s="1149"/>
      <c r="Z61" s="1150"/>
      <c r="AA61" s="1141"/>
      <c r="AB61" s="1194"/>
      <c r="AC61" s="286"/>
      <c r="AD61" s="1160"/>
      <c r="AE61" s="1128"/>
      <c r="AF61" s="1128"/>
      <c r="AG61" s="1127"/>
      <c r="AH61" s="1160"/>
      <c r="AI61" s="1150"/>
      <c r="AJ61" s="1152"/>
      <c r="AK61" s="1194"/>
      <c r="AL61" s="1153"/>
      <c r="AM61" s="1160"/>
      <c r="AN61" s="1137"/>
      <c r="AO61" s="1137"/>
      <c r="AP61" s="1184"/>
      <c r="AQ61" s="1128"/>
      <c r="AR61" s="1150"/>
      <c r="AS61" s="1152"/>
      <c r="AT61" s="1253"/>
    </row>
    <row r="62" spans="1:46" ht="18" x14ac:dyDescent="0.45">
      <c r="A62" s="1352"/>
      <c r="B62" s="725">
        <v>2</v>
      </c>
      <c r="C62" s="1254"/>
      <c r="D62" s="1177"/>
      <c r="E62" s="1156">
        <v>15</v>
      </c>
      <c r="F62" s="1199"/>
      <c r="G62" s="1140"/>
      <c r="H62" s="1196"/>
      <c r="I62" s="1141" t="s">
        <v>388</v>
      </c>
      <c r="J62" s="1170"/>
      <c r="K62" s="286"/>
      <c r="L62" s="1160"/>
      <c r="M62" s="1128"/>
      <c r="N62" s="1137"/>
      <c r="O62" s="1148"/>
      <c r="P62" s="1255"/>
      <c r="Q62" s="1150"/>
      <c r="R62" s="1168"/>
      <c r="S62" s="1194"/>
      <c r="T62" s="286"/>
      <c r="U62" s="1160"/>
      <c r="V62" s="1137"/>
      <c r="W62" s="1137">
        <v>8</v>
      </c>
      <c r="X62" s="1148"/>
      <c r="Y62" s="1149"/>
      <c r="Z62" s="1150"/>
      <c r="AA62" s="1141" t="s">
        <v>578</v>
      </c>
      <c r="AB62" s="1194"/>
      <c r="AC62" s="286"/>
      <c r="AD62" s="1160"/>
      <c r="AE62" s="1128"/>
      <c r="AF62" s="1128">
        <v>15</v>
      </c>
      <c r="AG62" s="1127"/>
      <c r="AH62" s="1255"/>
      <c r="AI62" s="1196"/>
      <c r="AJ62" s="1256" t="s">
        <v>842</v>
      </c>
      <c r="AK62" s="1194"/>
      <c r="AL62" s="1153"/>
      <c r="AM62" s="1160"/>
      <c r="AN62" s="1137"/>
      <c r="AO62" s="1137"/>
      <c r="AP62" s="1137"/>
      <c r="AQ62" s="1128"/>
      <c r="AR62" s="1150"/>
      <c r="AS62" s="1152"/>
      <c r="AT62" s="1253"/>
    </row>
    <row r="63" spans="1:46" ht="18" x14ac:dyDescent="0.45">
      <c r="A63" s="1351">
        <v>45961</v>
      </c>
      <c r="B63" s="692">
        <v>1</v>
      </c>
      <c r="C63" s="1254"/>
      <c r="D63" s="1177"/>
      <c r="E63" s="1156"/>
      <c r="F63" s="1199"/>
      <c r="G63" s="1140"/>
      <c r="H63" s="1196"/>
      <c r="I63" s="1141"/>
      <c r="J63" s="1159"/>
      <c r="K63" s="286"/>
      <c r="L63" s="1160"/>
      <c r="M63" s="1160"/>
      <c r="N63" s="1137"/>
      <c r="O63" s="1148"/>
      <c r="P63" s="1255"/>
      <c r="Q63" s="1150"/>
      <c r="R63" s="1168"/>
      <c r="S63" s="1249"/>
      <c r="T63" s="286"/>
      <c r="U63" s="1160"/>
      <c r="V63" s="1137"/>
      <c r="W63" s="1137"/>
      <c r="X63" s="1148"/>
      <c r="Y63" s="1149"/>
      <c r="Z63" s="1152"/>
      <c r="AA63" s="1141"/>
      <c r="AB63" s="1249"/>
      <c r="AC63" s="286"/>
      <c r="AD63" s="1160"/>
      <c r="AE63" s="1137"/>
      <c r="AF63" s="1137"/>
      <c r="AG63" s="1148"/>
      <c r="AH63" s="1255"/>
      <c r="AI63" s="1196"/>
      <c r="AJ63" s="1256"/>
      <c r="AK63" s="1249"/>
      <c r="AL63" s="1153"/>
      <c r="AM63" s="1160"/>
      <c r="AN63" s="1137"/>
      <c r="AO63" s="1137"/>
      <c r="AP63" s="1137"/>
      <c r="AQ63" s="1149"/>
      <c r="AR63" s="1137"/>
      <c r="AS63" s="1152"/>
      <c r="AT63" s="1249"/>
    </row>
    <row r="64" spans="1:46" ht="18" x14ac:dyDescent="0.45">
      <c r="A64" s="1352"/>
      <c r="B64" s="725">
        <v>2</v>
      </c>
      <c r="C64" s="1254"/>
      <c r="D64" s="1177"/>
      <c r="E64" s="1177">
        <v>16</v>
      </c>
      <c r="F64" s="1199"/>
      <c r="G64" s="1195"/>
      <c r="H64" s="1196"/>
      <c r="I64" s="1141" t="s">
        <v>152</v>
      </c>
      <c r="J64" s="1170"/>
      <c r="K64" s="286"/>
      <c r="L64" s="1160"/>
      <c r="M64" s="1137"/>
      <c r="N64" s="1137"/>
      <c r="O64" s="1148"/>
      <c r="P64" s="1255"/>
      <c r="Q64" s="1256"/>
      <c r="R64" s="1168"/>
      <c r="S64" s="1170"/>
      <c r="T64" s="286"/>
      <c r="U64" s="1160"/>
      <c r="V64" s="1137"/>
      <c r="W64" s="1137">
        <v>65</v>
      </c>
      <c r="X64" s="1148"/>
      <c r="Y64" s="1149"/>
      <c r="Z64" s="1256"/>
      <c r="AA64" s="1141" t="s">
        <v>152</v>
      </c>
      <c r="AB64" s="1170"/>
      <c r="AC64" s="286"/>
      <c r="AD64" s="1160"/>
      <c r="AE64" s="1137"/>
      <c r="AF64" s="1137"/>
      <c r="AG64" s="1203"/>
      <c r="AH64" s="1255"/>
      <c r="AI64" s="1256"/>
      <c r="AJ64" s="1256"/>
      <c r="AK64" s="1170"/>
      <c r="AL64" s="1153"/>
      <c r="AM64" s="1160"/>
      <c r="AN64" s="1137"/>
      <c r="AO64" s="1137"/>
      <c r="AP64" s="1137"/>
      <c r="AQ64" s="1128"/>
      <c r="AR64" s="1137"/>
      <c r="AS64" s="1152"/>
      <c r="AT64" s="1170"/>
    </row>
    <row r="65" spans="1:46" ht="18" x14ac:dyDescent="0.45">
      <c r="A65" s="255" t="s">
        <v>225</v>
      </c>
      <c r="B65" s="354"/>
      <c r="C65" s="757">
        <f>SUM(C3:C64)</f>
        <v>152</v>
      </c>
      <c r="D65" s="354">
        <f>SUM(D3:D64)</f>
        <v>160</v>
      </c>
      <c r="E65" s="757">
        <f>SUM(E3:E64)</f>
        <v>334</v>
      </c>
      <c r="F65" s="354">
        <f>SUM(F3:F64)</f>
        <v>562</v>
      </c>
      <c r="G65" s="255"/>
      <c r="H65" s="255"/>
      <c r="I65" s="255"/>
      <c r="J65" s="255"/>
      <c r="K65" s="255"/>
      <c r="L65" s="354">
        <f>SUM(L3:L64)</f>
        <v>4</v>
      </c>
      <c r="M65" s="354">
        <f>SUM(M3:M64)</f>
        <v>0</v>
      </c>
      <c r="N65" s="354">
        <f>SUM(N3:N64)</f>
        <v>10</v>
      </c>
      <c r="O65" s="354">
        <f>SUM(O3:O64)</f>
        <v>451</v>
      </c>
      <c r="P65" s="255"/>
      <c r="Q65" s="255"/>
      <c r="R65" s="255"/>
      <c r="S65" s="255"/>
      <c r="T65" s="255"/>
      <c r="U65" s="354">
        <f>SUM(U3:U64)</f>
        <v>0</v>
      </c>
      <c r="V65" s="354">
        <f>SUM(V3:V64)</f>
        <v>119</v>
      </c>
      <c r="W65" s="354">
        <f>SUM(W3:W64)</f>
        <v>379</v>
      </c>
      <c r="X65" s="354">
        <f>SUM(X3:X64)</f>
        <v>985</v>
      </c>
      <c r="Y65" s="255"/>
      <c r="Z65" s="255"/>
      <c r="AA65" s="255"/>
      <c r="AB65" s="255"/>
      <c r="AC65" s="255"/>
      <c r="AD65" s="354">
        <f>SUM(AD3:AD64)</f>
        <v>13061</v>
      </c>
      <c r="AE65" s="354">
        <f>SUM(AE3:AE64)</f>
        <v>0</v>
      </c>
      <c r="AF65" s="354">
        <f>SUM(AF3:AF64)</f>
        <v>90</v>
      </c>
      <c r="AG65" s="354">
        <f>SUM(AG3:AG64)</f>
        <v>513</v>
      </c>
      <c r="AH65" s="1536"/>
      <c r="AI65" s="1537"/>
      <c r="AJ65" s="1538"/>
      <c r="AK65" s="255"/>
      <c r="AL65" s="255"/>
      <c r="AM65" s="354">
        <f>SUM(AM3:AM64)</f>
        <v>55</v>
      </c>
      <c r="AN65" s="354">
        <f>SUM(AN3:AN64)</f>
        <v>0</v>
      </c>
      <c r="AO65" s="354">
        <f>SUM(AO3:AO64)</f>
        <v>0</v>
      </c>
      <c r="AP65" s="354">
        <f>SUM(AP3:AP64)</f>
        <v>1465</v>
      </c>
      <c r="AQ65" s="255"/>
      <c r="AR65" s="255"/>
      <c r="AS65" s="255"/>
      <c r="AT65" s="255"/>
    </row>
    <row r="66" spans="1:46" ht="18" x14ac:dyDescent="0.45">
      <c r="A66" s="423"/>
      <c r="B66" s="65"/>
      <c r="C66" s="423"/>
      <c r="D66" s="423"/>
      <c r="E66" s="423"/>
      <c r="F66" s="423"/>
      <c r="G66" s="423"/>
      <c r="H66" s="423"/>
      <c r="I66" s="423"/>
      <c r="J66" s="423"/>
      <c r="K66" s="423"/>
      <c r="L66" s="423"/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423"/>
      <c r="Y66" s="423"/>
      <c r="Z66" s="423"/>
      <c r="AA66" s="423"/>
      <c r="AB66" s="423"/>
      <c r="AC66" s="423"/>
      <c r="AD66" s="423"/>
      <c r="AE66" s="423"/>
      <c r="AF66" s="423"/>
      <c r="AG66" s="423"/>
      <c r="AH66" s="255"/>
      <c r="AI66" s="255"/>
      <c r="AJ66" s="255"/>
      <c r="AK66" s="423"/>
      <c r="AL66" s="423"/>
      <c r="AM66" s="423"/>
      <c r="AN66" s="423"/>
      <c r="AO66" s="423"/>
      <c r="AP66" s="423"/>
      <c r="AQ66" s="423"/>
      <c r="AR66" s="423"/>
      <c r="AS66" s="423"/>
      <c r="AT66" s="423"/>
    </row>
    <row r="67" spans="1:46" x14ac:dyDescent="0.4">
      <c r="A67" s="423"/>
      <c r="B67" s="65"/>
      <c r="C67" s="423"/>
      <c r="D67" s="423"/>
      <c r="E67" s="423"/>
      <c r="F67" s="423"/>
      <c r="G67" s="423"/>
      <c r="H67" s="423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23"/>
      <c r="X67" s="423"/>
      <c r="Y67" s="423"/>
      <c r="Z67" s="423"/>
      <c r="AA67" s="423"/>
      <c r="AB67" s="423"/>
      <c r="AC67" s="423"/>
      <c r="AD67" s="423"/>
      <c r="AE67" s="423"/>
      <c r="AF67" s="423"/>
      <c r="AG67" s="423"/>
      <c r="AH67" s="423"/>
      <c r="AI67" s="423"/>
      <c r="AJ67" s="423"/>
      <c r="AK67" s="423"/>
      <c r="AL67" s="423"/>
      <c r="AM67" s="423"/>
      <c r="AN67" s="423"/>
      <c r="AO67" s="423"/>
      <c r="AP67" s="423"/>
      <c r="AQ67" s="423"/>
      <c r="AR67" s="423"/>
      <c r="AS67" s="423"/>
      <c r="AT67" s="423"/>
    </row>
    <row r="68" spans="1:46" x14ac:dyDescent="0.4">
      <c r="A68" s="423"/>
      <c r="B68" s="65"/>
      <c r="C68" s="423"/>
      <c r="D68" s="423"/>
      <c r="E68" s="423"/>
      <c r="F68" s="423"/>
      <c r="G68" s="423"/>
      <c r="H68" s="423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23"/>
      <c r="X68" s="423"/>
      <c r="Y68" s="423"/>
      <c r="Z68" s="423"/>
      <c r="AA68" s="423"/>
      <c r="AB68" s="423"/>
      <c r="AC68" s="423"/>
      <c r="AD68" s="423"/>
      <c r="AE68" s="423"/>
      <c r="AF68" s="423"/>
      <c r="AG68" s="423"/>
      <c r="AH68" s="423"/>
      <c r="AI68" s="423"/>
      <c r="AJ68" s="423"/>
      <c r="AK68" s="423"/>
      <c r="AL68" s="423"/>
      <c r="AM68" s="423"/>
      <c r="AN68" s="423"/>
      <c r="AO68" s="423"/>
      <c r="AP68" s="423"/>
      <c r="AQ68" s="423"/>
      <c r="AR68" s="423"/>
      <c r="AS68" s="423"/>
      <c r="AT68" s="423"/>
    </row>
    <row r="69" spans="1:46" x14ac:dyDescent="0.4">
      <c r="A69" s="423"/>
      <c r="B69" s="65"/>
      <c r="C69" s="423"/>
      <c r="D69" s="423"/>
      <c r="E69" s="423"/>
      <c r="F69" s="423"/>
      <c r="G69" s="423"/>
      <c r="H69" s="423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23"/>
      <c r="X69" s="423"/>
      <c r="Y69" s="423"/>
      <c r="Z69" s="423"/>
      <c r="AA69" s="423"/>
      <c r="AB69" s="423"/>
      <c r="AC69" s="423"/>
      <c r="AD69" s="423"/>
      <c r="AE69" s="423"/>
      <c r="AF69" s="423"/>
      <c r="AG69" s="423"/>
      <c r="AH69" s="423"/>
      <c r="AI69" s="423"/>
      <c r="AJ69" s="423"/>
      <c r="AK69" s="423"/>
      <c r="AL69" s="423"/>
      <c r="AM69" s="423"/>
      <c r="AN69" s="423"/>
      <c r="AO69" s="423"/>
      <c r="AP69" s="423"/>
      <c r="AQ69" s="423"/>
      <c r="AR69" s="423"/>
      <c r="AS69" s="423"/>
      <c r="AT69" s="423"/>
    </row>
    <row r="70" spans="1:46" x14ac:dyDescent="0.4">
      <c r="A70" s="423"/>
      <c r="B70" s="65"/>
      <c r="C70" s="423"/>
      <c r="D70" s="423"/>
      <c r="E70" s="423"/>
      <c r="F70" s="423"/>
      <c r="G70" s="423"/>
      <c r="H70" s="423"/>
      <c r="I70" s="423"/>
      <c r="J70" s="423"/>
      <c r="K70" s="423"/>
      <c r="L70" s="423"/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423"/>
      <c r="Y70" s="423"/>
      <c r="Z70" s="423"/>
      <c r="AA70" s="423"/>
      <c r="AB70" s="423"/>
      <c r="AC70" s="423"/>
      <c r="AD70" s="423"/>
      <c r="AE70" s="423"/>
      <c r="AF70" s="423"/>
      <c r="AG70" s="423"/>
      <c r="AH70" s="423"/>
      <c r="AI70" s="423"/>
      <c r="AJ70" s="423"/>
      <c r="AK70" s="423"/>
      <c r="AL70" s="423"/>
      <c r="AM70" s="423"/>
      <c r="AN70" s="423"/>
      <c r="AO70" s="423"/>
      <c r="AP70" s="423"/>
      <c r="AQ70" s="423"/>
      <c r="AR70" s="423"/>
      <c r="AS70" s="423"/>
      <c r="AT70" s="423"/>
    </row>
    <row r="71" spans="1:46" x14ac:dyDescent="0.4">
      <c r="A71" s="423"/>
      <c r="B71" s="65"/>
      <c r="C71" s="423"/>
      <c r="D71" s="423"/>
      <c r="E71" s="423"/>
      <c r="F71" s="423"/>
      <c r="G71" s="423"/>
      <c r="H71" s="423"/>
      <c r="I71" s="423"/>
      <c r="J71" s="423"/>
      <c r="K71" s="423"/>
      <c r="L71" s="423"/>
      <c r="M71" s="423"/>
      <c r="N71" s="423"/>
      <c r="O71" s="423"/>
      <c r="P71" s="423"/>
      <c r="Q71" s="423"/>
      <c r="R71" s="423"/>
      <c r="S71" s="423"/>
      <c r="T71" s="423"/>
      <c r="U71" s="423"/>
      <c r="V71" s="423"/>
      <c r="W71" s="423"/>
      <c r="X71" s="423"/>
      <c r="Y71" s="423"/>
      <c r="Z71" s="423"/>
      <c r="AA71" s="423"/>
      <c r="AB71" s="423"/>
      <c r="AC71" s="423"/>
      <c r="AD71" s="423"/>
      <c r="AE71" s="423"/>
      <c r="AF71" s="423"/>
      <c r="AG71" s="423"/>
      <c r="AH71" s="423"/>
      <c r="AI71" s="423"/>
      <c r="AJ71" s="423"/>
      <c r="AK71" s="423"/>
      <c r="AL71" s="423"/>
      <c r="AM71" s="423"/>
      <c r="AN71" s="423"/>
      <c r="AO71" s="423"/>
      <c r="AP71" s="423"/>
      <c r="AQ71" s="423"/>
      <c r="AR71" s="423"/>
      <c r="AS71" s="423"/>
      <c r="AT71" s="423"/>
    </row>
    <row r="72" spans="1:46" x14ac:dyDescent="0.4">
      <c r="A72" s="423"/>
      <c r="B72" s="65"/>
      <c r="C72" s="423"/>
      <c r="D72" s="423"/>
      <c r="E72" s="423"/>
      <c r="F72" s="423"/>
      <c r="G72" s="423"/>
      <c r="H72" s="423"/>
      <c r="I72" s="423"/>
      <c r="J72" s="423"/>
      <c r="K72" s="423"/>
      <c r="L72" s="423"/>
      <c r="M72" s="423"/>
      <c r="N72" s="423"/>
      <c r="O72" s="423"/>
      <c r="P72" s="423"/>
      <c r="Q72" s="423"/>
      <c r="R72" s="423"/>
      <c r="S72" s="423"/>
      <c r="T72" s="423"/>
      <c r="U72" s="423"/>
      <c r="V72" s="423"/>
      <c r="W72" s="423"/>
      <c r="X72" s="423"/>
      <c r="Y72" s="423"/>
      <c r="Z72" s="423"/>
      <c r="AA72" s="423"/>
      <c r="AB72" s="423"/>
      <c r="AC72" s="423"/>
      <c r="AD72" s="423"/>
      <c r="AE72" s="423"/>
      <c r="AF72" s="423"/>
      <c r="AG72" s="423"/>
      <c r="AH72" s="423"/>
      <c r="AI72" s="423"/>
      <c r="AJ72" s="423"/>
      <c r="AK72" s="423"/>
      <c r="AL72" s="423"/>
      <c r="AM72" s="423"/>
      <c r="AN72" s="423"/>
      <c r="AO72" s="423"/>
      <c r="AP72" s="423"/>
      <c r="AQ72" s="423"/>
      <c r="AR72" s="423"/>
      <c r="AS72" s="423"/>
      <c r="AT72" s="423"/>
    </row>
    <row r="73" spans="1:46" ht="15" thickBot="1" x14ac:dyDescent="0.45">
      <c r="A73" s="423"/>
      <c r="B73" s="65"/>
      <c r="C73" s="423"/>
      <c r="D73" s="423"/>
      <c r="E73" s="423"/>
      <c r="F73" s="423"/>
      <c r="G73" s="423"/>
      <c r="H73" s="423"/>
      <c r="I73" s="423"/>
      <c r="J73" s="423"/>
      <c r="K73" s="423"/>
      <c r="L73" s="423"/>
      <c r="M73" s="423"/>
      <c r="N73" s="423"/>
      <c r="O73" s="423"/>
      <c r="P73" s="423"/>
      <c r="Q73" s="423"/>
      <c r="R73" s="423"/>
      <c r="S73" s="423"/>
      <c r="T73" s="423"/>
      <c r="U73" s="423"/>
      <c r="V73" s="423"/>
      <c r="W73" s="423"/>
      <c r="X73" s="423"/>
      <c r="Y73" s="423"/>
      <c r="Z73" s="423"/>
      <c r="AA73" s="423"/>
      <c r="AB73" s="423"/>
      <c r="AC73" s="423"/>
      <c r="AD73" s="423"/>
      <c r="AE73" s="423"/>
      <c r="AF73" s="423"/>
      <c r="AG73" s="423"/>
      <c r="AH73" s="423"/>
      <c r="AI73" s="423"/>
      <c r="AJ73" s="423"/>
      <c r="AK73" s="423"/>
      <c r="AL73" s="423"/>
      <c r="AM73" s="423"/>
      <c r="AN73" s="423"/>
      <c r="AO73" s="423"/>
      <c r="AP73" s="423"/>
      <c r="AQ73" s="423"/>
      <c r="AR73" s="423"/>
      <c r="AS73" s="423"/>
      <c r="AT73" s="423"/>
    </row>
    <row r="74" spans="1:46" ht="18.45" thickBot="1" x14ac:dyDescent="0.5">
      <c r="A74" s="423"/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  <c r="K74" s="423"/>
      <c r="L74" s="423"/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423"/>
      <c r="Y74" s="423"/>
      <c r="Z74" s="423"/>
      <c r="AA74" s="423"/>
      <c r="AB74" s="423"/>
      <c r="AC74" s="423"/>
      <c r="AD74" s="423"/>
      <c r="AE74" s="423"/>
      <c r="AF74" s="423"/>
      <c r="AG74" s="423"/>
      <c r="AH74" s="423"/>
      <c r="AI74" s="423"/>
      <c r="AJ74" s="423"/>
      <c r="AK74" s="423"/>
      <c r="AL74" s="423"/>
      <c r="AM74" s="423"/>
      <c r="AN74" s="423"/>
      <c r="AO74" s="423"/>
      <c r="AP74" s="423"/>
      <c r="AQ74" s="423"/>
      <c r="AR74" s="423"/>
      <c r="AS74" s="423"/>
      <c r="AT74" s="423"/>
    </row>
    <row r="75" spans="1:46" ht="18.45" thickBot="1" x14ac:dyDescent="0.5">
      <c r="A75" s="423"/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  <c r="K75" s="423"/>
      <c r="L75" s="423"/>
      <c r="M75" s="423"/>
      <c r="N75" s="423"/>
      <c r="O75" s="423"/>
      <c r="P75" s="423"/>
      <c r="Q75" s="423"/>
      <c r="R75" s="423"/>
      <c r="S75" s="423"/>
      <c r="T75" s="423"/>
      <c r="U75" s="423"/>
      <c r="V75" s="423"/>
      <c r="W75" s="423"/>
      <c r="X75" s="423"/>
      <c r="Y75" s="423"/>
      <c r="Z75" s="423"/>
      <c r="AA75" s="423"/>
      <c r="AB75" s="423"/>
      <c r="AC75" s="423"/>
      <c r="AD75" s="423"/>
      <c r="AE75" s="423"/>
      <c r="AF75" s="423"/>
      <c r="AG75" s="423"/>
      <c r="AH75" s="423"/>
      <c r="AI75" s="423"/>
      <c r="AJ75" s="423"/>
      <c r="AK75" s="423"/>
      <c r="AL75" s="423"/>
      <c r="AM75" s="423"/>
      <c r="AN75" s="423"/>
      <c r="AO75" s="423"/>
      <c r="AP75" s="423"/>
      <c r="AQ75" s="423"/>
      <c r="AR75" s="423"/>
      <c r="AS75" s="423"/>
      <c r="AT75" s="423"/>
    </row>
    <row r="76" spans="1:46" ht="18" x14ac:dyDescent="0.4">
      <c r="A76" s="423"/>
      <c r="B76" s="541" t="s">
        <v>218</v>
      </c>
      <c r="C76" s="542">
        <f>C65</f>
        <v>152</v>
      </c>
      <c r="D76" s="543">
        <f>C76/60</f>
        <v>2.5333333333333332</v>
      </c>
      <c r="E76" s="542">
        <f>D65</f>
        <v>160</v>
      </c>
      <c r="F76" s="544">
        <f>E76/60</f>
        <v>2.6666666666666665</v>
      </c>
      <c r="G76" s="542">
        <f>E65</f>
        <v>334</v>
      </c>
      <c r="H76" s="543">
        <f>G76/60</f>
        <v>5.5666666666666664</v>
      </c>
      <c r="I76" s="542">
        <f>F65</f>
        <v>562</v>
      </c>
      <c r="J76" s="543">
        <f>I76/60</f>
        <v>9.3666666666666671</v>
      </c>
      <c r="K76" s="423"/>
      <c r="L76" s="423"/>
      <c r="M76" s="423"/>
      <c r="N76" s="423"/>
      <c r="O76" s="423"/>
      <c r="P76" s="423"/>
      <c r="Q76" s="423"/>
      <c r="R76" s="423"/>
      <c r="S76" s="423"/>
      <c r="T76" s="423"/>
      <c r="U76" s="423"/>
      <c r="V76" s="423"/>
      <c r="W76" s="423"/>
      <c r="X76" s="423"/>
      <c r="Y76" s="423"/>
      <c r="Z76" s="423"/>
      <c r="AA76" s="423"/>
      <c r="AB76" s="423"/>
      <c r="AC76" s="423"/>
      <c r="AD76" s="423"/>
      <c r="AE76" s="423"/>
      <c r="AF76" s="423"/>
      <c r="AG76" s="423"/>
      <c r="AH76" s="423"/>
      <c r="AI76" s="423"/>
      <c r="AJ76" s="423"/>
      <c r="AK76" s="423"/>
      <c r="AL76" s="423"/>
      <c r="AM76" s="423"/>
      <c r="AN76" s="423"/>
      <c r="AO76" s="423"/>
      <c r="AP76" s="423"/>
      <c r="AQ76" s="423"/>
      <c r="AR76" s="423"/>
      <c r="AS76" s="423"/>
      <c r="AT76" s="423"/>
    </row>
    <row r="77" spans="1:46" ht="18" x14ac:dyDescent="0.4">
      <c r="A77" s="423"/>
      <c r="B77" s="541" t="s">
        <v>219</v>
      </c>
      <c r="C77" s="545">
        <f>L65</f>
        <v>4</v>
      </c>
      <c r="D77" s="546">
        <f>C77/60</f>
        <v>6.6666666666666666E-2</v>
      </c>
      <c r="E77" s="545">
        <f>M65</f>
        <v>0</v>
      </c>
      <c r="F77" s="547">
        <f>E77/60</f>
        <v>0</v>
      </c>
      <c r="G77" s="545">
        <f>N65</f>
        <v>10</v>
      </c>
      <c r="H77" s="546">
        <f>G77/60</f>
        <v>0.16666666666666666</v>
      </c>
      <c r="I77" s="545">
        <f>O65</f>
        <v>451</v>
      </c>
      <c r="J77" s="543">
        <f t="shared" ref="J77:J80" si="0">I77/60</f>
        <v>7.5166666666666666</v>
      </c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23"/>
      <c r="X77" s="423"/>
      <c r="Y77" s="423"/>
      <c r="Z77" s="423"/>
      <c r="AA77" s="423"/>
      <c r="AB77" s="423"/>
      <c r="AC77" s="423"/>
      <c r="AD77" s="423"/>
      <c r="AE77" s="423"/>
      <c r="AF77" s="423"/>
      <c r="AG77" s="423"/>
      <c r="AH77" s="423"/>
      <c r="AI77" s="423"/>
      <c r="AJ77" s="423"/>
      <c r="AK77" s="423"/>
      <c r="AL77" s="423"/>
      <c r="AM77" s="423"/>
      <c r="AN77" s="423"/>
      <c r="AO77" s="423"/>
      <c r="AP77" s="423"/>
      <c r="AQ77" s="423"/>
      <c r="AR77" s="423"/>
      <c r="AS77" s="423"/>
      <c r="AT77" s="423"/>
    </row>
    <row r="78" spans="1:46" ht="18" x14ac:dyDescent="0.4">
      <c r="A78" s="423"/>
      <c r="B78" s="541" t="s">
        <v>220</v>
      </c>
      <c r="C78" s="545">
        <f>U65</f>
        <v>0</v>
      </c>
      <c r="D78" s="546">
        <f>C78/60</f>
        <v>0</v>
      </c>
      <c r="E78" s="545">
        <f>V65</f>
        <v>119</v>
      </c>
      <c r="F78" s="547">
        <f>E78/60</f>
        <v>1.9833333333333334</v>
      </c>
      <c r="G78" s="545">
        <f>W65</f>
        <v>379</v>
      </c>
      <c r="H78" s="546">
        <f>G78/60</f>
        <v>6.3166666666666664</v>
      </c>
      <c r="I78" s="545">
        <f>X65</f>
        <v>985</v>
      </c>
      <c r="J78" s="543">
        <f t="shared" si="0"/>
        <v>16.416666666666668</v>
      </c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23"/>
      <c r="X78" s="423"/>
      <c r="Y78" s="423"/>
      <c r="Z78" s="423"/>
      <c r="AA78" s="423"/>
      <c r="AB78" s="423"/>
      <c r="AC78" s="423"/>
      <c r="AD78" s="423"/>
      <c r="AE78" s="423"/>
      <c r="AF78" s="423"/>
      <c r="AG78" s="423"/>
      <c r="AH78" s="423"/>
      <c r="AI78" s="423"/>
      <c r="AJ78" s="423"/>
      <c r="AK78" s="423"/>
      <c r="AL78" s="423"/>
      <c r="AM78" s="423"/>
      <c r="AN78" s="423"/>
      <c r="AO78" s="423"/>
      <c r="AP78" s="423"/>
      <c r="AQ78" s="423"/>
      <c r="AR78" s="423"/>
      <c r="AS78" s="423"/>
      <c r="AT78" s="423"/>
    </row>
    <row r="79" spans="1:46" ht="18.45" thickBot="1" x14ac:dyDescent="0.45">
      <c r="A79" s="423"/>
      <c r="B79" s="541" t="s">
        <v>221</v>
      </c>
      <c r="C79" s="548">
        <f>AD65</f>
        <v>13061</v>
      </c>
      <c r="D79" s="549">
        <f>C79/60</f>
        <v>217.68333333333334</v>
      </c>
      <c r="E79" s="548">
        <f>AE65</f>
        <v>0</v>
      </c>
      <c r="F79" s="550">
        <f>E79/60</f>
        <v>0</v>
      </c>
      <c r="G79" s="548">
        <f>AF65</f>
        <v>90</v>
      </c>
      <c r="H79" s="549">
        <f>G79/60</f>
        <v>1.5</v>
      </c>
      <c r="I79" s="548">
        <f>AG65</f>
        <v>513</v>
      </c>
      <c r="J79" s="543">
        <f t="shared" si="0"/>
        <v>8.5500000000000007</v>
      </c>
      <c r="K79" s="423"/>
      <c r="L79" s="423"/>
      <c r="M79" s="423"/>
      <c r="N79" s="423"/>
      <c r="O79" s="423"/>
      <c r="P79" s="423"/>
      <c r="Q79" s="423"/>
      <c r="R79" s="423"/>
      <c r="S79" s="423"/>
      <c r="T79" s="423"/>
      <c r="U79" s="423"/>
      <c r="V79" s="423"/>
      <c r="W79" s="423"/>
      <c r="X79" s="423"/>
      <c r="Y79" s="423"/>
      <c r="Z79" s="423"/>
      <c r="AA79" s="423"/>
      <c r="AB79" s="423"/>
      <c r="AC79" s="423"/>
      <c r="AD79" s="423"/>
      <c r="AE79" s="423"/>
      <c r="AF79" s="423"/>
      <c r="AG79" s="423"/>
      <c r="AH79" s="423"/>
      <c r="AI79" s="423"/>
      <c r="AJ79" s="423"/>
      <c r="AK79" s="423"/>
      <c r="AL79" s="423"/>
      <c r="AM79" s="423"/>
      <c r="AN79" s="423"/>
      <c r="AO79" s="423"/>
      <c r="AP79" s="423"/>
      <c r="AQ79" s="423"/>
      <c r="AR79" s="423"/>
      <c r="AS79" s="423"/>
      <c r="AT79" s="423"/>
    </row>
    <row r="80" spans="1:46" ht="18.45" thickBot="1" x14ac:dyDescent="0.45">
      <c r="A80" s="423"/>
      <c r="B80" s="541" t="s">
        <v>488</v>
      </c>
      <c r="C80" s="643">
        <f>AM65</f>
        <v>55</v>
      </c>
      <c r="D80" s="642">
        <f>C80/60</f>
        <v>0.91666666666666663</v>
      </c>
      <c r="E80" s="643">
        <f>AN65</f>
        <v>0</v>
      </c>
      <c r="F80" s="644">
        <f>E80/60</f>
        <v>0</v>
      </c>
      <c r="G80" s="643">
        <f>AO65</f>
        <v>0</v>
      </c>
      <c r="H80" s="642">
        <f>G80/60</f>
        <v>0</v>
      </c>
      <c r="I80" s="643">
        <f>AP65</f>
        <v>1465</v>
      </c>
      <c r="J80" s="543">
        <f t="shared" si="0"/>
        <v>24.416666666666668</v>
      </c>
      <c r="K80" s="423"/>
      <c r="L80" s="423"/>
      <c r="M80" s="423"/>
      <c r="N80" s="423"/>
      <c r="O80" s="423"/>
      <c r="P80" s="423"/>
      <c r="Q80" s="423"/>
      <c r="R80" s="423"/>
      <c r="S80" s="423"/>
      <c r="T80" s="423"/>
      <c r="U80" s="423"/>
      <c r="V80" s="423"/>
      <c r="W80" s="423"/>
      <c r="X80" s="423"/>
      <c r="Y80" s="423"/>
      <c r="Z80" s="423"/>
      <c r="AA80" s="423"/>
      <c r="AB80" s="423"/>
      <c r="AC80" s="423"/>
      <c r="AD80" s="423"/>
      <c r="AE80" s="423"/>
      <c r="AF80" s="423"/>
      <c r="AG80" s="423"/>
      <c r="AH80" s="423"/>
      <c r="AI80" s="423"/>
      <c r="AJ80" s="423"/>
      <c r="AK80" s="423"/>
      <c r="AL80" s="423"/>
      <c r="AM80" s="423"/>
      <c r="AN80" s="423"/>
      <c r="AO80" s="423"/>
      <c r="AP80" s="423"/>
      <c r="AQ80" s="423"/>
      <c r="AR80" s="423"/>
      <c r="AS80" s="423"/>
      <c r="AT80" s="423"/>
    </row>
    <row r="81" spans="1:46" ht="18.45" thickBot="1" x14ac:dyDescent="0.5">
      <c r="A81" s="423"/>
      <c r="B81" s="354"/>
      <c r="C81" s="255"/>
      <c r="D81" s="255"/>
      <c r="E81" s="255"/>
      <c r="F81" s="255"/>
      <c r="G81" s="255"/>
      <c r="H81" s="255"/>
      <c r="I81" s="255"/>
      <c r="J81" s="255"/>
      <c r="K81" s="423"/>
      <c r="L81" s="423"/>
      <c r="M81" s="423"/>
      <c r="N81" s="423"/>
      <c r="O81" s="423"/>
      <c r="P81" s="423"/>
      <c r="Q81" s="423"/>
      <c r="R81" s="423"/>
      <c r="S81" s="423"/>
      <c r="T81" s="423"/>
      <c r="U81" s="423"/>
      <c r="V81" s="423"/>
      <c r="W81" s="423"/>
      <c r="X81" s="423"/>
      <c r="Y81" s="423"/>
      <c r="Z81" s="423"/>
      <c r="AA81" s="423"/>
      <c r="AB81" s="423"/>
      <c r="AC81" s="423"/>
      <c r="AD81" s="423"/>
      <c r="AE81" s="423"/>
      <c r="AF81" s="423"/>
      <c r="AG81" s="423"/>
      <c r="AH81" s="423"/>
      <c r="AI81" s="423"/>
      <c r="AJ81" s="423"/>
      <c r="AK81" s="423"/>
      <c r="AL81" s="423"/>
      <c r="AM81" s="423"/>
      <c r="AN81" s="423"/>
      <c r="AO81" s="423"/>
      <c r="AP81" s="423"/>
      <c r="AQ81" s="423"/>
      <c r="AR81" s="423"/>
      <c r="AS81" s="423"/>
      <c r="AT81" s="423"/>
    </row>
    <row r="82" spans="1:46" ht="18.45" thickBot="1" x14ac:dyDescent="0.5">
      <c r="A82" s="423"/>
      <c r="B82" s="551" t="s">
        <v>217</v>
      </c>
      <c r="C82" s="556"/>
      <c r="D82" s="557">
        <f>SUM(D76:D80)</f>
        <v>221.2</v>
      </c>
      <c r="E82" s="556"/>
      <c r="F82" s="557">
        <f>SUM(F76:F80)</f>
        <v>4.6500000000000004</v>
      </c>
      <c r="G82" s="556"/>
      <c r="H82" s="557">
        <f>SUM(H76:H80)</f>
        <v>13.55</v>
      </c>
      <c r="I82" s="556"/>
      <c r="J82" s="558">
        <f>AVERAGE(J76:J80)</f>
        <v>13.253333333333334</v>
      </c>
      <c r="K82" s="423"/>
      <c r="L82" s="423"/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23"/>
      <c r="X82" s="423"/>
      <c r="Y82" s="423"/>
      <c r="Z82" s="423"/>
      <c r="AA82" s="423"/>
      <c r="AB82" s="423"/>
      <c r="AC82" s="423"/>
      <c r="AD82" s="423"/>
      <c r="AE82" s="423"/>
      <c r="AF82" s="423"/>
      <c r="AG82" s="423"/>
      <c r="AH82" s="423"/>
      <c r="AI82" s="423"/>
      <c r="AJ82" s="423"/>
      <c r="AK82" s="423"/>
      <c r="AL82" s="423"/>
      <c r="AM82" s="423"/>
      <c r="AN82" s="423"/>
      <c r="AO82" s="423"/>
      <c r="AP82" s="423"/>
      <c r="AQ82" s="423"/>
      <c r="AR82" s="423"/>
      <c r="AS82" s="423"/>
      <c r="AT82" s="423"/>
    </row>
    <row r="83" spans="1:46" x14ac:dyDescent="0.4">
      <c r="A83" s="423"/>
      <c r="B83" s="65"/>
      <c r="C83" s="423"/>
      <c r="D83" s="423"/>
      <c r="E83" s="423"/>
      <c r="F83" s="423"/>
      <c r="G83" s="423"/>
      <c r="H83" s="423"/>
      <c r="I83" s="423"/>
      <c r="J83" s="423"/>
      <c r="K83" s="423"/>
      <c r="L83" s="423"/>
      <c r="M83" s="423"/>
      <c r="N83" s="423"/>
      <c r="O83" s="423"/>
      <c r="P83" s="423"/>
      <c r="Q83" s="423"/>
      <c r="R83" s="423"/>
      <c r="S83" s="423"/>
      <c r="T83" s="423"/>
      <c r="U83" s="423"/>
      <c r="V83" s="423"/>
      <c r="W83" s="423"/>
      <c r="X83" s="423"/>
      <c r="Y83" s="423"/>
      <c r="Z83" s="423"/>
      <c r="AA83" s="423"/>
      <c r="AB83" s="423"/>
      <c r="AC83" s="423"/>
      <c r="AD83" s="423"/>
      <c r="AE83" s="423"/>
      <c r="AF83" s="423"/>
      <c r="AG83" s="423"/>
      <c r="AH83" s="423"/>
      <c r="AI83" s="423"/>
      <c r="AJ83" s="423"/>
      <c r="AK83" s="423"/>
      <c r="AL83" s="423"/>
      <c r="AM83" s="423"/>
      <c r="AN83" s="423"/>
      <c r="AO83" s="423"/>
      <c r="AP83" s="423"/>
      <c r="AQ83" s="423"/>
      <c r="AR83" s="423"/>
      <c r="AS83" s="423"/>
      <c r="AT83" s="423"/>
    </row>
    <row r="84" spans="1:46" x14ac:dyDescent="0.4">
      <c r="A84" s="423"/>
      <c r="B84" s="65"/>
      <c r="C84" s="423"/>
      <c r="D84" s="423"/>
      <c r="E84" s="423"/>
      <c r="F84" s="423"/>
      <c r="G84" s="423"/>
      <c r="H84" s="423"/>
      <c r="I84" s="423"/>
      <c r="J84" s="423"/>
      <c r="K84" s="423"/>
      <c r="L84" s="423"/>
      <c r="M84" s="423"/>
      <c r="N84" s="423"/>
      <c r="O84" s="423"/>
      <c r="P84" s="423"/>
      <c r="Q84" s="423"/>
      <c r="R84" s="423"/>
      <c r="S84" s="423"/>
      <c r="T84" s="423"/>
      <c r="U84" s="423"/>
      <c r="V84" s="423"/>
      <c r="W84" s="423"/>
      <c r="X84" s="423"/>
      <c r="Y84" s="423"/>
      <c r="Z84" s="423"/>
      <c r="AA84" s="423"/>
      <c r="AB84" s="423"/>
      <c r="AC84" s="423"/>
      <c r="AD84" s="423"/>
      <c r="AE84" s="423"/>
      <c r="AF84" s="423"/>
      <c r="AG84" s="423"/>
      <c r="AH84" s="423"/>
      <c r="AI84" s="423"/>
      <c r="AJ84" s="423"/>
      <c r="AK84" s="423"/>
      <c r="AL84" s="423"/>
      <c r="AM84" s="423"/>
      <c r="AN84" s="423"/>
      <c r="AO84" s="423"/>
      <c r="AP84" s="423"/>
      <c r="AQ84" s="423"/>
      <c r="AR84" s="423"/>
      <c r="AS84" s="423"/>
      <c r="AT84" s="423"/>
    </row>
    <row r="85" spans="1:46" x14ac:dyDescent="0.4">
      <c r="A85" s="423"/>
      <c r="B85" s="65"/>
      <c r="C85" s="423"/>
      <c r="D85" s="423"/>
      <c r="E85" s="423"/>
      <c r="F85" s="423"/>
      <c r="G85" s="423"/>
      <c r="H85" s="423"/>
      <c r="I85" s="423"/>
      <c r="J85" s="423"/>
      <c r="K85" s="423"/>
      <c r="L85" s="423"/>
      <c r="M85" s="423"/>
      <c r="N85" s="423"/>
      <c r="O85" s="423"/>
      <c r="P85" s="423"/>
      <c r="Q85" s="423"/>
      <c r="R85" s="423"/>
      <c r="S85" s="423"/>
      <c r="T85" s="423"/>
      <c r="U85" s="423"/>
      <c r="V85" s="423"/>
      <c r="W85" s="423"/>
      <c r="X85" s="423"/>
      <c r="Y85" s="423"/>
      <c r="Z85" s="423"/>
      <c r="AA85" s="423"/>
      <c r="AB85" s="423"/>
      <c r="AC85" s="423"/>
      <c r="AD85" s="423"/>
      <c r="AE85" s="423"/>
      <c r="AF85" s="423"/>
      <c r="AG85" s="423"/>
      <c r="AH85" s="423"/>
      <c r="AI85" s="423"/>
      <c r="AJ85" s="423"/>
      <c r="AK85" s="423"/>
      <c r="AL85" s="423"/>
      <c r="AM85" s="423"/>
      <c r="AN85" s="423"/>
      <c r="AO85" s="423"/>
      <c r="AP85" s="423"/>
      <c r="AQ85" s="423"/>
      <c r="AR85" s="423"/>
      <c r="AS85" s="423"/>
      <c r="AT85" s="423"/>
    </row>
    <row r="86" spans="1:46" x14ac:dyDescent="0.4">
      <c r="A86" s="423"/>
      <c r="B86" s="65"/>
      <c r="C86" s="423"/>
      <c r="D86" s="423"/>
      <c r="E86" s="423"/>
      <c r="F86" s="423"/>
      <c r="G86" s="423"/>
      <c r="H86" s="423"/>
      <c r="I86" s="423"/>
      <c r="J86" s="423"/>
      <c r="K86" s="423"/>
      <c r="L86" s="423"/>
      <c r="M86" s="423"/>
      <c r="N86" s="423"/>
      <c r="O86" s="423"/>
      <c r="P86" s="423"/>
      <c r="Q86" s="423"/>
      <c r="R86" s="423"/>
      <c r="S86" s="423"/>
      <c r="T86" s="423"/>
      <c r="U86" s="423"/>
      <c r="V86" s="423"/>
      <c r="W86" s="423"/>
      <c r="X86" s="423"/>
      <c r="Y86" s="423"/>
      <c r="Z86" s="423"/>
      <c r="AA86" s="423"/>
      <c r="AB86" s="423"/>
      <c r="AC86" s="423"/>
      <c r="AD86" s="423"/>
      <c r="AE86" s="423"/>
      <c r="AF86" s="423"/>
      <c r="AG86" s="423"/>
      <c r="AH86" s="423"/>
      <c r="AI86" s="423"/>
      <c r="AJ86" s="423"/>
      <c r="AK86" s="423"/>
      <c r="AL86" s="423"/>
      <c r="AM86" s="423"/>
      <c r="AN86" s="423"/>
      <c r="AO86" s="423"/>
      <c r="AP86" s="423"/>
      <c r="AQ86" s="423"/>
      <c r="AR86" s="423"/>
      <c r="AS86" s="423"/>
      <c r="AT86" s="423"/>
    </row>
    <row r="87" spans="1:46" x14ac:dyDescent="0.4">
      <c r="A87" s="423"/>
      <c r="B87" s="65"/>
      <c r="C87" s="423"/>
      <c r="D87" s="423"/>
      <c r="E87" s="423"/>
      <c r="F87" s="423"/>
      <c r="G87" s="423"/>
      <c r="H87" s="423"/>
      <c r="I87" s="423"/>
      <c r="J87" s="423"/>
      <c r="K87" s="423"/>
      <c r="L87" s="423"/>
      <c r="M87" s="423"/>
      <c r="N87" s="423"/>
      <c r="O87" s="423"/>
      <c r="P87" s="423"/>
      <c r="Q87" s="423"/>
      <c r="R87" s="423"/>
      <c r="S87" s="423"/>
      <c r="T87" s="423"/>
      <c r="U87" s="423"/>
      <c r="V87" s="423"/>
      <c r="W87" s="423"/>
      <c r="X87" s="423"/>
      <c r="Y87" s="423"/>
      <c r="Z87" s="423"/>
      <c r="AA87" s="423"/>
      <c r="AB87" s="423"/>
      <c r="AC87" s="423"/>
      <c r="AD87" s="423"/>
      <c r="AE87" s="423"/>
      <c r="AF87" s="423"/>
      <c r="AG87" s="423"/>
      <c r="AH87" s="423"/>
      <c r="AI87" s="423"/>
      <c r="AJ87" s="423"/>
      <c r="AK87" s="423"/>
      <c r="AL87" s="423"/>
      <c r="AM87" s="423"/>
      <c r="AN87" s="423"/>
      <c r="AO87" s="423"/>
      <c r="AP87" s="423"/>
      <c r="AQ87" s="423"/>
      <c r="AR87" s="423"/>
      <c r="AS87" s="423"/>
      <c r="AT87" s="423"/>
    </row>
    <row r="88" spans="1:46" x14ac:dyDescent="0.4">
      <c r="A88" s="423"/>
      <c r="B88" s="65"/>
      <c r="C88" s="423"/>
      <c r="D88" s="423"/>
      <c r="E88" s="423"/>
      <c r="F88" s="423"/>
      <c r="G88" s="423"/>
      <c r="H88" s="423"/>
      <c r="I88" s="423"/>
      <c r="J88" s="423"/>
      <c r="K88" s="423"/>
      <c r="L88" s="423"/>
      <c r="M88" s="423"/>
      <c r="N88" s="423"/>
      <c r="O88" s="423"/>
      <c r="P88" s="423"/>
      <c r="Q88" s="423"/>
      <c r="R88" s="423"/>
      <c r="S88" s="423"/>
      <c r="T88" s="423"/>
      <c r="U88" s="423"/>
      <c r="V88" s="423"/>
      <c r="W88" s="423"/>
      <c r="X88" s="423"/>
      <c r="Y88" s="423"/>
      <c r="Z88" s="423"/>
      <c r="AA88" s="423"/>
      <c r="AB88" s="423"/>
      <c r="AC88" s="423"/>
      <c r="AD88" s="423"/>
      <c r="AE88" s="423"/>
      <c r="AF88" s="423"/>
      <c r="AG88" s="423"/>
      <c r="AH88" s="423"/>
      <c r="AI88" s="423"/>
      <c r="AJ88" s="423"/>
      <c r="AK88" s="423"/>
      <c r="AL88" s="423"/>
      <c r="AM88" s="423"/>
      <c r="AN88" s="423"/>
      <c r="AO88" s="423"/>
      <c r="AP88" s="423"/>
      <c r="AQ88" s="423"/>
      <c r="AR88" s="423"/>
      <c r="AS88" s="423"/>
      <c r="AT88" s="423"/>
    </row>
    <row r="89" spans="1:46" x14ac:dyDescent="0.4">
      <c r="A89" s="423"/>
      <c r="B89" s="65"/>
      <c r="C89" s="423"/>
      <c r="D89" s="423"/>
      <c r="E89" s="423"/>
      <c r="F89" s="423"/>
      <c r="G89" s="423"/>
      <c r="H89" s="423"/>
      <c r="I89" s="423"/>
      <c r="J89" s="423"/>
      <c r="K89" s="423"/>
      <c r="L89" s="423"/>
      <c r="M89" s="423"/>
      <c r="N89" s="423"/>
      <c r="O89" s="423"/>
      <c r="P89" s="423"/>
      <c r="Q89" s="423"/>
      <c r="R89" s="423"/>
      <c r="S89" s="423"/>
      <c r="T89" s="423"/>
      <c r="U89" s="423"/>
      <c r="V89" s="423"/>
      <c r="W89" s="423"/>
      <c r="X89" s="423"/>
      <c r="Y89" s="423"/>
      <c r="Z89" s="423"/>
      <c r="AA89" s="423"/>
      <c r="AB89" s="423"/>
      <c r="AC89" s="423"/>
      <c r="AD89" s="423"/>
      <c r="AE89" s="423"/>
      <c r="AF89" s="423"/>
      <c r="AG89" s="423"/>
      <c r="AH89" s="423"/>
      <c r="AI89" s="423"/>
      <c r="AJ89" s="423"/>
      <c r="AK89" s="423"/>
      <c r="AL89" s="423"/>
      <c r="AM89" s="423"/>
      <c r="AN89" s="423"/>
      <c r="AO89" s="423"/>
      <c r="AP89" s="423"/>
      <c r="AQ89" s="423"/>
      <c r="AR89" s="423"/>
      <c r="AS89" s="423"/>
      <c r="AT89" s="423"/>
    </row>
    <row r="90" spans="1:46" x14ac:dyDescent="0.4">
      <c r="A90" s="423"/>
      <c r="B90" s="65"/>
      <c r="C90" s="423"/>
      <c r="D90" s="423"/>
      <c r="E90" s="423"/>
      <c r="F90" s="423"/>
      <c r="G90" s="423"/>
      <c r="H90" s="423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423"/>
      <c r="Y90" s="423"/>
      <c r="Z90" s="423"/>
      <c r="AA90" s="423"/>
      <c r="AB90" s="423"/>
      <c r="AC90" s="423"/>
      <c r="AD90" s="423"/>
      <c r="AE90" s="423"/>
      <c r="AF90" s="423"/>
      <c r="AG90" s="423"/>
      <c r="AH90" s="423"/>
      <c r="AI90" s="423"/>
      <c r="AJ90" s="423"/>
      <c r="AK90" s="423"/>
      <c r="AL90" s="423"/>
      <c r="AM90" s="423"/>
      <c r="AN90" s="423"/>
      <c r="AO90" s="423"/>
      <c r="AP90" s="423"/>
      <c r="AQ90" s="423"/>
      <c r="AR90" s="423"/>
      <c r="AS90" s="423"/>
      <c r="AT90" s="423"/>
    </row>
    <row r="91" spans="1:46" x14ac:dyDescent="0.4">
      <c r="A91" s="423"/>
      <c r="B91" s="65"/>
      <c r="C91" s="423"/>
      <c r="D91" s="423"/>
      <c r="E91" s="423"/>
      <c r="F91" s="423"/>
      <c r="G91" s="423"/>
      <c r="H91" s="423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23"/>
      <c r="X91" s="423"/>
      <c r="Y91" s="423"/>
      <c r="Z91" s="423"/>
      <c r="AA91" s="423"/>
      <c r="AB91" s="423"/>
      <c r="AC91" s="423"/>
      <c r="AD91" s="423"/>
      <c r="AE91" s="423"/>
      <c r="AF91" s="423"/>
      <c r="AG91" s="423"/>
      <c r="AH91" s="423"/>
      <c r="AI91" s="423"/>
      <c r="AJ91" s="423"/>
      <c r="AK91" s="423"/>
      <c r="AL91" s="423"/>
      <c r="AM91" s="423"/>
      <c r="AN91" s="423"/>
      <c r="AO91" s="423"/>
      <c r="AP91" s="423"/>
      <c r="AQ91" s="423"/>
      <c r="AR91" s="423"/>
      <c r="AS91" s="423"/>
      <c r="AT91" s="423"/>
    </row>
    <row r="92" spans="1:46" x14ac:dyDescent="0.4">
      <c r="AH92" s="423"/>
      <c r="AI92" s="423"/>
      <c r="AJ92" s="423"/>
    </row>
  </sheetData>
  <mergeCells count="46">
    <mergeCell ref="AH65:AJ65"/>
    <mergeCell ref="C74:D74"/>
    <mergeCell ref="E74:F74"/>
    <mergeCell ref="G74:H74"/>
    <mergeCell ref="I74:J74"/>
    <mergeCell ref="A63:A64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13:A14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M1:AP1"/>
    <mergeCell ref="AQ1:AT1"/>
    <mergeCell ref="A3:A4"/>
    <mergeCell ref="U1:X1"/>
    <mergeCell ref="Y1:AB1"/>
    <mergeCell ref="G1:J1"/>
    <mergeCell ref="L1:O1"/>
    <mergeCell ref="P1:S1"/>
    <mergeCell ref="AD1:AG1"/>
    <mergeCell ref="AH1:AK1"/>
    <mergeCell ref="A7:A8"/>
    <mergeCell ref="A9:A10"/>
    <mergeCell ref="A11:A12"/>
    <mergeCell ref="A5:A6"/>
    <mergeCell ref="C1:F1"/>
  </mergeCell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T82"/>
  <sheetViews>
    <sheetView zoomScale="70" zoomScaleNormal="70" workbookViewId="0">
      <pane xSplit="3" ySplit="2" topLeftCell="AG61" activePane="bottomRight" state="frozen"/>
      <selection pane="topRight" activeCell="D1" sqref="D1"/>
      <selection pane="bottomLeft" activeCell="A3" sqref="A3"/>
      <selection pane="bottomRight" sqref="A1:AT91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2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36.3828125" style="423" customWidth="1"/>
    <col min="9" max="9" width="24.3828125" style="423" customWidth="1"/>
    <col min="10" max="10" width="28.69140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6" style="423" bestFit="1" customWidth="1"/>
    <col min="17" max="17" width="42.15234375" style="423" bestFit="1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6.15234375" style="423" bestFit="1" customWidth="1"/>
    <col min="28" max="28" width="27" style="423" customWidth="1"/>
    <col min="29" max="29" width="3.3828125" style="423" customWidth="1"/>
    <col min="30" max="33" width="10.69140625" style="423" customWidth="1"/>
    <col min="34" max="34" width="31.3046875" style="423" customWidth="1"/>
    <col min="35" max="35" width="23.3046875" style="423" customWidth="1"/>
    <col min="36" max="36" width="25.3046875" style="423" customWidth="1"/>
    <col min="37" max="37" width="29.69140625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53515625" style="423" customWidth="1"/>
    <col min="45" max="45" width="31.15234375" style="423" customWidth="1"/>
    <col min="46" max="46" width="31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1131" t="s">
        <v>199</v>
      </c>
      <c r="D2" s="1129" t="s">
        <v>200</v>
      </c>
      <c r="E2" s="1129" t="s">
        <v>201</v>
      </c>
      <c r="F2" s="1129" t="s">
        <v>204</v>
      </c>
      <c r="G2" s="1132" t="s">
        <v>199</v>
      </c>
      <c r="H2" s="1132" t="s">
        <v>200</v>
      </c>
      <c r="I2" s="1132" t="s">
        <v>201</v>
      </c>
      <c r="J2" s="1132" t="s">
        <v>204</v>
      </c>
      <c r="K2" s="1133" t="s">
        <v>269</v>
      </c>
      <c r="L2" s="1129" t="s">
        <v>199</v>
      </c>
      <c r="M2" s="1129" t="s">
        <v>200</v>
      </c>
      <c r="N2" s="1129" t="s">
        <v>201</v>
      </c>
      <c r="O2" s="1129" t="s">
        <v>204</v>
      </c>
      <c r="P2" s="1130" t="s">
        <v>199</v>
      </c>
      <c r="Q2" s="1129" t="s">
        <v>200</v>
      </c>
      <c r="R2" s="1129" t="s">
        <v>201</v>
      </c>
      <c r="S2" s="1129" t="s">
        <v>204</v>
      </c>
      <c r="T2" s="1133"/>
      <c r="U2" s="1129" t="s">
        <v>199</v>
      </c>
      <c r="V2" s="1129" t="s">
        <v>200</v>
      </c>
      <c r="W2" s="1129" t="s">
        <v>201</v>
      </c>
      <c r="X2" s="1129" t="s">
        <v>204</v>
      </c>
      <c r="Y2" s="1134" t="s">
        <v>199</v>
      </c>
      <c r="Z2" s="1129" t="s">
        <v>200</v>
      </c>
      <c r="AA2" s="1129" t="s">
        <v>201</v>
      </c>
      <c r="AB2" s="1129" t="s">
        <v>204</v>
      </c>
      <c r="AC2" s="1133"/>
      <c r="AD2" s="1129" t="s">
        <v>199</v>
      </c>
      <c r="AE2" s="1129" t="s">
        <v>200</v>
      </c>
      <c r="AF2" s="1129" t="s">
        <v>201</v>
      </c>
      <c r="AG2" s="1129" t="s">
        <v>204</v>
      </c>
      <c r="AH2" s="1130" t="s">
        <v>199</v>
      </c>
      <c r="AI2" s="1129" t="s">
        <v>200</v>
      </c>
      <c r="AJ2" s="1129" t="s">
        <v>201</v>
      </c>
      <c r="AK2" s="1129" t="s">
        <v>204</v>
      </c>
      <c r="AL2" s="1133"/>
      <c r="AM2" s="1129" t="s">
        <v>199</v>
      </c>
      <c r="AN2" s="1129" t="s">
        <v>200</v>
      </c>
      <c r="AO2" s="1129" t="s">
        <v>201</v>
      </c>
      <c r="AP2" s="1129" t="s">
        <v>204</v>
      </c>
      <c r="AQ2" s="1130" t="s">
        <v>199</v>
      </c>
      <c r="AR2" s="1129" t="s">
        <v>200</v>
      </c>
      <c r="AS2" s="1129" t="s">
        <v>201</v>
      </c>
      <c r="AT2" s="1129" t="s">
        <v>204</v>
      </c>
    </row>
    <row r="3" spans="1:46" ht="78" customHeight="1" x14ac:dyDescent="0.45">
      <c r="A3" s="1351">
        <v>45839</v>
      </c>
      <c r="B3" s="676">
        <v>1</v>
      </c>
      <c r="C3" s="1135"/>
      <c r="D3" s="1136"/>
      <c r="E3" s="1137"/>
      <c r="F3" s="1138">
        <v>720</v>
      </c>
      <c r="G3" s="1139"/>
      <c r="H3" s="1140"/>
      <c r="I3" s="1141"/>
      <c r="J3" s="1142" t="s">
        <v>975</v>
      </c>
      <c r="K3" s="286"/>
      <c r="L3" s="1143"/>
      <c r="M3" s="1144"/>
      <c r="N3" s="1144"/>
      <c r="O3" s="1145">
        <v>720</v>
      </c>
      <c r="P3" s="1146"/>
      <c r="Q3" s="1147"/>
      <c r="R3" s="1147"/>
      <c r="S3" s="1145" t="s">
        <v>975</v>
      </c>
      <c r="T3" s="286"/>
      <c r="U3" s="1143"/>
      <c r="V3" s="1144"/>
      <c r="W3" s="1137"/>
      <c r="X3" s="1148">
        <v>720</v>
      </c>
      <c r="Y3" s="1149"/>
      <c r="Z3" s="1146"/>
      <c r="AA3" s="1150"/>
      <c r="AB3" s="1151" t="s">
        <v>975</v>
      </c>
      <c r="AC3" s="286"/>
      <c r="AD3" s="1143"/>
      <c r="AE3" s="1144"/>
      <c r="AF3" s="1137"/>
      <c r="AG3" s="1145">
        <v>720</v>
      </c>
      <c r="AH3" s="1146"/>
      <c r="AI3" s="1146"/>
      <c r="AJ3" s="1152"/>
      <c r="AK3" s="1145" t="s">
        <v>975</v>
      </c>
      <c r="AL3" s="1153"/>
      <c r="AM3" s="1143"/>
      <c r="AN3" s="1144"/>
      <c r="AO3" s="1137"/>
      <c r="AP3" s="1145">
        <v>720</v>
      </c>
      <c r="AQ3" s="1146"/>
      <c r="AR3" s="1154"/>
      <c r="AS3" s="1152"/>
      <c r="AT3" s="1145" t="s">
        <v>975</v>
      </c>
    </row>
    <row r="4" spans="1:46" ht="69.75" customHeight="1" x14ac:dyDescent="0.45">
      <c r="A4" s="1352"/>
      <c r="B4" s="692">
        <v>2</v>
      </c>
      <c r="C4" s="1155"/>
      <c r="D4" s="1156"/>
      <c r="E4" s="1156"/>
      <c r="F4" s="1157">
        <v>720</v>
      </c>
      <c r="G4" s="1158"/>
      <c r="H4" s="1140"/>
      <c r="I4" s="1141"/>
      <c r="J4" s="1159" t="s">
        <v>975</v>
      </c>
      <c r="K4" s="286"/>
      <c r="L4" s="1160"/>
      <c r="M4" s="1137"/>
      <c r="N4" s="1137"/>
      <c r="O4" s="1148">
        <v>720</v>
      </c>
      <c r="P4" s="1128"/>
      <c r="Q4" s="1140"/>
      <c r="R4" s="1161"/>
      <c r="S4" s="1148" t="s">
        <v>975</v>
      </c>
      <c r="T4" s="286"/>
      <c r="U4" s="1160"/>
      <c r="V4" s="1152"/>
      <c r="W4" s="1137"/>
      <c r="X4" s="1148">
        <v>720</v>
      </c>
      <c r="Y4" s="1158"/>
      <c r="Z4" s="1150"/>
      <c r="AA4" s="1150"/>
      <c r="AB4" s="1162" t="s">
        <v>975</v>
      </c>
      <c r="AC4" s="286"/>
      <c r="AD4" s="1160"/>
      <c r="AE4" s="1137"/>
      <c r="AF4" s="1137"/>
      <c r="AG4" s="1148">
        <v>720</v>
      </c>
      <c r="AH4" s="1128"/>
      <c r="AI4" s="1150"/>
      <c r="AJ4" s="1137"/>
      <c r="AK4" s="1148" t="s">
        <v>975</v>
      </c>
      <c r="AL4" s="1153"/>
      <c r="AM4" s="1160"/>
      <c r="AN4" s="1137"/>
      <c r="AO4" s="1137"/>
      <c r="AP4" s="1148">
        <v>720</v>
      </c>
      <c r="AQ4" s="1128"/>
      <c r="AR4" s="1150"/>
      <c r="AS4" s="1137"/>
      <c r="AT4" s="1148" t="s">
        <v>975</v>
      </c>
    </row>
    <row r="5" spans="1:46" ht="60" customHeight="1" x14ac:dyDescent="0.45">
      <c r="A5" s="1351">
        <v>45840</v>
      </c>
      <c r="B5" s="692">
        <v>1</v>
      </c>
      <c r="C5" s="1155"/>
      <c r="D5" s="1156"/>
      <c r="E5" s="1156"/>
      <c r="F5" s="1157">
        <v>720</v>
      </c>
      <c r="G5" s="1163"/>
      <c r="H5" s="1164"/>
      <c r="I5" s="1141"/>
      <c r="J5" s="1159" t="s">
        <v>975</v>
      </c>
      <c r="K5" s="286"/>
      <c r="L5" s="1160"/>
      <c r="M5" s="1137"/>
      <c r="N5" s="1137"/>
      <c r="O5" s="1148">
        <v>720</v>
      </c>
      <c r="P5" s="1128"/>
      <c r="Q5" s="1137"/>
      <c r="R5" s="1137"/>
      <c r="S5" s="1148" t="s">
        <v>975</v>
      </c>
      <c r="T5" s="286"/>
      <c r="U5" s="1160"/>
      <c r="V5" s="1137"/>
      <c r="W5" s="1137"/>
      <c r="X5" s="1148">
        <v>720</v>
      </c>
      <c r="Y5" s="1149"/>
      <c r="Z5" s="1140"/>
      <c r="AA5" s="1165"/>
      <c r="AB5" s="1166" t="s">
        <v>975</v>
      </c>
      <c r="AC5" s="286"/>
      <c r="AD5" s="1160"/>
      <c r="AE5" s="1137"/>
      <c r="AF5" s="1137"/>
      <c r="AG5" s="1148">
        <v>720</v>
      </c>
      <c r="AH5" s="1128"/>
      <c r="AI5" s="1137"/>
      <c r="AJ5" s="1167"/>
      <c r="AK5" s="1148" t="s">
        <v>975</v>
      </c>
      <c r="AL5" s="1153"/>
      <c r="AM5" s="1160"/>
      <c r="AN5" s="1137"/>
      <c r="AO5" s="1137"/>
      <c r="AP5" s="1148">
        <v>720</v>
      </c>
      <c r="AQ5" s="1128"/>
      <c r="AR5" s="1168"/>
      <c r="AS5" s="1152"/>
      <c r="AT5" s="1169" t="s">
        <v>975</v>
      </c>
    </row>
    <row r="6" spans="1:46" ht="80.5" customHeight="1" x14ac:dyDescent="0.45">
      <c r="A6" s="1352"/>
      <c r="B6" s="692">
        <v>2</v>
      </c>
      <c r="C6" s="1155"/>
      <c r="D6" s="1156"/>
      <c r="E6" s="1156"/>
      <c r="F6" s="1157">
        <v>720</v>
      </c>
      <c r="G6" s="1139"/>
      <c r="H6" s="1150"/>
      <c r="I6" s="1141"/>
      <c r="J6" s="1170" t="s">
        <v>975</v>
      </c>
      <c r="K6" s="286"/>
      <c r="L6" s="1160"/>
      <c r="M6" s="1137"/>
      <c r="N6" s="1137"/>
      <c r="O6" s="1148">
        <v>720</v>
      </c>
      <c r="P6" s="1128"/>
      <c r="Q6" s="1140"/>
      <c r="R6" s="1137"/>
      <c r="S6" s="1170" t="s">
        <v>975</v>
      </c>
      <c r="T6" s="286"/>
      <c r="U6" s="1160"/>
      <c r="V6" s="1137"/>
      <c r="W6" s="1137"/>
      <c r="X6" s="1148">
        <v>720</v>
      </c>
      <c r="Y6" s="1149"/>
      <c r="Z6" s="1140"/>
      <c r="AA6" s="1150"/>
      <c r="AB6" s="1170" t="s">
        <v>975</v>
      </c>
      <c r="AC6" s="286"/>
      <c r="AD6" s="1160"/>
      <c r="AE6" s="1137"/>
      <c r="AF6" s="1137"/>
      <c r="AG6" s="1148">
        <v>720</v>
      </c>
      <c r="AH6" s="1128"/>
      <c r="AI6" s="1137"/>
      <c r="AJ6" s="1171"/>
      <c r="AK6" s="1170" t="s">
        <v>975</v>
      </c>
      <c r="AL6" s="1153"/>
      <c r="AM6" s="1160"/>
      <c r="AN6" s="1137"/>
      <c r="AO6" s="1137"/>
      <c r="AP6" s="1148">
        <v>720</v>
      </c>
      <c r="AQ6" s="1172"/>
      <c r="AR6" s="1173"/>
      <c r="AS6" s="1149"/>
      <c r="AT6" s="1170" t="s">
        <v>975</v>
      </c>
    </row>
    <row r="7" spans="1:46" ht="71.5" customHeight="1" x14ac:dyDescent="0.45">
      <c r="A7" s="1351">
        <v>45841</v>
      </c>
      <c r="B7" s="692">
        <v>1</v>
      </c>
      <c r="C7" s="1155"/>
      <c r="D7" s="1156"/>
      <c r="E7" s="1156"/>
      <c r="F7" s="1157">
        <v>720</v>
      </c>
      <c r="G7" s="1139"/>
      <c r="H7" s="1150"/>
      <c r="I7" s="1141"/>
      <c r="J7" s="1170" t="s">
        <v>975</v>
      </c>
      <c r="K7" s="286"/>
      <c r="L7" s="1160"/>
      <c r="M7" s="1128"/>
      <c r="N7" s="1137"/>
      <c r="O7" s="1148">
        <v>720</v>
      </c>
      <c r="P7" s="1128"/>
      <c r="Q7" s="972"/>
      <c r="R7" s="1137"/>
      <c r="S7" s="1169" t="s">
        <v>975</v>
      </c>
      <c r="T7" s="286"/>
      <c r="U7" s="1160"/>
      <c r="V7" s="1137"/>
      <c r="W7" s="1137"/>
      <c r="X7" s="1148">
        <v>720</v>
      </c>
      <c r="Y7" s="1149"/>
      <c r="Z7" s="1140"/>
      <c r="AA7" s="1165"/>
      <c r="AB7" s="1169" t="s">
        <v>975</v>
      </c>
      <c r="AC7" s="286"/>
      <c r="AD7" s="1160"/>
      <c r="AE7" s="1137"/>
      <c r="AF7" s="1137"/>
      <c r="AG7" s="1148">
        <v>720</v>
      </c>
      <c r="AH7" s="1128"/>
      <c r="AI7" s="972"/>
      <c r="AJ7" s="1171"/>
      <c r="AK7" s="1174" t="s">
        <v>975</v>
      </c>
      <c r="AL7" s="1153"/>
      <c r="AM7" s="1160"/>
      <c r="AN7" s="1137"/>
      <c r="AO7" s="1137"/>
      <c r="AP7" s="1148">
        <v>720</v>
      </c>
      <c r="AQ7" s="1127"/>
      <c r="AR7" s="1175"/>
      <c r="AS7" s="974"/>
      <c r="AT7" s="1176" t="s">
        <v>975</v>
      </c>
    </row>
    <row r="8" spans="1:46" ht="69.650000000000006" customHeight="1" x14ac:dyDescent="0.45">
      <c r="A8" s="1352"/>
      <c r="B8" s="692">
        <v>2</v>
      </c>
      <c r="C8" s="1155"/>
      <c r="D8" s="1177">
        <v>57</v>
      </c>
      <c r="E8" s="1156"/>
      <c r="F8" s="1157">
        <v>580</v>
      </c>
      <c r="G8" s="1158"/>
      <c r="H8" s="1150" t="s">
        <v>317</v>
      </c>
      <c r="I8" s="1141"/>
      <c r="J8" s="1170" t="s">
        <v>975</v>
      </c>
      <c r="K8" s="286"/>
      <c r="L8" s="1160"/>
      <c r="M8" s="1137"/>
      <c r="N8" s="1137"/>
      <c r="O8" s="1148">
        <v>572</v>
      </c>
      <c r="P8" s="1128"/>
      <c r="Q8" s="1137"/>
      <c r="R8" s="1152"/>
      <c r="S8" s="1169" t="s">
        <v>975</v>
      </c>
      <c r="T8" s="286"/>
      <c r="U8" s="1178"/>
      <c r="V8" s="1175">
        <v>43</v>
      </c>
      <c r="W8" s="1128"/>
      <c r="X8" s="1148">
        <v>588</v>
      </c>
      <c r="Y8" s="1149"/>
      <c r="Z8" s="1172" t="s">
        <v>317</v>
      </c>
      <c r="AA8" s="1149"/>
      <c r="AB8" s="1170" t="s">
        <v>975</v>
      </c>
      <c r="AC8" s="286"/>
      <c r="AD8" s="1160"/>
      <c r="AE8" s="1137"/>
      <c r="AF8" s="1137"/>
      <c r="AG8" s="1148">
        <v>598</v>
      </c>
      <c r="AH8" s="1128"/>
      <c r="AI8" s="1152"/>
      <c r="AJ8" s="1171"/>
      <c r="AK8" s="1179" t="s">
        <v>975</v>
      </c>
      <c r="AL8" s="1153"/>
      <c r="AM8" s="1160"/>
      <c r="AN8" s="1137"/>
      <c r="AO8" s="1137"/>
      <c r="AP8" s="1148">
        <v>602</v>
      </c>
      <c r="AQ8" s="1127"/>
      <c r="AR8" s="1180"/>
      <c r="AS8" s="1128"/>
      <c r="AT8" s="1170" t="s">
        <v>975</v>
      </c>
    </row>
    <row r="9" spans="1:46" ht="76.95" customHeight="1" x14ac:dyDescent="0.45">
      <c r="A9" s="1351">
        <v>45842</v>
      </c>
      <c r="B9" s="692">
        <v>1</v>
      </c>
      <c r="C9" s="1181"/>
      <c r="D9" s="1182"/>
      <c r="E9" s="1183"/>
      <c r="F9" s="1157"/>
      <c r="G9" s="1158"/>
      <c r="H9" s="1239"/>
      <c r="I9" s="1141"/>
      <c r="J9" s="1170"/>
      <c r="K9" s="286"/>
      <c r="L9" s="1160"/>
      <c r="M9" s="1137"/>
      <c r="N9" s="1137"/>
      <c r="O9" s="1148"/>
      <c r="P9" s="1128"/>
      <c r="Q9" s="1137"/>
      <c r="R9" s="1152"/>
      <c r="S9" s="1170"/>
      <c r="T9" s="286"/>
      <c r="U9" s="1178">
        <v>174</v>
      </c>
      <c r="V9" s="1128"/>
      <c r="W9" s="1137"/>
      <c r="X9" s="1148"/>
      <c r="Y9" s="1149" t="s">
        <v>113</v>
      </c>
      <c r="Z9" s="1137"/>
      <c r="AA9" s="1165"/>
      <c r="AB9" s="1170"/>
      <c r="AC9" s="286"/>
      <c r="AD9" s="1160"/>
      <c r="AE9" s="1137"/>
      <c r="AF9" s="1137"/>
      <c r="AG9" s="1148"/>
      <c r="AH9" s="1128"/>
      <c r="AI9" s="1137"/>
      <c r="AJ9" s="1137"/>
      <c r="AK9" s="1170"/>
      <c r="AL9" s="1153"/>
      <c r="AM9" s="1160"/>
      <c r="AN9" s="1137"/>
      <c r="AO9" s="1137"/>
      <c r="AP9" s="1148"/>
      <c r="AQ9" s="1127"/>
      <c r="AR9" s="1175"/>
      <c r="AS9" s="1128"/>
      <c r="AT9" s="1184"/>
    </row>
    <row r="10" spans="1:46" ht="67.2" customHeight="1" x14ac:dyDescent="0.45">
      <c r="A10" s="1352"/>
      <c r="B10" s="692">
        <v>2</v>
      </c>
      <c r="C10" s="1181"/>
      <c r="D10" s="1185"/>
      <c r="E10" s="1183"/>
      <c r="F10" s="1157"/>
      <c r="G10" s="1186"/>
      <c r="H10" s="1248"/>
      <c r="I10" s="1164"/>
      <c r="J10" s="1170"/>
      <c r="K10" s="286"/>
      <c r="L10" s="1160"/>
      <c r="M10" s="1137"/>
      <c r="N10" s="1137"/>
      <c r="O10" s="1148"/>
      <c r="P10" s="1128"/>
      <c r="Q10" s="1137"/>
      <c r="R10" s="1152"/>
      <c r="S10" s="1170"/>
      <c r="T10" s="286"/>
      <c r="U10" s="1160"/>
      <c r="V10" s="1137"/>
      <c r="W10" s="1137"/>
      <c r="X10" s="1148"/>
      <c r="Y10" s="1149"/>
      <c r="Z10" s="1149"/>
      <c r="AA10" s="286"/>
      <c r="AB10" s="1170"/>
      <c r="AC10" s="286"/>
      <c r="AD10" s="1160"/>
      <c r="AE10" s="1137"/>
      <c r="AF10" s="1137"/>
      <c r="AG10" s="1148"/>
      <c r="AH10" s="1149"/>
      <c r="AI10" s="1152"/>
      <c r="AJ10" s="1150"/>
      <c r="AK10" s="1170"/>
      <c r="AL10" s="1153"/>
      <c r="AM10" s="1160"/>
      <c r="AN10" s="1137"/>
      <c r="AO10" s="1137"/>
      <c r="AP10" s="1148"/>
      <c r="AQ10" s="1127"/>
      <c r="AR10" s="1188"/>
      <c r="AS10" s="1128"/>
      <c r="AT10" s="1170"/>
    </row>
    <row r="11" spans="1:46" ht="60" customHeight="1" x14ac:dyDescent="0.45">
      <c r="A11" s="1351">
        <v>45843</v>
      </c>
      <c r="B11" s="692">
        <v>1</v>
      </c>
      <c r="C11" s="1181"/>
      <c r="D11" s="1189"/>
      <c r="E11" s="1183"/>
      <c r="F11" s="1157"/>
      <c r="G11" s="1190"/>
      <c r="H11" s="1247"/>
      <c r="I11" s="1164"/>
      <c r="J11" s="1159"/>
      <c r="K11" s="286"/>
      <c r="L11" s="1160"/>
      <c r="M11" s="1137"/>
      <c r="N11" s="1137"/>
      <c r="O11" s="1148"/>
      <c r="P11" s="1128"/>
      <c r="Q11" s="1137"/>
      <c r="R11" s="1152"/>
      <c r="S11" s="1148"/>
      <c r="T11" s="286"/>
      <c r="U11" s="1160"/>
      <c r="V11" s="1137"/>
      <c r="W11" s="1137"/>
      <c r="X11" s="1148"/>
      <c r="Y11" s="1149"/>
      <c r="Z11" s="1137"/>
      <c r="AA11" s="1165"/>
      <c r="AB11" s="1148"/>
      <c r="AC11" s="286"/>
      <c r="AD11" s="1160"/>
      <c r="AE11" s="1137"/>
      <c r="AF11" s="1137"/>
      <c r="AG11" s="1148"/>
      <c r="AH11" s="1128"/>
      <c r="AI11" s="1137"/>
      <c r="AJ11" s="1165"/>
      <c r="AK11" s="1148"/>
      <c r="AL11" s="1153"/>
      <c r="AM11" s="1160"/>
      <c r="AN11" s="1137"/>
      <c r="AO11" s="1137"/>
      <c r="AP11" s="1148"/>
      <c r="AQ11" s="1128"/>
      <c r="AR11" s="1161"/>
      <c r="AS11" s="1137"/>
      <c r="AT11" s="1169"/>
    </row>
    <row r="12" spans="1:46" ht="55.2" customHeight="1" x14ac:dyDescent="0.45">
      <c r="A12" s="1352"/>
      <c r="B12" s="692">
        <v>2</v>
      </c>
      <c r="C12" s="1155"/>
      <c r="D12" s="1191"/>
      <c r="E12" s="1156"/>
      <c r="F12" s="1157"/>
      <c r="G12" s="1158"/>
      <c r="H12" s="1140"/>
      <c r="I12" s="1164"/>
      <c r="J12" s="1170"/>
      <c r="K12" s="286"/>
      <c r="L12" s="1160"/>
      <c r="M12" s="1137"/>
      <c r="N12" s="1137"/>
      <c r="O12" s="1148"/>
      <c r="P12" s="1128"/>
      <c r="Q12" s="1137"/>
      <c r="R12" s="1152"/>
      <c r="S12" s="1170"/>
      <c r="T12" s="286"/>
      <c r="U12" s="1160"/>
      <c r="V12" s="1137"/>
      <c r="W12" s="1137"/>
      <c r="X12" s="1148"/>
      <c r="Y12" s="1149"/>
      <c r="Z12" s="1150"/>
      <c r="AA12" s="1165"/>
      <c r="AB12" s="1170"/>
      <c r="AC12" s="286"/>
      <c r="AD12" s="1160"/>
      <c r="AE12" s="1137"/>
      <c r="AF12" s="1137"/>
      <c r="AG12" s="1148"/>
      <c r="AH12" s="1128"/>
      <c r="AI12" s="1152"/>
      <c r="AJ12" s="1152"/>
      <c r="AK12" s="1170"/>
      <c r="AL12" s="1153"/>
      <c r="AM12" s="1160"/>
      <c r="AN12" s="1137"/>
      <c r="AO12" s="1137"/>
      <c r="AP12" s="1148"/>
      <c r="AQ12" s="1128"/>
      <c r="AR12" s="1137"/>
      <c r="AS12" s="1152"/>
      <c r="AT12" s="1170"/>
    </row>
    <row r="13" spans="1:46" ht="34.950000000000003" customHeight="1" x14ac:dyDescent="0.45">
      <c r="A13" s="1351">
        <v>45844</v>
      </c>
      <c r="B13" s="692">
        <v>1</v>
      </c>
      <c r="C13" s="1155"/>
      <c r="D13" s="1156"/>
      <c r="E13" s="1156"/>
      <c r="F13" s="1157"/>
      <c r="G13" s="1158"/>
      <c r="H13" s="1140"/>
      <c r="I13" s="1141"/>
      <c r="J13" s="1170"/>
      <c r="K13" s="286"/>
      <c r="L13" s="1160"/>
      <c r="M13" s="1137"/>
      <c r="N13" s="1137"/>
      <c r="O13" s="1157"/>
      <c r="P13" s="1128"/>
      <c r="Q13" s="1137"/>
      <c r="R13" s="1137"/>
      <c r="S13" s="1170"/>
      <c r="T13" s="286"/>
      <c r="U13" s="1160"/>
      <c r="V13" s="1137"/>
      <c r="W13" s="1137">
        <v>6</v>
      </c>
      <c r="X13" s="1157"/>
      <c r="Y13" s="1149"/>
      <c r="Z13" s="1152"/>
      <c r="AA13" s="1165" t="s">
        <v>325</v>
      </c>
      <c r="AB13" s="1170"/>
      <c r="AC13" s="286"/>
      <c r="AD13" s="1160"/>
      <c r="AE13" s="1137"/>
      <c r="AF13" s="1137"/>
      <c r="AG13" s="1157"/>
      <c r="AH13" s="1128"/>
      <c r="AI13" s="1137"/>
      <c r="AJ13" s="1165"/>
      <c r="AK13" s="1170"/>
      <c r="AL13" s="1153"/>
      <c r="AM13" s="1160"/>
      <c r="AN13" s="1137"/>
      <c r="AO13" s="1137"/>
      <c r="AP13" s="1157"/>
      <c r="AQ13" s="1128"/>
      <c r="AR13" s="1137"/>
      <c r="AS13" s="1150"/>
      <c r="AT13" s="1170"/>
    </row>
    <row r="14" spans="1:46" ht="49.2" customHeight="1" x14ac:dyDescent="0.45">
      <c r="A14" s="1352"/>
      <c r="B14" s="692">
        <v>2</v>
      </c>
      <c r="C14" s="1155"/>
      <c r="D14" s="1156"/>
      <c r="E14" s="1156"/>
      <c r="F14" s="1157"/>
      <c r="G14" s="1158"/>
      <c r="H14" s="1150"/>
      <c r="I14" s="1141"/>
      <c r="J14" s="1170"/>
      <c r="K14" s="286"/>
      <c r="L14" s="1160"/>
      <c r="M14" s="1137"/>
      <c r="N14" s="1137"/>
      <c r="O14" s="1157"/>
      <c r="P14" s="1149"/>
      <c r="Q14" s="1137"/>
      <c r="R14" s="1137"/>
      <c r="S14" s="1170"/>
      <c r="T14" s="286"/>
      <c r="U14" s="1160"/>
      <c r="V14" s="1137"/>
      <c r="W14" s="1137"/>
      <c r="X14" s="1157"/>
      <c r="Y14" s="1149"/>
      <c r="Z14" s="1152"/>
      <c r="AA14" s="1165"/>
      <c r="AB14" s="1170"/>
      <c r="AC14" s="286"/>
      <c r="AD14" s="1160"/>
      <c r="AE14" s="1137">
        <v>16</v>
      </c>
      <c r="AF14" s="1137"/>
      <c r="AG14" s="1157"/>
      <c r="AH14" s="1539" t="s">
        <v>1116</v>
      </c>
      <c r="AI14" s="1540"/>
      <c r="AJ14" s="1541"/>
      <c r="AK14" s="1170"/>
      <c r="AL14" s="1153"/>
      <c r="AM14" s="1160"/>
      <c r="AN14" s="1137"/>
      <c r="AO14" s="1192"/>
      <c r="AP14" s="1193"/>
      <c r="AQ14" s="1149"/>
      <c r="AR14" s="1137"/>
      <c r="AS14" s="1165"/>
      <c r="AT14" s="1170"/>
    </row>
    <row r="15" spans="1:46" ht="48" customHeight="1" x14ac:dyDescent="0.45">
      <c r="A15" s="1351">
        <v>45845</v>
      </c>
      <c r="B15" s="692">
        <v>1</v>
      </c>
      <c r="C15" s="1155"/>
      <c r="D15" s="1177"/>
      <c r="E15" s="1168"/>
      <c r="F15" s="1194"/>
      <c r="G15" s="1195"/>
      <c r="H15" s="1196"/>
      <c r="I15" s="1197"/>
      <c r="J15" s="1194"/>
      <c r="K15" s="286"/>
      <c r="L15" s="1198"/>
      <c r="M15" s="1168"/>
      <c r="N15" s="1168"/>
      <c r="O15" s="1199"/>
      <c r="P15" s="1200"/>
      <c r="Q15" s="1196"/>
      <c r="R15" s="1150"/>
      <c r="S15" s="1170"/>
      <c r="T15" s="286"/>
      <c r="U15" s="1160"/>
      <c r="V15" s="1137"/>
      <c r="W15" s="1137"/>
      <c r="X15" s="1157"/>
      <c r="Y15" s="1158"/>
      <c r="Z15" s="1150"/>
      <c r="AA15" s="1165"/>
      <c r="AB15" s="1170"/>
      <c r="AC15" s="286"/>
      <c r="AD15" s="1160"/>
      <c r="AE15" s="1137"/>
      <c r="AF15" s="286"/>
      <c r="AG15" s="1157"/>
      <c r="AH15" s="1139"/>
      <c r="AI15" s="1150"/>
      <c r="AJ15" s="1152"/>
      <c r="AK15" s="1170"/>
      <c r="AL15" s="1153"/>
      <c r="AM15" s="1160"/>
      <c r="AN15" s="1137"/>
      <c r="AO15" s="1201"/>
      <c r="AP15" s="1202"/>
      <c r="AQ15" s="1164"/>
      <c r="AR15" s="1150"/>
      <c r="AS15" s="1150"/>
      <c r="AT15" s="1170"/>
    </row>
    <row r="16" spans="1:46" ht="63" customHeight="1" x14ac:dyDescent="0.45">
      <c r="A16" s="1352"/>
      <c r="B16" s="692">
        <v>2</v>
      </c>
      <c r="C16" s="1181"/>
      <c r="D16" s="1223"/>
      <c r="E16" s="1224"/>
      <c r="F16" s="1225"/>
      <c r="G16" s="1226"/>
      <c r="H16" s="1227"/>
      <c r="I16" s="1228"/>
      <c r="J16" s="1229"/>
      <c r="K16" s="1230"/>
      <c r="L16" s="1231"/>
      <c r="M16" s="1232"/>
      <c r="N16" s="1232"/>
      <c r="O16" s="1225"/>
      <c r="P16" s="1233"/>
      <c r="Q16" s="1234"/>
      <c r="R16" s="1235"/>
      <c r="S16" s="1170"/>
      <c r="T16" s="286"/>
      <c r="U16" s="1160"/>
      <c r="V16" s="1137"/>
      <c r="W16" s="1137"/>
      <c r="X16" s="1157"/>
      <c r="Y16" s="1236"/>
      <c r="Z16" s="1187"/>
      <c r="AA16" s="1204"/>
      <c r="AB16" s="1170"/>
      <c r="AC16" s="286"/>
      <c r="AD16" s="1160"/>
      <c r="AE16" s="1137"/>
      <c r="AF16" s="1137"/>
      <c r="AG16" s="1157"/>
      <c r="AH16" s="1237"/>
      <c r="AI16" s="1187"/>
      <c r="AJ16" s="1235"/>
      <c r="AK16" s="1170"/>
      <c r="AL16" s="1153"/>
      <c r="AM16" s="1160"/>
      <c r="AN16" s="1137"/>
      <c r="AO16" s="1137"/>
      <c r="AP16" s="1157">
        <v>684</v>
      </c>
      <c r="AQ16" s="1238"/>
      <c r="AR16" s="1187"/>
      <c r="AS16" s="1235"/>
      <c r="AT16" s="1170" t="s">
        <v>1118</v>
      </c>
    </row>
    <row r="17" spans="1:46" ht="66" customHeight="1" x14ac:dyDescent="0.45">
      <c r="A17" s="1351">
        <v>45846</v>
      </c>
      <c r="B17" s="717">
        <v>1</v>
      </c>
      <c r="C17" s="1155"/>
      <c r="D17" s="1215"/>
      <c r="E17" s="1216"/>
      <c r="F17" s="1217"/>
      <c r="G17" s="1218"/>
      <c r="H17" s="1219"/>
      <c r="I17" s="1220"/>
      <c r="J17" s="1221"/>
      <c r="K17" s="286"/>
      <c r="L17" s="1222"/>
      <c r="M17" s="1161"/>
      <c r="N17" s="1161"/>
      <c r="O17" s="1217"/>
      <c r="P17" s="1218"/>
      <c r="Q17" s="1219"/>
      <c r="R17" s="1150"/>
      <c r="S17" s="1170"/>
      <c r="T17" s="286"/>
      <c r="U17" s="1160"/>
      <c r="V17" s="1137"/>
      <c r="W17" s="1137"/>
      <c r="X17" s="1157"/>
      <c r="Y17" s="1158"/>
      <c r="Z17" s="1140"/>
      <c r="AA17" s="1204"/>
      <c r="AB17" s="1170"/>
      <c r="AC17" s="286"/>
      <c r="AD17" s="1160"/>
      <c r="AE17" s="1137"/>
      <c r="AF17" s="1137"/>
      <c r="AG17" s="1157"/>
      <c r="AH17" s="1139"/>
      <c r="AI17" s="1140"/>
      <c r="AJ17" s="1150"/>
      <c r="AK17" s="1170"/>
      <c r="AL17" s="1153"/>
      <c r="AM17" s="1160"/>
      <c r="AN17" s="1137"/>
      <c r="AO17" s="1192"/>
      <c r="AP17" s="1193">
        <v>720</v>
      </c>
      <c r="AQ17" s="1213"/>
      <c r="AR17" s="1187"/>
      <c r="AS17" s="1214"/>
      <c r="AT17" s="1170" t="s">
        <v>1118</v>
      </c>
    </row>
    <row r="18" spans="1:46" ht="49.5" customHeight="1" x14ac:dyDescent="0.45">
      <c r="A18" s="1352"/>
      <c r="B18" s="692">
        <v>2</v>
      </c>
      <c r="C18" s="1155"/>
      <c r="D18" s="1156">
        <v>27</v>
      </c>
      <c r="E18" s="1156"/>
      <c r="F18" s="1157"/>
      <c r="G18" s="1158"/>
      <c r="H18" s="1212" t="s">
        <v>317</v>
      </c>
      <c r="I18" s="1141"/>
      <c r="J18" s="1170"/>
      <c r="K18" s="286"/>
      <c r="L18" s="1160"/>
      <c r="M18" s="1137"/>
      <c r="N18" s="1137"/>
      <c r="O18" s="1157"/>
      <c r="P18" s="1158"/>
      <c r="Q18" s="1150"/>
      <c r="R18" s="1141"/>
      <c r="S18" s="1170"/>
      <c r="T18" s="286"/>
      <c r="U18" s="1160"/>
      <c r="V18" s="1137">
        <v>25</v>
      </c>
      <c r="W18" s="1156"/>
      <c r="X18" s="1157"/>
      <c r="Y18" s="1158"/>
      <c r="Z18" s="1150" t="s">
        <v>317</v>
      </c>
      <c r="AA18" s="1165"/>
      <c r="AB18" s="1170"/>
      <c r="AC18" s="286"/>
      <c r="AD18" s="1160"/>
      <c r="AE18" s="1137"/>
      <c r="AF18" s="1137"/>
      <c r="AG18" s="1157"/>
      <c r="AH18" s="1158"/>
      <c r="AI18" s="1150"/>
      <c r="AJ18" s="1140"/>
      <c r="AK18" s="1170"/>
      <c r="AL18" s="1153"/>
      <c r="AM18" s="1160"/>
      <c r="AN18" s="1137"/>
      <c r="AO18" s="1192"/>
      <c r="AP18" s="1193">
        <v>720</v>
      </c>
      <c r="AQ18" s="1213"/>
      <c r="AR18" s="1187"/>
      <c r="AS18" s="1214"/>
      <c r="AT18" s="1170" t="s">
        <v>1118</v>
      </c>
    </row>
    <row r="19" spans="1:46" ht="33.65" customHeight="1" x14ac:dyDescent="0.45">
      <c r="A19" s="1351">
        <v>45847</v>
      </c>
      <c r="B19" s="692">
        <v>1</v>
      </c>
      <c r="C19" s="286"/>
      <c r="D19" s="1156"/>
      <c r="E19" s="1156"/>
      <c r="F19" s="1157"/>
      <c r="G19" s="1205"/>
      <c r="H19" s="1137"/>
      <c r="I19" s="1164"/>
      <c r="J19" s="1170"/>
      <c r="K19" s="286"/>
      <c r="L19" s="1160"/>
      <c r="M19" s="1137"/>
      <c r="N19" s="1137"/>
      <c r="O19" s="1157"/>
      <c r="P19" s="1160"/>
      <c r="Q19" s="1137"/>
      <c r="R19" s="1137"/>
      <c r="S19" s="1170"/>
      <c r="T19" s="286"/>
      <c r="U19" s="1160"/>
      <c r="V19" s="1137"/>
      <c r="W19" s="1137"/>
      <c r="X19" s="1157"/>
      <c r="Y19" s="1160"/>
      <c r="Z19" s="1152"/>
      <c r="AA19" s="1204"/>
      <c r="AB19" s="1170"/>
      <c r="AC19" s="286"/>
      <c r="AD19" s="1160"/>
      <c r="AE19" s="1137"/>
      <c r="AF19" s="1137"/>
      <c r="AG19" s="1157"/>
      <c r="AH19" s="1160"/>
      <c r="AI19" s="1137"/>
      <c r="AJ19" s="1165"/>
      <c r="AK19" s="1170"/>
      <c r="AL19" s="1153"/>
      <c r="AM19" s="1160"/>
      <c r="AN19" s="1137"/>
      <c r="AO19" s="1137"/>
      <c r="AP19" s="1157">
        <v>89</v>
      </c>
      <c r="AQ19" s="1160"/>
      <c r="AR19" s="1137"/>
      <c r="AS19" s="1150"/>
      <c r="AT19" s="1170" t="s">
        <v>1118</v>
      </c>
    </row>
    <row r="20" spans="1:46" ht="44.5" customHeight="1" x14ac:dyDescent="0.45">
      <c r="A20" s="1352"/>
      <c r="B20" s="692">
        <v>2</v>
      </c>
      <c r="C20" s="1155"/>
      <c r="D20" s="1156">
        <v>7</v>
      </c>
      <c r="E20" s="1156"/>
      <c r="F20" s="1157"/>
      <c r="G20" s="1205"/>
      <c r="H20" s="1152" t="s">
        <v>317</v>
      </c>
      <c r="I20" s="1164"/>
      <c r="J20" s="1170"/>
      <c r="K20" s="286"/>
      <c r="L20" s="1160"/>
      <c r="M20" s="1137"/>
      <c r="N20" s="1137"/>
      <c r="O20" s="1157"/>
      <c r="P20" s="1205"/>
      <c r="Q20" s="1152"/>
      <c r="R20" s="1141"/>
      <c r="S20" s="1170"/>
      <c r="T20" s="286"/>
      <c r="U20" s="1160"/>
      <c r="V20" s="1137">
        <v>12</v>
      </c>
      <c r="W20" s="1137"/>
      <c r="X20" s="1157"/>
      <c r="Y20" s="1205"/>
      <c r="Z20" s="1152" t="s">
        <v>317</v>
      </c>
      <c r="AA20" s="1150"/>
      <c r="AB20" s="1170"/>
      <c r="AC20" s="286"/>
      <c r="AD20" s="1160"/>
      <c r="AE20" s="1137"/>
      <c r="AF20" s="1137"/>
      <c r="AG20" s="1157"/>
      <c r="AH20" s="1205"/>
      <c r="AI20" s="1152"/>
      <c r="AJ20" s="1141"/>
      <c r="AK20" s="1170"/>
      <c r="AL20" s="1153"/>
      <c r="AM20" s="1160"/>
      <c r="AN20" s="1137"/>
      <c r="AO20" s="1137"/>
      <c r="AP20" s="1157"/>
      <c r="AQ20" s="1205"/>
      <c r="AR20" s="1152"/>
      <c r="AS20" s="1141"/>
      <c r="AT20" s="1170"/>
    </row>
    <row r="21" spans="1:46" ht="39" customHeight="1" x14ac:dyDescent="0.45">
      <c r="A21" s="1351">
        <v>45848</v>
      </c>
      <c r="B21" s="692">
        <v>1</v>
      </c>
      <c r="C21" s="1155"/>
      <c r="D21" s="1156"/>
      <c r="E21" s="1156"/>
      <c r="F21" s="1157"/>
      <c r="G21" s="1210"/>
      <c r="H21" s="1140"/>
      <c r="I21" s="1164"/>
      <c r="J21" s="1211"/>
      <c r="K21" s="286"/>
      <c r="L21" s="1160"/>
      <c r="M21" s="1137"/>
      <c r="N21" s="1137"/>
      <c r="O21" s="1157"/>
      <c r="P21" s="1160"/>
      <c r="Q21" s="1152"/>
      <c r="R21" s="1137"/>
      <c r="S21" s="1211"/>
      <c r="T21" s="286"/>
      <c r="U21" s="1160"/>
      <c r="V21" s="1137"/>
      <c r="W21" s="1137">
        <v>8</v>
      </c>
      <c r="X21" s="1157"/>
      <c r="Y21" s="1205"/>
      <c r="Z21" s="1137"/>
      <c r="AA21" s="1150" t="s">
        <v>325</v>
      </c>
      <c r="AB21" s="1211"/>
      <c r="AC21" s="286"/>
      <c r="AD21" s="1160"/>
      <c r="AE21" s="1137"/>
      <c r="AF21" s="1137"/>
      <c r="AG21" s="1157"/>
      <c r="AH21" s="1160"/>
      <c r="AI21" s="1137"/>
      <c r="AJ21" s="1165"/>
      <c r="AK21" s="1211"/>
      <c r="AL21" s="1153"/>
      <c r="AM21" s="1160"/>
      <c r="AN21" s="1137"/>
      <c r="AO21" s="1137"/>
      <c r="AP21" s="1157"/>
      <c r="AQ21" s="1160"/>
      <c r="AR21" s="1152"/>
      <c r="AS21" s="1165"/>
      <c r="AT21" s="1211"/>
    </row>
    <row r="22" spans="1:46" ht="49.95" customHeight="1" x14ac:dyDescent="0.45">
      <c r="A22" s="1352"/>
      <c r="B22" s="692">
        <v>2</v>
      </c>
      <c r="C22" s="1155"/>
      <c r="D22" s="1156"/>
      <c r="E22" s="1156"/>
      <c r="F22" s="1157"/>
      <c r="G22" s="1209"/>
      <c r="H22" s="1150"/>
      <c r="I22" s="1141"/>
      <c r="J22" s="1170"/>
      <c r="K22" s="286"/>
      <c r="L22" s="1160"/>
      <c r="M22" s="1137"/>
      <c r="N22" s="1137"/>
      <c r="O22" s="1157"/>
      <c r="P22" s="1149"/>
      <c r="Q22" s="1150"/>
      <c r="R22" s="1137"/>
      <c r="S22" s="1170"/>
      <c r="T22" s="286"/>
      <c r="U22" s="1160"/>
      <c r="V22" s="1137"/>
      <c r="W22" s="1137"/>
      <c r="X22" s="1157"/>
      <c r="Y22" s="1205"/>
      <c r="Z22" s="1150"/>
      <c r="AA22" s="1165"/>
      <c r="AB22" s="1170"/>
      <c r="AC22" s="286"/>
      <c r="AD22" s="1160"/>
      <c r="AE22" s="1137"/>
      <c r="AF22" s="1137"/>
      <c r="AG22" s="1157"/>
      <c r="AH22" s="1160"/>
      <c r="AI22" s="1137"/>
      <c r="AJ22" s="1171"/>
      <c r="AK22" s="1179"/>
      <c r="AL22" s="1153"/>
      <c r="AM22" s="1160"/>
      <c r="AN22" s="1137"/>
      <c r="AO22" s="1137"/>
      <c r="AP22" s="1157"/>
      <c r="AQ22" s="1160"/>
      <c r="AR22" s="1150"/>
      <c r="AS22" s="1203"/>
      <c r="AT22" s="1170"/>
    </row>
    <row r="23" spans="1:46" ht="47.5" customHeight="1" x14ac:dyDescent="0.45">
      <c r="A23" s="1351">
        <v>45849</v>
      </c>
      <c r="B23" s="717">
        <v>1</v>
      </c>
      <c r="C23" s="1155"/>
      <c r="D23" s="1156"/>
      <c r="E23" s="1156"/>
      <c r="F23" s="1157"/>
      <c r="G23" s="1139"/>
      <c r="H23" s="1140"/>
      <c r="I23" s="1164"/>
      <c r="J23" s="1170"/>
      <c r="K23" s="286"/>
      <c r="L23" s="1160"/>
      <c r="M23" s="1137"/>
      <c r="N23" s="1137"/>
      <c r="O23" s="1157"/>
      <c r="P23" s="1139"/>
      <c r="Q23" s="1140"/>
      <c r="R23" s="1150"/>
      <c r="S23" s="1170"/>
      <c r="T23" s="286"/>
      <c r="U23" s="1160"/>
      <c r="V23" s="1137"/>
      <c r="W23" s="1137"/>
      <c r="X23" s="1157"/>
      <c r="Y23" s="1205"/>
      <c r="Z23" s="1141"/>
      <c r="AA23" s="1204"/>
      <c r="AB23" s="1170"/>
      <c r="AC23" s="286"/>
      <c r="AD23" s="1160"/>
      <c r="AE23" s="1137"/>
      <c r="AF23" s="1128"/>
      <c r="AG23" s="1157"/>
      <c r="AH23" s="1160"/>
      <c r="AI23" s="1140"/>
      <c r="AJ23" s="1208"/>
      <c r="AK23" s="1179"/>
      <c r="AL23" s="1153"/>
      <c r="AM23" s="1160"/>
      <c r="AN23" s="1137"/>
      <c r="AO23" s="1137"/>
      <c r="AP23" s="1157"/>
      <c r="AQ23" s="1137"/>
      <c r="AR23" s="1140"/>
      <c r="AS23" s="1176"/>
      <c r="AT23" s="1170"/>
    </row>
    <row r="24" spans="1:46" ht="49.95" customHeight="1" x14ac:dyDescent="0.45">
      <c r="A24" s="1352"/>
      <c r="B24" s="692">
        <v>2</v>
      </c>
      <c r="C24" s="1155"/>
      <c r="D24" s="1156"/>
      <c r="E24" s="1156"/>
      <c r="F24" s="1157"/>
      <c r="G24" s="1139"/>
      <c r="H24" s="1150"/>
      <c r="I24" s="1164"/>
      <c r="J24" s="1170"/>
      <c r="K24" s="286"/>
      <c r="L24" s="1160"/>
      <c r="M24" s="1137"/>
      <c r="N24" s="1137"/>
      <c r="O24" s="1157"/>
      <c r="P24" s="1139"/>
      <c r="Q24" s="1140"/>
      <c r="R24" s="1150"/>
      <c r="S24" s="1170"/>
      <c r="T24" s="1206"/>
      <c r="U24" s="1128"/>
      <c r="V24" s="1207"/>
      <c r="W24" s="1204" t="s">
        <v>1117</v>
      </c>
      <c r="X24" s="1157"/>
      <c r="Y24" s="1141"/>
      <c r="Z24" s="1140"/>
      <c r="AA24" s="1165" t="s">
        <v>152</v>
      </c>
      <c r="AB24" s="1170"/>
      <c r="AC24" s="286"/>
      <c r="AD24" s="1160"/>
      <c r="AE24" s="1137"/>
      <c r="AF24" s="1128"/>
      <c r="AG24" s="1157"/>
      <c r="AH24" s="1141"/>
      <c r="AI24" s="1140"/>
      <c r="AJ24" s="1150"/>
      <c r="AK24" s="1170"/>
      <c r="AL24" s="1153"/>
      <c r="AM24" s="1160"/>
      <c r="AN24" s="1137"/>
      <c r="AO24" s="1137"/>
      <c r="AP24" s="1157"/>
      <c r="AQ24" s="1140"/>
      <c r="AR24" s="1140"/>
      <c r="AS24" s="1170"/>
      <c r="AT24" s="1170"/>
    </row>
    <row r="25" spans="1:46" ht="53.5" customHeight="1" x14ac:dyDescent="0.45">
      <c r="A25" s="1351">
        <v>45850</v>
      </c>
      <c r="B25" s="692">
        <v>1</v>
      </c>
      <c r="C25" s="1155"/>
      <c r="D25" s="1156"/>
      <c r="E25" s="1156"/>
      <c r="F25" s="1157">
        <v>222</v>
      </c>
      <c r="G25" s="1139"/>
      <c r="H25" s="1140"/>
      <c r="I25" s="1141"/>
      <c r="J25" s="1170" t="s">
        <v>975</v>
      </c>
      <c r="K25" s="286"/>
      <c r="L25" s="1160"/>
      <c r="M25" s="1137"/>
      <c r="N25" s="1137"/>
      <c r="O25" s="1157">
        <v>217</v>
      </c>
      <c r="P25" s="1160"/>
      <c r="Q25" s="1140"/>
      <c r="R25" s="1137"/>
      <c r="S25" s="1170" t="s">
        <v>975</v>
      </c>
      <c r="T25" s="286"/>
      <c r="U25" s="1160"/>
      <c r="V25" s="1137"/>
      <c r="W25" s="1137"/>
      <c r="X25" s="1157">
        <v>226</v>
      </c>
      <c r="Y25" s="1205"/>
      <c r="Z25" s="1152"/>
      <c r="AA25" s="1150"/>
      <c r="AB25" s="1170" t="s">
        <v>975</v>
      </c>
      <c r="AC25" s="286"/>
      <c r="AD25" s="1160"/>
      <c r="AE25" s="1137"/>
      <c r="AF25" s="1137"/>
      <c r="AG25" s="1157">
        <v>230</v>
      </c>
      <c r="AH25" s="1137"/>
      <c r="AI25" s="1152"/>
      <c r="AJ25" s="1150"/>
      <c r="AK25" s="1170" t="s">
        <v>975</v>
      </c>
      <c r="AL25" s="1153"/>
      <c r="AM25" s="1160"/>
      <c r="AN25" s="1137"/>
      <c r="AO25" s="1137"/>
      <c r="AP25" s="1157">
        <v>234</v>
      </c>
      <c r="AQ25" s="1137"/>
      <c r="AR25" s="1137"/>
      <c r="AS25" s="1150"/>
      <c r="AT25" s="1170" t="s">
        <v>975</v>
      </c>
    </row>
    <row r="26" spans="1:46" ht="42" customHeight="1" x14ac:dyDescent="0.45">
      <c r="A26" s="1352"/>
      <c r="B26" s="692">
        <v>2</v>
      </c>
      <c r="C26" s="1155"/>
      <c r="D26" s="1156"/>
      <c r="E26" s="1156"/>
      <c r="F26" s="1157"/>
      <c r="G26" s="1139"/>
      <c r="H26" s="1150"/>
      <c r="I26" s="1141"/>
      <c r="J26" s="1170"/>
      <c r="K26" s="286"/>
      <c r="L26" s="1160"/>
      <c r="M26" s="1137"/>
      <c r="N26" s="1137"/>
      <c r="O26" s="1157"/>
      <c r="P26" s="1139"/>
      <c r="Q26" s="1150"/>
      <c r="R26" s="1176"/>
      <c r="S26" s="1170"/>
      <c r="T26" s="286"/>
      <c r="U26" s="1160"/>
      <c r="V26" s="1156"/>
      <c r="W26" s="1137">
        <v>15</v>
      </c>
      <c r="X26" s="1157"/>
      <c r="Y26" s="1141"/>
      <c r="Z26" s="1150"/>
      <c r="AA26" s="1165" t="s">
        <v>325</v>
      </c>
      <c r="AB26" s="1170"/>
      <c r="AC26" s="286"/>
      <c r="AD26" s="1160"/>
      <c r="AE26" s="1156"/>
      <c r="AF26" s="1137"/>
      <c r="AG26" s="1157"/>
      <c r="AH26" s="1141"/>
      <c r="AI26" s="1150"/>
      <c r="AJ26" s="1150"/>
      <c r="AK26" s="1170"/>
      <c r="AL26" s="1153"/>
      <c r="AM26" s="1160"/>
      <c r="AN26" s="1156"/>
      <c r="AO26" s="1137"/>
      <c r="AP26" s="1157"/>
      <c r="AQ26" s="1139"/>
      <c r="AR26" s="1150"/>
      <c r="AS26" s="1150"/>
      <c r="AT26" s="1170"/>
    </row>
    <row r="27" spans="1:46" ht="49.95" customHeight="1" x14ac:dyDescent="0.45">
      <c r="A27" s="1351">
        <v>45851</v>
      </c>
      <c r="B27" s="717">
        <v>1</v>
      </c>
      <c r="C27" s="1155"/>
      <c r="D27" s="1156"/>
      <c r="E27" s="1156"/>
      <c r="F27" s="1157"/>
      <c r="G27" s="1139"/>
      <c r="H27" s="1140"/>
      <c r="I27" s="1164"/>
      <c r="J27" s="1170"/>
      <c r="K27" s="286"/>
      <c r="L27" s="1160"/>
      <c r="M27" s="1137"/>
      <c r="N27" s="1137"/>
      <c r="O27" s="1157"/>
      <c r="P27" s="1139"/>
      <c r="Q27" s="1140"/>
      <c r="R27" s="1150"/>
      <c r="S27" s="1170"/>
      <c r="T27" s="286"/>
      <c r="U27" s="1160"/>
      <c r="V27" s="1137">
        <v>100</v>
      </c>
      <c r="W27" s="1137"/>
      <c r="X27" s="1157"/>
      <c r="Y27" s="1139"/>
      <c r="Z27" s="1150" t="s">
        <v>317</v>
      </c>
      <c r="AA27" s="1204"/>
      <c r="AB27" s="1170"/>
      <c r="AC27" s="286"/>
      <c r="AD27" s="1160"/>
      <c r="AE27" s="1137"/>
      <c r="AF27" s="1137"/>
      <c r="AG27" s="1157"/>
      <c r="AH27" s="1139"/>
      <c r="AI27" s="1152"/>
      <c r="AJ27" s="1150"/>
      <c r="AK27" s="1170"/>
      <c r="AL27" s="1153"/>
      <c r="AM27" s="1160"/>
      <c r="AN27" s="1137"/>
      <c r="AO27" s="1137"/>
      <c r="AP27" s="1157"/>
      <c r="AQ27" s="1152"/>
      <c r="AR27" s="1137"/>
      <c r="AS27" s="1150"/>
      <c r="AT27" s="1170"/>
    </row>
    <row r="28" spans="1:46" ht="72" customHeight="1" x14ac:dyDescent="0.45">
      <c r="A28" s="1352"/>
      <c r="B28" s="692">
        <v>2</v>
      </c>
      <c r="C28" s="1155"/>
      <c r="D28" s="1156"/>
      <c r="E28" s="1156"/>
      <c r="F28" s="1157">
        <v>13</v>
      </c>
      <c r="G28" s="1150"/>
      <c r="H28" s="1150"/>
      <c r="I28" s="1176"/>
      <c r="J28" s="1170" t="s">
        <v>317</v>
      </c>
      <c r="K28" s="286"/>
      <c r="L28" s="1160"/>
      <c r="M28" s="1137"/>
      <c r="N28" s="1137"/>
      <c r="O28" s="1157">
        <v>14</v>
      </c>
      <c r="P28" s="1150"/>
      <c r="Q28" s="1150"/>
      <c r="R28" s="1150"/>
      <c r="S28" s="1170" t="s">
        <v>317</v>
      </c>
      <c r="T28" s="286"/>
      <c r="U28" s="1160"/>
      <c r="V28" s="1137"/>
      <c r="W28" s="286">
        <v>18</v>
      </c>
      <c r="X28" s="1157">
        <v>15</v>
      </c>
      <c r="Y28" s="1150"/>
      <c r="Z28" s="1137"/>
      <c r="AA28" s="1165" t="s">
        <v>325</v>
      </c>
      <c r="AB28" s="1170" t="s">
        <v>317</v>
      </c>
      <c r="AC28" s="286"/>
      <c r="AD28" s="1160"/>
      <c r="AE28" s="1137"/>
      <c r="AF28" s="1137"/>
      <c r="AG28" s="1157">
        <v>16</v>
      </c>
      <c r="AH28" s="1139"/>
      <c r="AI28" s="1152"/>
      <c r="AJ28" s="1165"/>
      <c r="AK28" s="1170" t="s">
        <v>317</v>
      </c>
      <c r="AL28" s="1153"/>
      <c r="AM28" s="1160"/>
      <c r="AN28" s="1137"/>
      <c r="AO28" s="1137"/>
      <c r="AP28" s="1157">
        <v>13</v>
      </c>
      <c r="AQ28" s="1152"/>
      <c r="AR28" s="1137"/>
      <c r="AS28" s="1150"/>
      <c r="AT28" s="1170" t="s">
        <v>317</v>
      </c>
    </row>
    <row r="29" spans="1:46" ht="66" customHeight="1" x14ac:dyDescent="0.45">
      <c r="A29" s="1351">
        <v>45852</v>
      </c>
      <c r="B29" s="692">
        <v>1</v>
      </c>
      <c r="C29" s="1155"/>
      <c r="D29" s="1156"/>
      <c r="E29" s="1156"/>
      <c r="F29" s="1157"/>
      <c r="G29" s="1150"/>
      <c r="H29" s="1140"/>
      <c r="I29" s="1176"/>
      <c r="J29" s="1170"/>
      <c r="K29" s="286"/>
      <c r="L29" s="1160"/>
      <c r="M29" s="1137"/>
      <c r="N29" s="1137"/>
      <c r="O29" s="1157"/>
      <c r="P29" s="1139"/>
      <c r="Q29" s="1150"/>
      <c r="R29" s="1150"/>
      <c r="S29" s="1170"/>
      <c r="T29" s="286"/>
      <c r="U29" s="1160"/>
      <c r="V29" s="1137"/>
      <c r="W29" s="1137"/>
      <c r="X29" s="1157"/>
      <c r="Y29" s="1150"/>
      <c r="Z29" s="1140"/>
      <c r="AA29" s="1165"/>
      <c r="AB29" s="1170"/>
      <c r="AC29" s="286"/>
      <c r="AD29" s="1160"/>
      <c r="AE29" s="1137"/>
      <c r="AF29" s="1137"/>
      <c r="AG29" s="1157"/>
      <c r="AH29" s="1139"/>
      <c r="AI29" s="1140"/>
      <c r="AJ29" s="1137"/>
      <c r="AK29" s="1170"/>
      <c r="AL29" s="1153"/>
      <c r="AM29" s="1160"/>
      <c r="AN29" s="1137"/>
      <c r="AO29" s="1137"/>
      <c r="AP29" s="1137"/>
      <c r="AQ29" s="1152"/>
      <c r="AR29" s="1140"/>
      <c r="AS29" s="1203"/>
      <c r="AT29" s="1170"/>
    </row>
    <row r="30" spans="1:46" ht="39.65" customHeight="1" x14ac:dyDescent="0.45">
      <c r="A30" s="1352"/>
      <c r="B30" s="717">
        <v>2</v>
      </c>
      <c r="C30" s="1155"/>
      <c r="D30" s="1156">
        <v>208</v>
      </c>
      <c r="E30" s="1156"/>
      <c r="F30" s="1157"/>
      <c r="G30" s="1150"/>
      <c r="H30" s="1140" t="s">
        <v>1119</v>
      </c>
      <c r="I30" s="1165"/>
      <c r="J30" s="1170"/>
      <c r="K30" s="286"/>
      <c r="L30" s="1160"/>
      <c r="M30" s="1137"/>
      <c r="N30" s="1137"/>
      <c r="O30" s="1157"/>
      <c r="P30" s="1139"/>
      <c r="Q30" s="1150"/>
      <c r="R30" s="1150"/>
      <c r="S30" s="1170"/>
      <c r="T30" s="286"/>
      <c r="U30" s="1160"/>
      <c r="V30" s="1137"/>
      <c r="W30" s="1137"/>
      <c r="X30" s="1157"/>
      <c r="Y30" s="1150"/>
      <c r="Z30" s="1239"/>
      <c r="AA30" s="1240"/>
      <c r="AB30" s="1170"/>
      <c r="AC30" s="286"/>
      <c r="AD30" s="1160"/>
      <c r="AE30" s="1137"/>
      <c r="AF30" s="1137"/>
      <c r="AG30" s="1157"/>
      <c r="AH30" s="1139"/>
      <c r="AI30" s="1150"/>
      <c r="AJ30" s="1137"/>
      <c r="AK30" s="1170"/>
      <c r="AL30" s="1153"/>
      <c r="AM30" s="1160"/>
      <c r="AN30" s="1137"/>
      <c r="AO30" s="1137"/>
      <c r="AP30" s="1137"/>
      <c r="AQ30" s="1149"/>
      <c r="AR30" s="1140"/>
      <c r="AS30" s="1203"/>
      <c r="AT30" s="1169"/>
    </row>
    <row r="31" spans="1:46" ht="39.65" customHeight="1" x14ac:dyDescent="0.45">
      <c r="A31" s="1351">
        <v>45853</v>
      </c>
      <c r="B31" s="692">
        <v>1</v>
      </c>
      <c r="C31" s="1155"/>
      <c r="D31" s="1156"/>
      <c r="E31" s="1156"/>
      <c r="F31" s="1157"/>
      <c r="G31" s="1139"/>
      <c r="H31" s="1171"/>
      <c r="I31" s="1241"/>
      <c r="J31" s="1170"/>
      <c r="K31" s="286"/>
      <c r="L31" s="1160"/>
      <c r="M31" s="1137"/>
      <c r="N31" s="1137"/>
      <c r="O31" s="1157"/>
      <c r="P31" s="1128"/>
      <c r="Q31" s="1137"/>
      <c r="R31" s="1137"/>
      <c r="S31" s="1170"/>
      <c r="T31" s="286"/>
      <c r="U31" s="1160"/>
      <c r="V31" s="1137"/>
      <c r="W31" s="1137"/>
      <c r="X31" s="1157"/>
      <c r="Y31" s="1172"/>
      <c r="Z31" s="1242"/>
      <c r="AA31" s="1240"/>
      <c r="AB31" s="1179"/>
      <c r="AC31" s="286"/>
      <c r="AD31" s="1160"/>
      <c r="AE31" s="1137"/>
      <c r="AF31" s="1137"/>
      <c r="AG31" s="1157"/>
      <c r="AH31" s="1139"/>
      <c r="AI31" s="1137"/>
      <c r="AJ31" s="1137"/>
      <c r="AK31" s="1170"/>
      <c r="AL31" s="1153"/>
      <c r="AM31" s="1160"/>
      <c r="AN31" s="1137"/>
      <c r="AO31" s="1137"/>
      <c r="AP31" s="1137"/>
      <c r="AQ31" s="1128"/>
      <c r="AR31" s="1140"/>
      <c r="AS31" s="1137"/>
      <c r="AT31" s="1169"/>
    </row>
    <row r="32" spans="1:46" ht="41.25" customHeight="1" x14ac:dyDescent="0.45">
      <c r="A32" s="1352"/>
      <c r="B32" s="692">
        <v>2</v>
      </c>
      <c r="C32" s="1245"/>
      <c r="D32" s="1183"/>
      <c r="E32" s="1207"/>
      <c r="F32" s="1183">
        <v>92</v>
      </c>
      <c r="G32" s="1139"/>
      <c r="H32" s="1171"/>
      <c r="I32" s="1241"/>
      <c r="J32" s="1170" t="s">
        <v>975</v>
      </c>
      <c r="K32" s="286"/>
      <c r="L32" s="1160"/>
      <c r="M32" s="1137"/>
      <c r="N32" s="1137"/>
      <c r="O32" s="1137">
        <v>92</v>
      </c>
      <c r="P32" s="1128"/>
      <c r="Q32" s="1171"/>
      <c r="R32" s="1128"/>
      <c r="S32" s="1170" t="s">
        <v>975</v>
      </c>
      <c r="T32" s="286"/>
      <c r="U32" s="1160"/>
      <c r="V32" s="1137">
        <v>37</v>
      </c>
      <c r="W32" s="1156"/>
      <c r="X32" s="1137">
        <v>93</v>
      </c>
      <c r="Y32" s="1237"/>
      <c r="Z32" s="1246" t="s">
        <v>320</v>
      </c>
      <c r="AA32" s="1243"/>
      <c r="AB32" s="1179" t="s">
        <v>975</v>
      </c>
      <c r="AC32" s="286"/>
      <c r="AD32" s="1160"/>
      <c r="AE32" s="1137"/>
      <c r="AF32" s="1156"/>
      <c r="AG32" s="1137">
        <v>95</v>
      </c>
      <c r="AH32" s="1139"/>
      <c r="AI32" s="1171"/>
      <c r="AJ32" s="1241"/>
      <c r="AK32" s="1170" t="s">
        <v>975</v>
      </c>
      <c r="AL32" s="1153"/>
      <c r="AM32" s="1160"/>
      <c r="AN32" s="1137"/>
      <c r="AO32" s="1137"/>
      <c r="AP32" s="1137">
        <v>95</v>
      </c>
      <c r="AQ32" s="1128"/>
      <c r="AR32" s="1140"/>
      <c r="AS32" s="1164"/>
      <c r="AT32" s="1169" t="s">
        <v>975</v>
      </c>
    </row>
    <row r="33" spans="1:46" ht="43.2" customHeight="1" x14ac:dyDescent="0.45">
      <c r="A33" s="1351">
        <v>45854</v>
      </c>
      <c r="B33" s="692">
        <v>1</v>
      </c>
      <c r="C33" s="1155"/>
      <c r="D33" s="1156"/>
      <c r="E33" s="1156"/>
      <c r="F33" s="1157"/>
      <c r="G33" s="1139"/>
      <c r="H33" s="1171"/>
      <c r="I33" s="1241"/>
      <c r="J33" s="1170"/>
      <c r="K33" s="286"/>
      <c r="L33" s="1160"/>
      <c r="M33" s="1137"/>
      <c r="N33" s="1137"/>
      <c r="O33" s="1157"/>
      <c r="P33" s="1128"/>
      <c r="Q33" s="1137"/>
      <c r="R33" s="1137"/>
      <c r="S33" s="1170"/>
      <c r="T33" s="286"/>
      <c r="U33" s="1160"/>
      <c r="V33" s="1137"/>
      <c r="W33" s="1137"/>
      <c r="X33" s="1157"/>
      <c r="Y33" s="1128"/>
      <c r="Z33" s="1161"/>
      <c r="AA33" s="1243"/>
      <c r="AB33" s="1170"/>
      <c r="AC33" s="286"/>
      <c r="AD33" s="1160"/>
      <c r="AE33" s="1137"/>
      <c r="AF33" s="1137"/>
      <c r="AG33" s="1157"/>
      <c r="AH33" s="1128"/>
      <c r="AI33" s="1244"/>
      <c r="AJ33" s="1241"/>
      <c r="AK33" s="1170"/>
      <c r="AL33" s="1153"/>
      <c r="AM33" s="1160"/>
      <c r="AN33" s="1137"/>
      <c r="AO33" s="1137"/>
      <c r="AP33" s="1137"/>
      <c r="AQ33" s="1128"/>
      <c r="AR33" s="1244"/>
      <c r="AS33" s="1128"/>
      <c r="AT33" s="1170"/>
    </row>
    <row r="34" spans="1:46" ht="67.95" customHeight="1" x14ac:dyDescent="0.45">
      <c r="A34" s="1352"/>
      <c r="B34" s="717">
        <v>2</v>
      </c>
      <c r="C34" s="1156"/>
      <c r="D34" s="1156"/>
      <c r="E34" s="1156"/>
      <c r="F34" s="1157"/>
      <c r="G34" s="1158"/>
      <c r="H34" s="1150"/>
      <c r="I34" s="1165"/>
      <c r="J34" s="1170"/>
      <c r="K34" s="286"/>
      <c r="L34" s="1160"/>
      <c r="M34" s="1137"/>
      <c r="N34" s="1137"/>
      <c r="O34" s="1157"/>
      <c r="P34" s="1128"/>
      <c r="Q34" s="1150"/>
      <c r="R34" s="1137"/>
      <c r="S34" s="1170"/>
      <c r="T34" s="286"/>
      <c r="U34" s="1160"/>
      <c r="V34" s="1137"/>
      <c r="W34" s="1137"/>
      <c r="X34" s="1157"/>
      <c r="Y34" s="1152"/>
      <c r="Z34" s="1152"/>
      <c r="AA34" s="1243"/>
      <c r="AB34" s="1170"/>
      <c r="AC34" s="286"/>
      <c r="AD34" s="1160"/>
      <c r="AE34" s="1137"/>
      <c r="AF34" s="1137"/>
      <c r="AG34" s="1157"/>
      <c r="AH34" s="1128"/>
      <c r="AI34" s="1137"/>
      <c r="AJ34" s="1152"/>
      <c r="AK34" s="1170"/>
      <c r="AL34" s="1153"/>
      <c r="AM34" s="1160"/>
      <c r="AN34" s="1137"/>
      <c r="AO34" s="1137"/>
      <c r="AP34" s="1137"/>
      <c r="AQ34" s="1128"/>
      <c r="AR34" s="1244"/>
      <c r="AS34" s="1150"/>
      <c r="AT34" s="1170"/>
    </row>
    <row r="35" spans="1:46" ht="51" customHeight="1" x14ac:dyDescent="0.45">
      <c r="A35" s="1351">
        <v>45855</v>
      </c>
      <c r="B35" s="692">
        <v>1</v>
      </c>
      <c r="C35" s="1156"/>
      <c r="D35" s="1156"/>
      <c r="E35" s="1203"/>
      <c r="F35" s="1157"/>
      <c r="G35" s="1205"/>
      <c r="H35" s="1128"/>
      <c r="I35" s="1165"/>
      <c r="J35" s="1170"/>
      <c r="K35" s="286"/>
      <c r="L35" s="1160"/>
      <c r="M35" s="1137"/>
      <c r="N35" s="1137"/>
      <c r="O35" s="1157"/>
      <c r="P35" s="1205"/>
      <c r="Q35" s="1150"/>
      <c r="R35" s="1150"/>
      <c r="S35" s="1170"/>
      <c r="T35" s="286"/>
      <c r="U35" s="1160"/>
      <c r="V35" s="1137"/>
      <c r="W35" s="1203"/>
      <c r="X35" s="1157"/>
      <c r="Y35" s="1205"/>
      <c r="Z35" s="1152"/>
      <c r="AA35" s="1165"/>
      <c r="AB35" s="1170"/>
      <c r="AC35" s="286"/>
      <c r="AD35" s="1160"/>
      <c r="AE35" s="1137"/>
      <c r="AF35" s="1137"/>
      <c r="AG35" s="1157"/>
      <c r="AH35" s="1205"/>
      <c r="AI35" s="1192"/>
      <c r="AJ35" s="1164"/>
      <c r="AK35" s="1170"/>
      <c r="AL35" s="1153"/>
      <c r="AM35" s="1160"/>
      <c r="AN35" s="1137"/>
      <c r="AO35" s="1137"/>
      <c r="AP35" s="1137"/>
      <c r="AQ35" s="1128"/>
      <c r="AR35" s="1244"/>
      <c r="AS35" s="1172"/>
      <c r="AT35" s="1170"/>
    </row>
    <row r="36" spans="1:46" ht="46.95" customHeight="1" x14ac:dyDescent="0.45">
      <c r="A36" s="1352"/>
      <c r="B36" s="692">
        <v>2</v>
      </c>
      <c r="C36" s="1203"/>
      <c r="D36" s="1137"/>
      <c r="E36" s="1203"/>
      <c r="F36" s="1157"/>
      <c r="G36" s="1176"/>
      <c r="H36" s="1150"/>
      <c r="I36" s="1176"/>
      <c r="J36" s="1170"/>
      <c r="K36" s="286"/>
      <c r="L36" s="1205"/>
      <c r="M36" s="1137"/>
      <c r="N36" s="1137"/>
      <c r="O36" s="1157"/>
      <c r="P36" s="1205"/>
      <c r="Q36" s="1150"/>
      <c r="R36" s="1152"/>
      <c r="S36" s="1170"/>
      <c r="T36" s="286"/>
      <c r="U36" s="1160"/>
      <c r="V36" s="1137"/>
      <c r="W36" s="1137">
        <v>10</v>
      </c>
      <c r="X36" s="1157"/>
      <c r="Y36" s="1205"/>
      <c r="Z36" s="1150"/>
      <c r="AA36" s="1165" t="s">
        <v>388</v>
      </c>
      <c r="AB36" s="1170"/>
      <c r="AC36" s="286"/>
      <c r="AD36" s="1160"/>
      <c r="AE36" s="1137"/>
      <c r="AF36" s="1203"/>
      <c r="AG36" s="1157"/>
      <c r="AH36" s="1205"/>
      <c r="AI36" s="1244"/>
      <c r="AJ36" s="1241"/>
      <c r="AK36" s="1170"/>
      <c r="AL36" s="1153"/>
      <c r="AM36" s="1160"/>
      <c r="AN36" s="1137"/>
      <c r="AO36" s="1137"/>
      <c r="AP36" s="1137"/>
      <c r="AQ36" s="1128"/>
      <c r="AR36" s="1244"/>
      <c r="AS36" s="1149"/>
      <c r="AT36" s="1170"/>
    </row>
    <row r="37" spans="1:46" ht="59.5" customHeight="1" x14ac:dyDescent="0.45">
      <c r="A37" s="1351">
        <v>45856</v>
      </c>
      <c r="B37" s="717">
        <v>1</v>
      </c>
      <c r="C37" s="1203"/>
      <c r="D37" s="1156"/>
      <c r="E37" s="1203"/>
      <c r="F37" s="1157"/>
      <c r="G37" s="1176"/>
      <c r="H37" s="1149"/>
      <c r="I37" s="1141"/>
      <c r="J37" s="1170"/>
      <c r="K37" s="286"/>
      <c r="L37" s="1160"/>
      <c r="M37" s="1137"/>
      <c r="N37" s="1137"/>
      <c r="O37" s="1157"/>
      <c r="P37" s="1128"/>
      <c r="Q37" s="1150"/>
      <c r="R37" s="1137"/>
      <c r="S37" s="1170"/>
      <c r="T37" s="286"/>
      <c r="U37" s="1160"/>
      <c r="V37" s="1137"/>
      <c r="W37" s="1137"/>
      <c r="X37" s="1157"/>
      <c r="Y37" s="1128"/>
      <c r="Z37" s="1152"/>
      <c r="AA37" s="1165"/>
      <c r="AB37" s="1170"/>
      <c r="AC37" s="286"/>
      <c r="AD37" s="1160"/>
      <c r="AE37" s="1137"/>
      <c r="AF37" s="1137"/>
      <c r="AG37" s="1157"/>
      <c r="AH37" s="1149"/>
      <c r="AI37" s="1137"/>
      <c r="AJ37" s="1165"/>
      <c r="AK37" s="1170"/>
      <c r="AL37" s="1153"/>
      <c r="AM37" s="1160"/>
      <c r="AN37" s="1137"/>
      <c r="AO37" s="1137"/>
      <c r="AP37" s="1137"/>
      <c r="AQ37" s="1128"/>
      <c r="AR37" s="1244"/>
      <c r="AS37" s="1128"/>
      <c r="AT37" s="1170"/>
    </row>
    <row r="38" spans="1:46" ht="55.95" customHeight="1" x14ac:dyDescent="0.45">
      <c r="A38" s="1352"/>
      <c r="B38" s="692">
        <v>2</v>
      </c>
      <c r="C38" s="1203"/>
      <c r="D38" s="1156"/>
      <c r="E38" s="1203">
        <v>59</v>
      </c>
      <c r="F38" s="1157"/>
      <c r="G38" s="1176"/>
      <c r="H38" s="1149"/>
      <c r="I38" s="1141" t="s">
        <v>1120</v>
      </c>
      <c r="J38" s="1170"/>
      <c r="K38" s="286"/>
      <c r="L38" s="1160"/>
      <c r="M38" s="1137"/>
      <c r="N38" s="1137"/>
      <c r="O38" s="1157"/>
      <c r="P38" s="1149"/>
      <c r="Q38" s="1149"/>
      <c r="R38" s="1137"/>
      <c r="S38" s="1170"/>
      <c r="T38" s="286"/>
      <c r="U38" s="1160"/>
      <c r="V38" s="1137"/>
      <c r="W38" s="1137"/>
      <c r="X38" s="1157"/>
      <c r="Y38" s="1149"/>
      <c r="Z38" s="1152"/>
      <c r="AA38" s="1165"/>
      <c r="AB38" s="1170"/>
      <c r="AC38" s="286"/>
      <c r="AD38" s="1160"/>
      <c r="AE38" s="1137"/>
      <c r="AF38" s="1137"/>
      <c r="AG38" s="1157"/>
      <c r="AH38" s="1149"/>
      <c r="AI38" s="1137"/>
      <c r="AJ38" s="1165"/>
      <c r="AK38" s="1170"/>
      <c r="AL38" s="1153"/>
      <c r="AM38" s="1160"/>
      <c r="AN38" s="1137"/>
      <c r="AO38" s="1137"/>
      <c r="AP38" s="1137"/>
      <c r="AQ38" s="1128"/>
      <c r="AR38" s="1244"/>
      <c r="AS38" s="1149"/>
      <c r="AT38" s="1170"/>
    </row>
    <row r="39" spans="1:46" ht="70.95" customHeight="1" x14ac:dyDescent="0.45">
      <c r="A39" s="1351">
        <v>45857</v>
      </c>
      <c r="B39" s="692">
        <v>1</v>
      </c>
      <c r="C39" s="1203"/>
      <c r="D39" s="1156"/>
      <c r="E39" s="1156">
        <v>10</v>
      </c>
      <c r="F39" s="1157"/>
      <c r="G39" s="1176"/>
      <c r="H39" s="1149"/>
      <c r="I39" s="1141" t="s">
        <v>1120</v>
      </c>
      <c r="J39" s="1170"/>
      <c r="K39" s="286"/>
      <c r="L39" s="1160"/>
      <c r="M39" s="1137"/>
      <c r="N39" s="1137"/>
      <c r="O39" s="1157"/>
      <c r="P39" s="1176"/>
      <c r="Q39" s="1150"/>
      <c r="R39" s="1137"/>
      <c r="S39" s="1170"/>
      <c r="T39" s="286"/>
      <c r="U39" s="1160"/>
      <c r="V39" s="1137"/>
      <c r="W39" s="1137"/>
      <c r="X39" s="1157"/>
      <c r="Y39" s="1128"/>
      <c r="Z39" s="1150"/>
      <c r="AA39" s="1165"/>
      <c r="AB39" s="1170"/>
      <c r="AC39" s="286"/>
      <c r="AD39" s="1160"/>
      <c r="AE39" s="1137"/>
      <c r="AF39" s="1137"/>
      <c r="AG39" s="1157"/>
      <c r="AH39" s="1176"/>
      <c r="AI39" s="1140"/>
      <c r="AJ39" s="1165"/>
      <c r="AK39" s="1170"/>
      <c r="AL39" s="1153"/>
      <c r="AM39" s="1160"/>
      <c r="AN39" s="1137"/>
      <c r="AO39" s="1137"/>
      <c r="AP39" s="1137"/>
      <c r="AQ39" s="1128"/>
      <c r="AR39" s="1244"/>
      <c r="AS39" s="1241"/>
      <c r="AT39" s="1170"/>
    </row>
    <row r="40" spans="1:46" ht="72.650000000000006" customHeight="1" x14ac:dyDescent="0.45">
      <c r="A40" s="1352"/>
      <c r="B40" s="692">
        <v>2</v>
      </c>
      <c r="C40" s="1156"/>
      <c r="D40" s="1156"/>
      <c r="E40" s="1156"/>
      <c r="F40" s="1157"/>
      <c r="G40" s="1176"/>
      <c r="H40" s="1149"/>
      <c r="I40" s="1141"/>
      <c r="J40" s="1170"/>
      <c r="K40" s="286"/>
      <c r="L40" s="1160"/>
      <c r="M40" s="1137"/>
      <c r="N40" s="1137"/>
      <c r="O40" s="1157"/>
      <c r="P40" s="1139"/>
      <c r="Q40" s="1140"/>
      <c r="R40" s="1176"/>
      <c r="S40" s="1170"/>
      <c r="T40" s="286"/>
      <c r="U40" s="1160"/>
      <c r="V40" s="1137"/>
      <c r="W40" s="1137">
        <v>26</v>
      </c>
      <c r="X40" s="1157"/>
      <c r="Y40" s="1149"/>
      <c r="Z40" s="1137"/>
      <c r="AA40" s="1165" t="s">
        <v>1085</v>
      </c>
      <c r="AB40" s="1170"/>
      <c r="AC40" s="286"/>
      <c r="AD40" s="1160"/>
      <c r="AE40" s="1137"/>
      <c r="AF40" s="1137"/>
      <c r="AG40" s="1157"/>
      <c r="AH40" s="1205"/>
      <c r="AI40" s="1150"/>
      <c r="AJ40" s="1165"/>
      <c r="AK40" s="1170"/>
      <c r="AL40" s="1153"/>
      <c r="AM40" s="1205"/>
      <c r="AN40" s="1137"/>
      <c r="AO40" s="1137"/>
      <c r="AP40" s="1137"/>
      <c r="AQ40" s="1128"/>
      <c r="AR40" s="1244"/>
      <c r="AS40" s="1176"/>
      <c r="AT40" s="1170"/>
    </row>
    <row r="41" spans="1:46" ht="39.65" customHeight="1" x14ac:dyDescent="0.45">
      <c r="A41" s="1351">
        <v>45858</v>
      </c>
      <c r="B41" s="692">
        <v>1</v>
      </c>
      <c r="C41" s="1155"/>
      <c r="D41" s="1156"/>
      <c r="E41" s="1156"/>
      <c r="F41" s="1157"/>
      <c r="G41" s="1139"/>
      <c r="H41" s="1150"/>
      <c r="I41" s="1141"/>
      <c r="J41" s="1170"/>
      <c r="K41" s="286"/>
      <c r="L41" s="1160"/>
      <c r="M41" s="1137"/>
      <c r="N41" s="1137"/>
      <c r="O41" s="1157"/>
      <c r="P41" s="1128"/>
      <c r="Q41" s="1137"/>
      <c r="R41" s="1176"/>
      <c r="S41" s="1170"/>
      <c r="T41" s="286"/>
      <c r="U41" s="1160"/>
      <c r="V41" s="1137"/>
      <c r="W41" s="1137">
        <v>9</v>
      </c>
      <c r="X41" s="1157"/>
      <c r="Y41" s="1128"/>
      <c r="Z41" s="1152"/>
      <c r="AA41" s="1165" t="s">
        <v>152</v>
      </c>
      <c r="AB41" s="1170"/>
      <c r="AC41" s="286"/>
      <c r="AD41" s="1160"/>
      <c r="AE41" s="1137"/>
      <c r="AF41" s="1137"/>
      <c r="AG41" s="1157"/>
      <c r="AH41" s="1205"/>
      <c r="AI41" s="1152"/>
      <c r="AJ41" s="1137"/>
      <c r="AK41" s="1170"/>
      <c r="AL41" s="1153"/>
      <c r="AM41" s="1160"/>
      <c r="AN41" s="1137"/>
      <c r="AO41" s="1137"/>
      <c r="AP41" s="1137"/>
      <c r="AQ41" s="1128"/>
      <c r="AR41" s="1244"/>
      <c r="AS41" s="1176"/>
      <c r="AT41" s="1170"/>
    </row>
    <row r="42" spans="1:46" ht="52.95" customHeight="1" x14ac:dyDescent="0.35">
      <c r="A42" s="1352"/>
      <c r="B42" s="692">
        <v>2</v>
      </c>
      <c r="C42" s="1156"/>
      <c r="D42" s="1156"/>
      <c r="E42" s="1156"/>
      <c r="F42" s="1156"/>
      <c r="G42" s="1156"/>
      <c r="H42" s="1156"/>
      <c r="I42" s="1156"/>
      <c r="J42" s="1156"/>
      <c r="K42" s="1156"/>
      <c r="L42" s="1156"/>
      <c r="M42" s="1156"/>
      <c r="N42" s="1156"/>
      <c r="O42" s="1156"/>
      <c r="P42" s="1156"/>
      <c r="Q42" s="1156"/>
      <c r="R42" s="1156"/>
      <c r="S42" s="1156"/>
      <c r="T42" s="1156"/>
      <c r="U42" s="1156"/>
      <c r="V42" s="1156"/>
      <c r="W42" s="1156">
        <v>10</v>
      </c>
      <c r="X42" s="1156"/>
      <c r="Y42" s="1156"/>
      <c r="Z42" s="1156"/>
      <c r="AA42" s="1156" t="s">
        <v>388</v>
      </c>
      <c r="AB42" s="1156"/>
      <c r="AC42" s="1156"/>
      <c r="AD42" s="1156"/>
      <c r="AE42" s="1156"/>
      <c r="AF42" s="1156"/>
      <c r="AG42" s="1156"/>
      <c r="AH42" s="1156"/>
      <c r="AI42" s="1156"/>
      <c r="AJ42" s="1156"/>
      <c r="AK42" s="1156"/>
      <c r="AL42" s="1156"/>
      <c r="AM42" s="1156"/>
      <c r="AN42" s="1156"/>
      <c r="AO42" s="1156"/>
      <c r="AP42" s="1156"/>
      <c r="AQ42" s="1156"/>
      <c r="AR42" s="1156"/>
      <c r="AS42" s="1156"/>
      <c r="AT42" s="1156"/>
    </row>
    <row r="43" spans="1:46" ht="65.5" customHeight="1" x14ac:dyDescent="0.45">
      <c r="A43" s="1351">
        <v>45859</v>
      </c>
      <c r="B43" s="692">
        <v>1</v>
      </c>
      <c r="C43" s="1156"/>
      <c r="D43" s="1156"/>
      <c r="E43" s="1156"/>
      <c r="F43" s="1157"/>
      <c r="G43" s="1140"/>
      <c r="H43" s="1140"/>
      <c r="I43" s="1176"/>
      <c r="J43" s="1170"/>
      <c r="K43" s="286"/>
      <c r="L43" s="1160"/>
      <c r="M43" s="1137"/>
      <c r="N43" s="1137"/>
      <c r="O43" s="1157"/>
      <c r="P43" s="1128"/>
      <c r="Q43" s="1137"/>
      <c r="R43" s="1137"/>
      <c r="S43" s="1170"/>
      <c r="T43" s="286"/>
      <c r="U43" s="1160"/>
      <c r="V43" s="1137"/>
      <c r="W43" s="1137"/>
      <c r="X43" s="1157"/>
      <c r="Y43" s="1128"/>
      <c r="Z43" s="1137"/>
      <c r="AA43" s="1165"/>
      <c r="AB43" s="1170"/>
      <c r="AC43" s="286"/>
      <c r="AD43" s="1160"/>
      <c r="AE43" s="1137"/>
      <c r="AF43" s="1137"/>
      <c r="AG43" s="1157"/>
      <c r="AH43" s="1152"/>
      <c r="AI43" s="1150"/>
      <c r="AJ43" s="1137"/>
      <c r="AK43" s="1170"/>
      <c r="AL43" s="1153"/>
      <c r="AM43" s="1160"/>
      <c r="AN43" s="1137"/>
      <c r="AO43" s="1137"/>
      <c r="AP43" s="1137"/>
      <c r="AQ43" s="1152"/>
      <c r="AR43" s="1244"/>
      <c r="AS43" s="1137"/>
      <c r="AT43" s="1170"/>
    </row>
    <row r="44" spans="1:46" ht="69" customHeight="1" x14ac:dyDescent="0.45">
      <c r="A44" s="1352"/>
      <c r="B44" s="692">
        <v>2</v>
      </c>
      <c r="C44" s="1156"/>
      <c r="D44" s="1156"/>
      <c r="E44" s="1156"/>
      <c r="F44" s="1157">
        <v>154</v>
      </c>
      <c r="G44" s="1140"/>
      <c r="H44" s="1149"/>
      <c r="I44" s="1176"/>
      <c r="J44" s="1170" t="s">
        <v>975</v>
      </c>
      <c r="K44" s="286"/>
      <c r="L44" s="1160"/>
      <c r="M44" s="1137"/>
      <c r="N44" s="1137"/>
      <c r="O44" s="1148">
        <v>148</v>
      </c>
      <c r="P44" s="1149"/>
      <c r="Q44" s="1137"/>
      <c r="R44" s="1152"/>
      <c r="S44" s="1170" t="s">
        <v>975</v>
      </c>
      <c r="T44" s="286"/>
      <c r="U44" s="1160"/>
      <c r="V44" s="1137"/>
      <c r="W44" s="1156">
        <v>12</v>
      </c>
      <c r="X44" s="1157">
        <v>160</v>
      </c>
      <c r="Y44" s="1140"/>
      <c r="Z44" s="1150"/>
      <c r="AA44" s="1165" t="s">
        <v>328</v>
      </c>
      <c r="AB44" s="1170" t="s">
        <v>975</v>
      </c>
      <c r="AC44" s="286"/>
      <c r="AD44" s="1160"/>
      <c r="AE44" s="1137"/>
      <c r="AF44" s="1137"/>
      <c r="AG44" s="1148">
        <v>172</v>
      </c>
      <c r="AH44" s="1128"/>
      <c r="AI44" s="1152"/>
      <c r="AJ44" s="1165"/>
      <c r="AK44" s="1170" t="s">
        <v>975</v>
      </c>
      <c r="AL44" s="1153"/>
      <c r="AM44" s="1160"/>
      <c r="AN44" s="1137"/>
      <c r="AO44" s="1137"/>
      <c r="AP44" s="1137">
        <v>151</v>
      </c>
      <c r="AQ44" s="1128"/>
      <c r="AR44" s="1152"/>
      <c r="AS44" s="1152"/>
      <c r="AT44" s="1170" t="s">
        <v>975</v>
      </c>
    </row>
    <row r="45" spans="1:46" ht="69" customHeight="1" x14ac:dyDescent="0.45">
      <c r="A45" s="1351">
        <v>45860</v>
      </c>
      <c r="B45" s="692">
        <v>1</v>
      </c>
      <c r="C45" s="1156"/>
      <c r="D45" s="1156"/>
      <c r="E45" s="1156"/>
      <c r="F45" s="1157"/>
      <c r="G45" s="1140"/>
      <c r="H45" s="1140"/>
      <c r="I45" s="1176"/>
      <c r="J45" s="1170"/>
      <c r="K45" s="286"/>
      <c r="L45" s="1160"/>
      <c r="M45" s="1137"/>
      <c r="N45" s="1137"/>
      <c r="O45" s="1148"/>
      <c r="P45" s="1128"/>
      <c r="Q45" s="1152"/>
      <c r="R45" s="1137"/>
      <c r="S45" s="1170"/>
      <c r="T45" s="286"/>
      <c r="U45" s="1160"/>
      <c r="V45" s="1152"/>
      <c r="W45" s="1137"/>
      <c r="X45" s="1157"/>
      <c r="Y45" s="1128"/>
      <c r="Z45" s="1152"/>
      <c r="AA45" s="1165"/>
      <c r="AB45" s="1170"/>
      <c r="AC45" s="286"/>
      <c r="AD45" s="1160"/>
      <c r="AE45" s="1137"/>
      <c r="AF45" s="1137"/>
      <c r="AG45" s="1148"/>
      <c r="AH45" s="1128"/>
      <c r="AI45" s="1152"/>
      <c r="AJ45" s="1152"/>
      <c r="AK45" s="1170"/>
      <c r="AL45" s="1153"/>
      <c r="AM45" s="1160"/>
      <c r="AN45" s="1137"/>
      <c r="AO45" s="1137"/>
      <c r="AP45" s="1137"/>
      <c r="AQ45" s="1128"/>
      <c r="AR45" s="1152"/>
      <c r="AS45" s="1137"/>
      <c r="AT45" s="1170"/>
    </row>
    <row r="46" spans="1:46" ht="48.65" customHeight="1" x14ac:dyDescent="0.45">
      <c r="A46" s="1352"/>
      <c r="B46" s="692">
        <v>2</v>
      </c>
      <c r="C46" s="1156"/>
      <c r="D46" s="1156"/>
      <c r="E46" s="1156"/>
      <c r="F46" s="1157"/>
      <c r="G46" s="1140"/>
      <c r="H46" s="1140"/>
      <c r="I46" s="1176"/>
      <c r="J46" s="1170"/>
      <c r="K46" s="286"/>
      <c r="L46" s="1160"/>
      <c r="M46" s="1137"/>
      <c r="N46" s="1137"/>
      <c r="O46" s="1001"/>
      <c r="P46" s="1128"/>
      <c r="Q46" s="1150"/>
      <c r="R46" s="1152"/>
      <c r="S46" s="1170"/>
      <c r="T46" s="286"/>
      <c r="U46" s="1160"/>
      <c r="V46" s="1137"/>
      <c r="W46" s="1137"/>
      <c r="X46" s="1148"/>
      <c r="Y46" s="1137"/>
      <c r="Z46" s="1137"/>
      <c r="AA46" s="1152"/>
      <c r="AB46" s="1170"/>
      <c r="AC46" s="286"/>
      <c r="AD46" s="1160"/>
      <c r="AE46" s="1137"/>
      <c r="AF46" s="1137"/>
      <c r="AG46" s="1148"/>
      <c r="AH46" s="1149"/>
      <c r="AI46" s="1152"/>
      <c r="AJ46" s="1165"/>
      <c r="AK46" s="1170"/>
      <c r="AL46" s="1153"/>
      <c r="AM46" s="1160"/>
      <c r="AN46" s="1137"/>
      <c r="AO46" s="1137"/>
      <c r="AP46" s="1137"/>
      <c r="AQ46" s="1128"/>
      <c r="AR46" s="1150"/>
      <c r="AS46" s="1152"/>
      <c r="AT46" s="1170"/>
    </row>
    <row r="47" spans="1:46" ht="58.95" customHeight="1" x14ac:dyDescent="0.45">
      <c r="A47" s="1351">
        <v>45861</v>
      </c>
      <c r="B47" s="692">
        <v>1</v>
      </c>
      <c r="C47" s="1156"/>
      <c r="D47" s="1156"/>
      <c r="E47" s="1156"/>
      <c r="F47" s="1157"/>
      <c r="G47" s="1140"/>
      <c r="H47" s="1150"/>
      <c r="I47" s="1176"/>
      <c r="J47" s="1159"/>
      <c r="K47" s="286"/>
      <c r="L47" s="1160"/>
      <c r="M47" s="1137"/>
      <c r="N47" s="1137"/>
      <c r="O47" s="1148"/>
      <c r="P47" s="1128"/>
      <c r="Q47" s="1137"/>
      <c r="R47" s="1137"/>
      <c r="S47" s="1170"/>
      <c r="T47" s="286"/>
      <c r="U47" s="1160"/>
      <c r="V47" s="1137"/>
      <c r="W47" s="1137"/>
      <c r="X47" s="1148"/>
      <c r="Y47" s="1140"/>
      <c r="Z47" s="1152"/>
      <c r="AA47" s="1152"/>
      <c r="AB47" s="1170"/>
      <c r="AC47" s="286"/>
      <c r="AD47" s="1160"/>
      <c r="AE47" s="1137"/>
      <c r="AF47" s="1137"/>
      <c r="AG47" s="1137"/>
      <c r="AH47" s="1149"/>
      <c r="AI47" s="1150"/>
      <c r="AJ47" s="1165"/>
      <c r="AK47" s="1249"/>
      <c r="AL47" s="1153"/>
      <c r="AM47" s="1160"/>
      <c r="AN47" s="1137"/>
      <c r="AO47" s="1137"/>
      <c r="AP47" s="1137"/>
      <c r="AQ47" s="1128"/>
      <c r="AR47" s="1150"/>
      <c r="AS47" s="1152"/>
      <c r="AT47" s="1249"/>
    </row>
    <row r="48" spans="1:46" ht="34.950000000000003" customHeight="1" x14ac:dyDescent="0.45">
      <c r="A48" s="1352"/>
      <c r="B48" s="692">
        <v>2</v>
      </c>
      <c r="C48" s="1156"/>
      <c r="D48" s="1156"/>
      <c r="E48" s="1156">
        <v>11</v>
      </c>
      <c r="F48" s="1157"/>
      <c r="G48" s="1150"/>
      <c r="H48" s="1150"/>
      <c r="I48" s="1176" t="s">
        <v>152</v>
      </c>
      <c r="J48" s="1170"/>
      <c r="K48" s="286"/>
      <c r="L48" s="1160"/>
      <c r="M48" s="1137"/>
      <c r="N48" s="1137"/>
      <c r="O48" s="1157"/>
      <c r="P48" s="1150"/>
      <c r="Q48" s="1150"/>
      <c r="R48" s="1176"/>
      <c r="S48" s="1170"/>
      <c r="T48" s="286"/>
      <c r="U48" s="1160"/>
      <c r="V48" s="1137"/>
      <c r="W48" s="1137"/>
      <c r="X48" s="1157"/>
      <c r="Y48" s="1150"/>
      <c r="Z48" s="1150"/>
      <c r="AA48" s="1176"/>
      <c r="AB48" s="1170"/>
      <c r="AC48" s="286"/>
      <c r="AD48" s="1160"/>
      <c r="AE48" s="1137"/>
      <c r="AF48" s="1137"/>
      <c r="AG48" s="1137"/>
      <c r="AH48" s="1149"/>
      <c r="AI48" s="1150"/>
      <c r="AJ48" s="1165"/>
      <c r="AK48" s="1249"/>
      <c r="AL48" s="1153"/>
      <c r="AM48" s="1160"/>
      <c r="AN48" s="1192"/>
      <c r="AO48" s="1128"/>
      <c r="AP48" s="1192"/>
      <c r="AQ48" s="1193"/>
      <c r="AR48" s="1150"/>
      <c r="AS48" s="1152"/>
      <c r="AT48" s="1249"/>
    </row>
    <row r="49" spans="1:46" ht="43.2" customHeight="1" x14ac:dyDescent="0.45">
      <c r="A49" s="1351">
        <v>45862</v>
      </c>
      <c r="B49" s="692">
        <v>1</v>
      </c>
      <c r="C49" s="1156"/>
      <c r="D49" s="1156"/>
      <c r="E49" s="1156"/>
      <c r="F49" s="1157"/>
      <c r="G49" s="1150"/>
      <c r="H49" s="1140"/>
      <c r="I49" s="1176"/>
      <c r="J49" s="1170"/>
      <c r="K49" s="286"/>
      <c r="L49" s="1160"/>
      <c r="M49" s="1137"/>
      <c r="N49" s="1137"/>
      <c r="O49" s="1157"/>
      <c r="P49" s="1150"/>
      <c r="Q49" s="1140"/>
      <c r="R49" s="1176"/>
      <c r="S49" s="1170"/>
      <c r="T49" s="286"/>
      <c r="U49" s="1160"/>
      <c r="V49" s="1137"/>
      <c r="W49" s="1137"/>
      <c r="X49" s="1157"/>
      <c r="Y49" s="1150"/>
      <c r="Z49" s="1152"/>
      <c r="AA49" s="1152"/>
      <c r="AB49" s="1170"/>
      <c r="AC49" s="286"/>
      <c r="AD49" s="1160"/>
      <c r="AE49" s="1137"/>
      <c r="AF49" s="1137"/>
      <c r="AG49" s="1137"/>
      <c r="AH49" s="1149"/>
      <c r="AI49" s="1140"/>
      <c r="AJ49" s="1165"/>
      <c r="AK49" s="1249"/>
      <c r="AL49" s="1153"/>
      <c r="AM49" s="1160"/>
      <c r="AN49" s="1192"/>
      <c r="AO49" s="1128"/>
      <c r="AP49" s="1192"/>
      <c r="AQ49" s="1204"/>
      <c r="AR49" s="1150"/>
      <c r="AS49" s="1176"/>
      <c r="AT49" s="1250"/>
    </row>
    <row r="50" spans="1:46" ht="51.65" customHeight="1" x14ac:dyDescent="0.45">
      <c r="A50" s="1352"/>
      <c r="B50" s="692">
        <v>2</v>
      </c>
      <c r="C50" s="1156"/>
      <c r="D50" s="1156"/>
      <c r="E50" s="1156"/>
      <c r="F50" s="1157"/>
      <c r="G50" s="1140"/>
      <c r="H50" s="1140"/>
      <c r="I50" s="1176"/>
      <c r="J50" s="1170"/>
      <c r="K50" s="286"/>
      <c r="L50" s="1160"/>
      <c r="M50" s="1137"/>
      <c r="N50" s="1137"/>
      <c r="O50" s="1157"/>
      <c r="P50" s="1140"/>
      <c r="Q50" s="1140"/>
      <c r="R50" s="1176"/>
      <c r="S50" s="1170"/>
      <c r="T50" s="286"/>
      <c r="U50" s="1160"/>
      <c r="V50" s="1137"/>
      <c r="W50" s="1137">
        <v>13</v>
      </c>
      <c r="X50" s="1157"/>
      <c r="Y50" s="1140"/>
      <c r="Z50" s="1140"/>
      <c r="AA50" s="1176" t="s">
        <v>152</v>
      </c>
      <c r="AB50" s="1170"/>
      <c r="AC50" s="286"/>
      <c r="AD50" s="1160"/>
      <c r="AE50" s="1137"/>
      <c r="AF50" s="1137"/>
      <c r="AG50" s="1137"/>
      <c r="AH50" s="1149"/>
      <c r="AI50" s="1140"/>
      <c r="AJ50" s="1165"/>
      <c r="AK50" s="1249"/>
      <c r="AL50" s="1153"/>
      <c r="AM50" s="1160"/>
      <c r="AN50" s="1192"/>
      <c r="AO50" s="1137"/>
      <c r="AP50" s="1192"/>
      <c r="AQ50" s="1204"/>
      <c r="AR50" s="1150"/>
      <c r="AS50" s="1176"/>
      <c r="AT50" s="1251"/>
    </row>
    <row r="51" spans="1:46" ht="34.950000000000003" customHeight="1" x14ac:dyDescent="0.45">
      <c r="A51" s="1351">
        <v>45863</v>
      </c>
      <c r="B51" s="692">
        <v>1</v>
      </c>
      <c r="C51" s="1156"/>
      <c r="D51" s="1156"/>
      <c r="E51" s="1156"/>
      <c r="F51" s="1157"/>
      <c r="G51" s="1140"/>
      <c r="H51" s="1140"/>
      <c r="I51" s="1176"/>
      <c r="J51" s="1170"/>
      <c r="K51" s="286"/>
      <c r="L51" s="1160"/>
      <c r="M51" s="1137"/>
      <c r="N51" s="1137"/>
      <c r="O51" s="1157"/>
      <c r="P51" s="1140"/>
      <c r="Q51" s="1140"/>
      <c r="R51" s="1176"/>
      <c r="S51" s="1170"/>
      <c r="T51" s="286"/>
      <c r="U51" s="1160"/>
      <c r="V51" s="1137"/>
      <c r="W51" s="1137"/>
      <c r="X51" s="1157"/>
      <c r="Y51" s="1140"/>
      <c r="Z51" s="1140"/>
      <c r="AA51" s="1176"/>
      <c r="AB51" s="1170"/>
      <c r="AC51" s="286"/>
      <c r="AD51" s="1160"/>
      <c r="AE51" s="1137"/>
      <c r="AF51" s="1137"/>
      <c r="AG51" s="1157"/>
      <c r="AH51" s="1140"/>
      <c r="AI51" s="1140"/>
      <c r="AJ51" s="1176"/>
      <c r="AK51" s="1170"/>
      <c r="AL51" s="1153"/>
      <c r="AM51" s="1160"/>
      <c r="AN51" s="1192"/>
      <c r="AO51" s="1168"/>
      <c r="AP51" s="1192"/>
      <c r="AQ51" s="1204"/>
      <c r="AR51" s="1150"/>
      <c r="AS51" s="1176"/>
      <c r="AT51" s="1251"/>
    </row>
    <row r="52" spans="1:46" ht="49.2" customHeight="1" x14ac:dyDescent="0.45">
      <c r="A52" s="1352"/>
      <c r="B52" s="692">
        <v>2</v>
      </c>
      <c r="C52" s="1156"/>
      <c r="D52" s="1156"/>
      <c r="E52" s="1156"/>
      <c r="F52" s="1157">
        <v>33</v>
      </c>
      <c r="G52" s="1150"/>
      <c r="H52" s="1150"/>
      <c r="I52" s="1176"/>
      <c r="J52" s="1252" t="s">
        <v>732</v>
      </c>
      <c r="K52" s="286"/>
      <c r="L52" s="1160"/>
      <c r="M52" s="1137"/>
      <c r="N52" s="1137"/>
      <c r="O52" s="1157">
        <v>33</v>
      </c>
      <c r="P52" s="1150"/>
      <c r="Q52" s="1150"/>
      <c r="R52" s="1176"/>
      <c r="S52" s="1252" t="s">
        <v>732</v>
      </c>
      <c r="T52" s="286"/>
      <c r="U52" s="1160"/>
      <c r="V52" s="1137"/>
      <c r="W52" s="1137"/>
      <c r="X52" s="1157">
        <v>33</v>
      </c>
      <c r="Y52" s="1150"/>
      <c r="Z52" s="1150"/>
      <c r="AA52" s="1176"/>
      <c r="AB52" s="1252" t="s">
        <v>732</v>
      </c>
      <c r="AC52" s="286"/>
      <c r="AD52" s="1160"/>
      <c r="AE52" s="1137"/>
      <c r="AF52" s="1137"/>
      <c r="AG52" s="1157">
        <v>33</v>
      </c>
      <c r="AH52" s="1150"/>
      <c r="AI52" s="1150"/>
      <c r="AJ52" s="1176"/>
      <c r="AK52" s="1252" t="s">
        <v>732</v>
      </c>
      <c r="AL52" s="1153"/>
      <c r="AM52" s="1160"/>
      <c r="AN52" s="1203"/>
      <c r="AO52" s="1173"/>
      <c r="AP52" s="1203">
        <v>33</v>
      </c>
      <c r="AQ52" s="1128"/>
      <c r="AR52" s="1150"/>
      <c r="AS52" s="1176"/>
      <c r="AT52" s="1252" t="s">
        <v>732</v>
      </c>
    </row>
    <row r="53" spans="1:46" ht="48" customHeight="1" x14ac:dyDescent="0.45">
      <c r="A53" s="1351">
        <v>45864</v>
      </c>
      <c r="B53" s="692">
        <v>1</v>
      </c>
      <c r="C53" s="1156"/>
      <c r="D53" s="1156"/>
      <c r="E53" s="1156">
        <v>10</v>
      </c>
      <c r="F53" s="1157">
        <v>225</v>
      </c>
      <c r="G53" s="1140"/>
      <c r="H53" s="1140"/>
      <c r="I53" s="1141" t="s">
        <v>152</v>
      </c>
      <c r="J53" s="1252" t="s">
        <v>732</v>
      </c>
      <c r="K53" s="286"/>
      <c r="L53" s="1160"/>
      <c r="M53" s="1137"/>
      <c r="N53" s="1137"/>
      <c r="O53" s="1148">
        <v>205</v>
      </c>
      <c r="P53" s="1150"/>
      <c r="Q53" s="1150"/>
      <c r="R53" s="1137"/>
      <c r="S53" s="1252" t="s">
        <v>732</v>
      </c>
      <c r="T53" s="286"/>
      <c r="U53" s="1160"/>
      <c r="V53" s="1137"/>
      <c r="W53" s="1137"/>
      <c r="X53" s="1148">
        <v>234</v>
      </c>
      <c r="Y53" s="1149"/>
      <c r="Z53" s="1137"/>
      <c r="AA53" s="1165"/>
      <c r="AB53" s="1252" t="s">
        <v>732</v>
      </c>
      <c r="AC53" s="286"/>
      <c r="AD53" s="1160"/>
      <c r="AE53" s="1152"/>
      <c r="AF53" s="1137"/>
      <c r="AG53" s="1148">
        <v>230</v>
      </c>
      <c r="AH53" s="1128"/>
      <c r="AI53" s="1137"/>
      <c r="AJ53" s="1152"/>
      <c r="AK53" s="1252" t="s">
        <v>732</v>
      </c>
      <c r="AL53" s="1153"/>
      <c r="AM53" s="1160"/>
      <c r="AN53" s="1184"/>
      <c r="AO53" s="1188"/>
      <c r="AP53" s="1184">
        <v>247</v>
      </c>
      <c r="AQ53" s="1149"/>
      <c r="AR53" s="1150"/>
      <c r="AS53" s="1203"/>
      <c r="AT53" s="1252" t="s">
        <v>732</v>
      </c>
    </row>
    <row r="54" spans="1:46" ht="45.65" customHeight="1" x14ac:dyDescent="0.45">
      <c r="A54" s="1352"/>
      <c r="B54" s="725">
        <v>2</v>
      </c>
      <c r="C54" s="1156"/>
      <c r="D54" s="1156"/>
      <c r="E54" s="1156"/>
      <c r="F54" s="1157"/>
      <c r="G54" s="1140"/>
      <c r="H54" s="1150"/>
      <c r="I54" s="1141"/>
      <c r="J54" s="1170"/>
      <c r="K54" s="286"/>
      <c r="L54" s="1160"/>
      <c r="M54" s="1137"/>
      <c r="N54" s="1137"/>
      <c r="O54" s="1157"/>
      <c r="P54" s="1150"/>
      <c r="Q54" s="1150"/>
      <c r="R54" s="1140"/>
      <c r="S54" s="1170"/>
      <c r="T54" s="286"/>
      <c r="U54" s="1160"/>
      <c r="V54" s="1137"/>
      <c r="W54" s="1137"/>
      <c r="X54" s="1157"/>
      <c r="Y54" s="1150"/>
      <c r="Z54" s="1150"/>
      <c r="AA54" s="1165"/>
      <c r="AB54" s="1170"/>
      <c r="AC54" s="286"/>
      <c r="AD54" s="1160"/>
      <c r="AE54" s="1137"/>
      <c r="AF54" s="1137"/>
      <c r="AG54" s="1148"/>
      <c r="AH54" s="1128"/>
      <c r="AI54" s="1150"/>
      <c r="AJ54" s="1137"/>
      <c r="AK54" s="1170"/>
      <c r="AL54" s="1153"/>
      <c r="AM54" s="1160"/>
      <c r="AN54" s="1184"/>
      <c r="AO54" s="1161"/>
      <c r="AP54" s="1184">
        <v>187</v>
      </c>
      <c r="AQ54" s="1149"/>
      <c r="AR54" s="1150"/>
      <c r="AS54" s="1176"/>
      <c r="AT54" s="1253" t="s">
        <v>1008</v>
      </c>
    </row>
    <row r="55" spans="1:46" ht="39.65" customHeight="1" x14ac:dyDescent="0.45">
      <c r="A55" s="1351">
        <v>45865</v>
      </c>
      <c r="B55" s="692">
        <v>1</v>
      </c>
      <c r="C55" s="1155"/>
      <c r="D55" s="1156"/>
      <c r="E55" s="1156"/>
      <c r="F55" s="1157"/>
      <c r="G55" s="1140"/>
      <c r="H55" s="1140"/>
      <c r="I55" s="1141"/>
      <c r="J55" s="1148"/>
      <c r="K55" s="286"/>
      <c r="L55" s="1160"/>
      <c r="M55" s="1137"/>
      <c r="N55" s="1137"/>
      <c r="O55" s="1148"/>
      <c r="P55" s="1128"/>
      <c r="Q55" s="1150"/>
      <c r="R55" s="1137"/>
      <c r="S55" s="1148"/>
      <c r="T55" s="286"/>
      <c r="U55" s="1160"/>
      <c r="V55" s="1137"/>
      <c r="W55" s="1137"/>
      <c r="X55" s="1148"/>
      <c r="Y55" s="1128"/>
      <c r="Z55" s="1140"/>
      <c r="AA55" s="1165"/>
      <c r="AB55" s="1148"/>
      <c r="AC55" s="286"/>
      <c r="AD55" s="1160"/>
      <c r="AE55" s="1137"/>
      <c r="AF55" s="1137"/>
      <c r="AG55" s="1148"/>
      <c r="AH55" s="1128"/>
      <c r="AI55" s="1150"/>
      <c r="AJ55" s="1152"/>
      <c r="AK55" s="1148"/>
      <c r="AL55" s="1153"/>
      <c r="AM55" s="1160"/>
      <c r="AN55" s="1184"/>
      <c r="AO55" s="1137"/>
      <c r="AP55" s="1184">
        <v>720</v>
      </c>
      <c r="AQ55" s="1128"/>
      <c r="AR55" s="1150"/>
      <c r="AS55" s="1176"/>
      <c r="AT55" s="1253" t="s">
        <v>1008</v>
      </c>
    </row>
    <row r="56" spans="1:46" ht="52.5" customHeight="1" x14ac:dyDescent="0.45">
      <c r="A56" s="1352"/>
      <c r="B56" s="725">
        <v>2</v>
      </c>
      <c r="C56" s="1155"/>
      <c r="D56" s="1156"/>
      <c r="E56" s="1156"/>
      <c r="F56" s="1157"/>
      <c r="G56" s="1150"/>
      <c r="H56" s="1150"/>
      <c r="I56" s="1141"/>
      <c r="J56" s="1170"/>
      <c r="K56" s="286"/>
      <c r="L56" s="1160"/>
      <c r="M56" s="1137"/>
      <c r="N56" s="1137"/>
      <c r="O56" s="1157"/>
      <c r="P56" s="1150"/>
      <c r="Q56" s="1140"/>
      <c r="R56" s="1150"/>
      <c r="S56" s="1170"/>
      <c r="T56" s="286"/>
      <c r="U56" s="1160"/>
      <c r="V56" s="1137"/>
      <c r="W56" s="1137"/>
      <c r="X56" s="1157"/>
      <c r="Y56" s="1149"/>
      <c r="Z56" s="1140"/>
      <c r="AA56" s="1165"/>
      <c r="AB56" s="1170"/>
      <c r="AC56" s="286"/>
      <c r="AD56" s="1160"/>
      <c r="AE56" s="1137"/>
      <c r="AF56" s="1137"/>
      <c r="AG56" s="1157"/>
      <c r="AH56" s="1150"/>
      <c r="AI56" s="1140"/>
      <c r="AJ56" s="1150"/>
      <c r="AK56" s="1170"/>
      <c r="AL56" s="1153"/>
      <c r="AM56" s="1160"/>
      <c r="AN56" s="1184"/>
      <c r="AO56" s="1137"/>
      <c r="AP56" s="1184">
        <v>720</v>
      </c>
      <c r="AQ56" s="1150"/>
      <c r="AR56" s="1150"/>
      <c r="AS56" s="1137"/>
      <c r="AT56" s="1253" t="s">
        <v>1008</v>
      </c>
    </row>
    <row r="57" spans="1:46" ht="52.2" customHeight="1" x14ac:dyDescent="0.45">
      <c r="A57" s="1351">
        <v>45866</v>
      </c>
      <c r="B57" s="692">
        <v>1</v>
      </c>
      <c r="C57" s="1155"/>
      <c r="D57" s="1156"/>
      <c r="E57" s="1156"/>
      <c r="F57" s="1157"/>
      <c r="G57" s="1150"/>
      <c r="H57" s="1150"/>
      <c r="I57" s="1176"/>
      <c r="J57" s="1170"/>
      <c r="K57" s="286"/>
      <c r="L57" s="1160"/>
      <c r="M57" s="1137"/>
      <c r="N57" s="1137"/>
      <c r="O57" s="1157"/>
      <c r="P57" s="1150"/>
      <c r="Q57" s="1140"/>
      <c r="R57" s="1150"/>
      <c r="S57" s="1170"/>
      <c r="T57" s="286"/>
      <c r="U57" s="1160"/>
      <c r="V57" s="1137"/>
      <c r="W57" s="1137"/>
      <c r="X57" s="1157"/>
      <c r="Y57" s="1150"/>
      <c r="Z57" s="1140"/>
      <c r="AA57" s="1152"/>
      <c r="AB57" s="1170"/>
      <c r="AC57" s="286"/>
      <c r="AD57" s="1160"/>
      <c r="AE57" s="1137"/>
      <c r="AF57" s="1137"/>
      <c r="AG57" s="1157"/>
      <c r="AH57" s="1150"/>
      <c r="AI57" s="1140"/>
      <c r="AJ57" s="1150"/>
      <c r="AK57" s="1170"/>
      <c r="AL57" s="1153"/>
      <c r="AM57" s="1160"/>
      <c r="AN57" s="1184"/>
      <c r="AO57" s="1137"/>
      <c r="AP57" s="1184">
        <v>720</v>
      </c>
      <c r="AQ57" s="1150"/>
      <c r="AR57" s="1150"/>
      <c r="AS57" s="1137"/>
      <c r="AT57" s="1253" t="s">
        <v>1008</v>
      </c>
    </row>
    <row r="58" spans="1:46" ht="45" customHeight="1" x14ac:dyDescent="0.45">
      <c r="A58" s="1352"/>
      <c r="B58" s="725">
        <v>2</v>
      </c>
      <c r="C58" s="1155"/>
      <c r="D58" s="1156"/>
      <c r="E58" s="1156"/>
      <c r="F58" s="1157"/>
      <c r="G58" s="1150"/>
      <c r="H58" s="1150"/>
      <c r="I58" s="1141"/>
      <c r="J58" s="1170"/>
      <c r="K58" s="286"/>
      <c r="L58" s="1160"/>
      <c r="M58" s="1137"/>
      <c r="N58" s="1137"/>
      <c r="O58" s="1157"/>
      <c r="P58" s="1150"/>
      <c r="Q58" s="1140"/>
      <c r="R58" s="1150"/>
      <c r="S58" s="1170"/>
      <c r="T58" s="286"/>
      <c r="U58" s="1160"/>
      <c r="V58" s="1137"/>
      <c r="W58" s="1137"/>
      <c r="X58" s="1157"/>
      <c r="Y58" s="1150"/>
      <c r="Z58" s="1140"/>
      <c r="AA58" s="1152"/>
      <c r="AB58" s="1170"/>
      <c r="AC58" s="286"/>
      <c r="AD58" s="1160"/>
      <c r="AE58" s="1137"/>
      <c r="AF58" s="1137"/>
      <c r="AG58" s="1137"/>
      <c r="AH58" s="1150"/>
      <c r="AI58" s="1140"/>
      <c r="AJ58" s="1137"/>
      <c r="AK58" s="1170"/>
      <c r="AL58" s="1153"/>
      <c r="AM58" s="1160"/>
      <c r="AN58" s="1137"/>
      <c r="AO58" s="1137"/>
      <c r="AP58" s="1184">
        <v>720</v>
      </c>
      <c r="AQ58" s="1184"/>
      <c r="AR58" s="1184"/>
      <c r="AS58" s="1184"/>
      <c r="AT58" s="1253" t="s">
        <v>1008</v>
      </c>
    </row>
    <row r="59" spans="1:46" ht="48" customHeight="1" x14ac:dyDescent="0.45">
      <c r="A59" s="1351">
        <v>45867</v>
      </c>
      <c r="B59" s="692">
        <v>1</v>
      </c>
      <c r="C59" s="1155"/>
      <c r="D59" s="1156"/>
      <c r="E59" s="1156"/>
      <c r="F59" s="1157"/>
      <c r="G59" s="1150"/>
      <c r="H59" s="1140"/>
      <c r="I59" s="1141"/>
      <c r="J59" s="1170"/>
      <c r="K59" s="286"/>
      <c r="L59" s="1160"/>
      <c r="M59" s="1137"/>
      <c r="N59" s="1137"/>
      <c r="O59" s="1148"/>
      <c r="P59" s="1128"/>
      <c r="Q59" s="1152"/>
      <c r="R59" s="1137"/>
      <c r="S59" s="1170"/>
      <c r="T59" s="286"/>
      <c r="U59" s="1160"/>
      <c r="V59" s="1137"/>
      <c r="W59" s="1137"/>
      <c r="X59" s="1148"/>
      <c r="Y59" s="1150"/>
      <c r="Z59" s="1140"/>
      <c r="AA59" s="1141"/>
      <c r="AB59" s="1170"/>
      <c r="AC59" s="286"/>
      <c r="AD59" s="1160"/>
      <c r="AE59" s="1137"/>
      <c r="AF59" s="1137"/>
      <c r="AG59" s="1148"/>
      <c r="AH59" s="1160"/>
      <c r="AI59" s="1137"/>
      <c r="AJ59" s="1150"/>
      <c r="AK59" s="1170"/>
      <c r="AL59" s="1153"/>
      <c r="AM59" s="1160"/>
      <c r="AN59" s="1137"/>
      <c r="AO59" s="1137"/>
      <c r="AP59" s="1184">
        <v>720</v>
      </c>
      <c r="AQ59" s="1184"/>
      <c r="AR59" s="1184"/>
      <c r="AS59" s="1184"/>
      <c r="AT59" s="1253" t="s">
        <v>1008</v>
      </c>
    </row>
    <row r="60" spans="1:46" ht="44.25" customHeight="1" x14ac:dyDescent="0.45">
      <c r="A60" s="1352"/>
      <c r="B60" s="725">
        <v>2</v>
      </c>
      <c r="C60" s="1155"/>
      <c r="D60" s="1156"/>
      <c r="E60" s="1156"/>
      <c r="F60" s="1157"/>
      <c r="G60" s="1140"/>
      <c r="H60" s="1150"/>
      <c r="I60" s="1141"/>
      <c r="J60" s="1170"/>
      <c r="K60" s="286"/>
      <c r="L60" s="1160"/>
      <c r="M60" s="1137"/>
      <c r="N60" s="1137"/>
      <c r="O60" s="1148"/>
      <c r="P60" s="1128"/>
      <c r="Q60" s="1150"/>
      <c r="R60" s="1137"/>
      <c r="S60" s="1170"/>
      <c r="T60" s="286"/>
      <c r="U60" s="1160"/>
      <c r="V60" s="1137"/>
      <c r="W60" s="1137"/>
      <c r="X60" s="1148"/>
      <c r="Y60" s="1149"/>
      <c r="Z60" s="1150"/>
      <c r="AA60" s="1141"/>
      <c r="AB60" s="1170"/>
      <c r="AC60" s="286"/>
      <c r="AD60" s="1160"/>
      <c r="AE60" s="1160"/>
      <c r="AF60" s="1160"/>
      <c r="AG60" s="1160"/>
      <c r="AH60" s="1160"/>
      <c r="AI60" s="1150"/>
      <c r="AJ60" s="1152"/>
      <c r="AK60" s="1170"/>
      <c r="AL60" s="1153"/>
      <c r="AM60" s="1160"/>
      <c r="AN60" s="1137"/>
      <c r="AO60" s="1137"/>
      <c r="AP60" s="1184">
        <v>720</v>
      </c>
      <c r="AQ60" s="1128"/>
      <c r="AR60" s="1150"/>
      <c r="AS60" s="1152"/>
      <c r="AT60" s="1253" t="s">
        <v>1008</v>
      </c>
    </row>
    <row r="61" spans="1:46" ht="44.25" customHeight="1" x14ac:dyDescent="0.45">
      <c r="A61" s="1351">
        <v>45868</v>
      </c>
      <c r="B61" s="692">
        <v>1</v>
      </c>
      <c r="C61" s="1254"/>
      <c r="D61" s="1177"/>
      <c r="E61" s="1156"/>
      <c r="F61" s="1199"/>
      <c r="G61" s="1140"/>
      <c r="H61" s="1196"/>
      <c r="I61" s="1141"/>
      <c r="J61" s="1170"/>
      <c r="K61" s="286"/>
      <c r="L61" s="1160"/>
      <c r="M61" s="1128"/>
      <c r="N61" s="1137"/>
      <c r="O61" s="1148"/>
      <c r="P61" s="1255"/>
      <c r="Q61" s="1150"/>
      <c r="R61" s="1168"/>
      <c r="S61" s="1194"/>
      <c r="T61" s="286"/>
      <c r="U61" s="1160"/>
      <c r="V61" s="1137"/>
      <c r="W61" s="1137"/>
      <c r="X61" s="1148"/>
      <c r="Y61" s="1149"/>
      <c r="Z61" s="1150"/>
      <c r="AA61" s="1141"/>
      <c r="AB61" s="1194"/>
      <c r="AC61" s="286"/>
      <c r="AD61" s="1160"/>
      <c r="AE61" s="1128"/>
      <c r="AF61" s="1128"/>
      <c r="AG61" s="1127"/>
      <c r="AH61" s="1255"/>
      <c r="AI61" s="1196"/>
      <c r="AJ61" s="1256"/>
      <c r="AK61" s="1194"/>
      <c r="AL61" s="1153"/>
      <c r="AM61" s="1160"/>
      <c r="AN61" s="1137"/>
      <c r="AO61" s="1137"/>
      <c r="AP61" s="1184">
        <v>720</v>
      </c>
      <c r="AQ61" s="1128"/>
      <c r="AR61" s="1150"/>
      <c r="AS61" s="1152"/>
      <c r="AT61" s="1253" t="s">
        <v>1008</v>
      </c>
    </row>
    <row r="62" spans="1:46" ht="44.25" customHeight="1" x14ac:dyDescent="0.45">
      <c r="A62" s="1352"/>
      <c r="B62" s="725">
        <v>2</v>
      </c>
      <c r="C62" s="1254"/>
      <c r="D62" s="1177"/>
      <c r="E62" s="1156">
        <v>10</v>
      </c>
      <c r="F62" s="1199"/>
      <c r="G62" s="1140"/>
      <c r="H62" s="1196"/>
      <c r="I62" s="1141" t="s">
        <v>1081</v>
      </c>
      <c r="J62" s="1170"/>
      <c r="K62" s="286"/>
      <c r="L62" s="1160"/>
      <c r="M62" s="1128"/>
      <c r="N62" s="1137"/>
      <c r="O62" s="1148"/>
      <c r="P62" s="1255"/>
      <c r="Q62" s="1150"/>
      <c r="R62" s="1168"/>
      <c r="S62" s="1194"/>
      <c r="T62" s="286"/>
      <c r="U62" s="1160"/>
      <c r="V62" s="1137"/>
      <c r="W62" s="1137"/>
      <c r="X62" s="1148"/>
      <c r="Y62" s="1149"/>
      <c r="Z62" s="1150"/>
      <c r="AA62" s="1141"/>
      <c r="AB62" s="1194"/>
      <c r="AC62" s="286"/>
      <c r="AD62" s="1160"/>
      <c r="AE62" s="1128"/>
      <c r="AF62" s="1128"/>
      <c r="AG62" s="1127"/>
      <c r="AH62" s="1255"/>
      <c r="AI62" s="1196"/>
      <c r="AJ62" s="1256"/>
      <c r="AK62" s="1194"/>
      <c r="AL62" s="1153"/>
      <c r="AM62" s="1160"/>
      <c r="AN62" s="1137"/>
      <c r="AO62" s="1137"/>
      <c r="AP62" s="1137">
        <v>79</v>
      </c>
      <c r="AQ62" s="1128"/>
      <c r="AR62" s="1150"/>
      <c r="AS62" s="1152"/>
      <c r="AT62" s="1253" t="s">
        <v>1008</v>
      </c>
    </row>
    <row r="63" spans="1:46" ht="56.25" customHeight="1" x14ac:dyDescent="0.45">
      <c r="A63" s="1351">
        <v>45869</v>
      </c>
      <c r="B63" s="692">
        <v>1</v>
      </c>
      <c r="C63" s="1254"/>
      <c r="D63" s="1177"/>
      <c r="E63" s="1156"/>
      <c r="F63" s="1199"/>
      <c r="G63" s="1140"/>
      <c r="H63" s="1196"/>
      <c r="I63" s="1141"/>
      <c r="J63" s="1159"/>
      <c r="K63" s="286"/>
      <c r="L63" s="1160"/>
      <c r="M63" s="1160"/>
      <c r="N63" s="1137"/>
      <c r="O63" s="1148"/>
      <c r="P63" s="1255"/>
      <c r="Q63" s="1150"/>
      <c r="R63" s="1168"/>
      <c r="S63" s="1249"/>
      <c r="T63" s="286"/>
      <c r="U63" s="1160"/>
      <c r="V63" s="1137"/>
      <c r="W63" s="1137"/>
      <c r="X63" s="1148"/>
      <c r="Y63" s="1149"/>
      <c r="Z63" s="1152"/>
      <c r="AA63" s="1141"/>
      <c r="AB63" s="1249"/>
      <c r="AC63" s="286"/>
      <c r="AD63" s="1160"/>
      <c r="AE63" s="1137"/>
      <c r="AF63" s="1137"/>
      <c r="AG63" s="1148"/>
      <c r="AH63" s="1255"/>
      <c r="AI63" s="1256"/>
      <c r="AJ63" s="1256"/>
      <c r="AK63" s="1249"/>
      <c r="AL63" s="1153"/>
      <c r="AM63" s="1160"/>
      <c r="AN63" s="1137"/>
      <c r="AO63" s="1137"/>
      <c r="AP63" s="1137"/>
      <c r="AQ63" s="1149"/>
      <c r="AR63" s="1137"/>
      <c r="AS63" s="1152"/>
      <c r="AT63" s="1249"/>
    </row>
    <row r="64" spans="1:46" ht="53.25" customHeight="1" x14ac:dyDescent="0.45">
      <c r="A64" s="1352"/>
      <c r="B64" s="725">
        <v>2</v>
      </c>
      <c r="C64" s="1254"/>
      <c r="D64" s="1177"/>
      <c r="E64" s="1177"/>
      <c r="F64" s="1199"/>
      <c r="G64" s="1195"/>
      <c r="H64" s="1196"/>
      <c r="I64" s="1141"/>
      <c r="J64" s="1170"/>
      <c r="K64" s="286"/>
      <c r="L64" s="1160"/>
      <c r="M64" s="1137"/>
      <c r="N64" s="1137"/>
      <c r="O64" s="1148"/>
      <c r="P64" s="1255"/>
      <c r="Q64" s="1256"/>
      <c r="R64" s="1168"/>
      <c r="S64" s="1170"/>
      <c r="T64" s="286"/>
      <c r="U64" s="1160"/>
      <c r="V64" s="1137"/>
      <c r="W64" s="1137"/>
      <c r="X64" s="1148"/>
      <c r="Y64" s="1149"/>
      <c r="Z64" s="1256"/>
      <c r="AA64" s="1141"/>
      <c r="AB64" s="1170"/>
      <c r="AC64" s="286"/>
      <c r="AD64" s="1160"/>
      <c r="AE64" s="1137"/>
      <c r="AF64" s="1137"/>
      <c r="AG64" s="1203"/>
      <c r="AH64" s="1542"/>
      <c r="AI64" s="1543"/>
      <c r="AJ64" s="1544"/>
      <c r="AK64" s="1170"/>
      <c r="AL64" s="1153"/>
      <c r="AM64" s="1160"/>
      <c r="AN64" s="1137"/>
      <c r="AO64" s="1137"/>
      <c r="AP64" s="1137"/>
      <c r="AQ64" s="1128"/>
      <c r="AR64" s="1137"/>
      <c r="AS64" s="1152"/>
      <c r="AT64" s="1170"/>
    </row>
    <row r="65" spans="1:46" ht="18" x14ac:dyDescent="0.45">
      <c r="A65" s="255" t="s">
        <v>225</v>
      </c>
      <c r="B65" s="354"/>
      <c r="C65" s="757">
        <f>SUM(C3:C64)</f>
        <v>0</v>
      </c>
      <c r="D65" s="354">
        <f>SUM(D3:D64)</f>
        <v>299</v>
      </c>
      <c r="E65" s="757">
        <f>SUM(E3:E64)</f>
        <v>100</v>
      </c>
      <c r="F65" s="354">
        <f>SUM(F3:F64)</f>
        <v>4919</v>
      </c>
      <c r="G65" s="255"/>
      <c r="H65" s="255"/>
      <c r="I65" s="255"/>
      <c r="J65" s="255"/>
      <c r="K65" s="255"/>
      <c r="L65" s="354">
        <f>SUM(L3:L64)</f>
        <v>0</v>
      </c>
      <c r="M65" s="354">
        <f>SUM(M3:M64)</f>
        <v>0</v>
      </c>
      <c r="N65" s="354">
        <f>SUM(N3:N64)</f>
        <v>0</v>
      </c>
      <c r="O65" s="354">
        <f>SUM(O3:O64)</f>
        <v>4881</v>
      </c>
      <c r="P65" s="255"/>
      <c r="Q65" s="255"/>
      <c r="R65" s="255"/>
      <c r="S65" s="255"/>
      <c r="T65" s="255"/>
      <c r="U65" s="354">
        <f>SUM(U3:U64)</f>
        <v>174</v>
      </c>
      <c r="V65" s="354">
        <f>SUM(V3:V64)</f>
        <v>217</v>
      </c>
      <c r="W65" s="354">
        <f>SUM(W3:W64)</f>
        <v>127</v>
      </c>
      <c r="X65" s="354">
        <f>SUM(X3:X64)</f>
        <v>4949</v>
      </c>
      <c r="Y65" s="255"/>
      <c r="Z65" s="255"/>
      <c r="AA65" s="255"/>
      <c r="AB65" s="255"/>
      <c r="AC65" s="255"/>
      <c r="AD65" s="354">
        <f>SUM(AD3:AD64)</f>
        <v>0</v>
      </c>
      <c r="AE65" s="354">
        <f>SUM(AE3:AE64)</f>
        <v>16</v>
      </c>
      <c r="AF65" s="354">
        <f>SUM(AF3:AF64)</f>
        <v>0</v>
      </c>
      <c r="AG65" s="354">
        <f>SUM(AG3:AG64)</f>
        <v>4974</v>
      </c>
      <c r="AH65" s="255"/>
      <c r="AI65" s="255"/>
      <c r="AJ65" s="255"/>
      <c r="AK65" s="255"/>
      <c r="AL65" s="255"/>
      <c r="AM65" s="354">
        <f>SUM(AM3:AM64)</f>
        <v>0</v>
      </c>
      <c r="AN65" s="354">
        <f>SUM(AN3:AN64)</f>
        <v>0</v>
      </c>
      <c r="AO65" s="354">
        <f>SUM(AO3:AO64)</f>
        <v>0</v>
      </c>
      <c r="AP65" s="354">
        <f>SUM(AP3:AP64)</f>
        <v>12494</v>
      </c>
      <c r="AQ65" s="255"/>
      <c r="AR65" s="255"/>
      <c r="AS65" s="255"/>
      <c r="AT65" s="255"/>
    </row>
    <row r="73" spans="1:46" ht="14.6" thickBot="1" x14ac:dyDescent="0.4"/>
    <row r="74" spans="1:46" ht="18.45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6" ht="18.45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6" ht="18" x14ac:dyDescent="0.4">
      <c r="B76" s="541" t="s">
        <v>218</v>
      </c>
      <c r="C76" s="542">
        <f>C65</f>
        <v>0</v>
      </c>
      <c r="D76" s="543">
        <f>C76/60</f>
        <v>0</v>
      </c>
      <c r="E76" s="542">
        <f>D65</f>
        <v>299</v>
      </c>
      <c r="F76" s="544">
        <f>E76/60</f>
        <v>4.9833333333333334</v>
      </c>
      <c r="G76" s="542">
        <f>E65</f>
        <v>100</v>
      </c>
      <c r="H76" s="543">
        <f>G76/60</f>
        <v>1.6666666666666667</v>
      </c>
      <c r="I76" s="542">
        <f>F65</f>
        <v>4919</v>
      </c>
      <c r="J76" s="543">
        <f>I76/60</f>
        <v>81.983333333333334</v>
      </c>
    </row>
    <row r="77" spans="1:46" ht="18" x14ac:dyDescent="0.4">
      <c r="B77" s="541" t="s">
        <v>219</v>
      </c>
      <c r="C77" s="545">
        <f>L65</f>
        <v>0</v>
      </c>
      <c r="D77" s="546">
        <f>C77/60</f>
        <v>0</v>
      </c>
      <c r="E77" s="545">
        <f>M65</f>
        <v>0</v>
      </c>
      <c r="F77" s="547">
        <f>E77/60</f>
        <v>0</v>
      </c>
      <c r="G77" s="545">
        <f>N65</f>
        <v>0</v>
      </c>
      <c r="H77" s="546">
        <f>G77/60</f>
        <v>0</v>
      </c>
      <c r="I77" s="545">
        <f>O65</f>
        <v>4881</v>
      </c>
      <c r="J77" s="543">
        <f t="shared" ref="J77:J80" si="0">I77/60</f>
        <v>81.349999999999994</v>
      </c>
    </row>
    <row r="78" spans="1:46" ht="18" x14ac:dyDescent="0.4">
      <c r="B78" s="541" t="s">
        <v>220</v>
      </c>
      <c r="C78" s="545">
        <f>U65</f>
        <v>174</v>
      </c>
      <c r="D78" s="546">
        <f>C78/60</f>
        <v>2.9</v>
      </c>
      <c r="E78" s="545">
        <f>V65</f>
        <v>217</v>
      </c>
      <c r="F78" s="547">
        <f>E78/60</f>
        <v>3.6166666666666667</v>
      </c>
      <c r="G78" s="545">
        <f>W65</f>
        <v>127</v>
      </c>
      <c r="H78" s="546">
        <f>G78/60</f>
        <v>2.1166666666666667</v>
      </c>
      <c r="I78" s="545">
        <f>X65</f>
        <v>4949</v>
      </c>
      <c r="J78" s="543">
        <f t="shared" si="0"/>
        <v>82.483333333333334</v>
      </c>
    </row>
    <row r="79" spans="1:46" ht="18.45" thickBot="1" x14ac:dyDescent="0.45">
      <c r="B79" s="541" t="s">
        <v>221</v>
      </c>
      <c r="C79" s="548">
        <f>AD65</f>
        <v>0</v>
      </c>
      <c r="D79" s="549">
        <f>C79/60</f>
        <v>0</v>
      </c>
      <c r="E79" s="548">
        <f>AE65</f>
        <v>16</v>
      </c>
      <c r="F79" s="550">
        <f>E79/60</f>
        <v>0.26666666666666666</v>
      </c>
      <c r="G79" s="548">
        <f>AF65</f>
        <v>0</v>
      </c>
      <c r="H79" s="549">
        <f>G79/60</f>
        <v>0</v>
      </c>
      <c r="I79" s="548">
        <f>AG65</f>
        <v>4974</v>
      </c>
      <c r="J79" s="543">
        <f t="shared" si="0"/>
        <v>82.9</v>
      </c>
    </row>
    <row r="80" spans="1:46" ht="18.45" thickBot="1" x14ac:dyDescent="0.45">
      <c r="B80" s="541" t="s">
        <v>488</v>
      </c>
      <c r="C80" s="643">
        <f>AM65</f>
        <v>0</v>
      </c>
      <c r="D80" s="642">
        <f>C80/60</f>
        <v>0</v>
      </c>
      <c r="E80" s="643">
        <f>AN65</f>
        <v>0</v>
      </c>
      <c r="F80" s="644">
        <f>E80/60</f>
        <v>0</v>
      </c>
      <c r="G80" s="643">
        <f>AO65</f>
        <v>0</v>
      </c>
      <c r="H80" s="642">
        <f>G80/60</f>
        <v>0</v>
      </c>
      <c r="I80" s="643">
        <f>AP65</f>
        <v>12494</v>
      </c>
      <c r="J80" s="543">
        <f t="shared" si="0"/>
        <v>208.23333333333332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2.9</v>
      </c>
      <c r="E82" s="556"/>
      <c r="F82" s="557">
        <f>SUM(F76:F80)</f>
        <v>8.8666666666666671</v>
      </c>
      <c r="G82" s="556"/>
      <c r="H82" s="557">
        <f>SUM(H76:H80)</f>
        <v>3.7833333333333332</v>
      </c>
      <c r="I82" s="556"/>
      <c r="J82" s="558">
        <f>AVERAGE(J76:J80)</f>
        <v>107.39000000000001</v>
      </c>
    </row>
  </sheetData>
  <mergeCells count="47">
    <mergeCell ref="C74:D74"/>
    <mergeCell ref="E74:F74"/>
    <mergeCell ref="G74:H74"/>
    <mergeCell ref="I74:J74"/>
    <mergeCell ref="A53:A54"/>
    <mergeCell ref="A55:A56"/>
    <mergeCell ref="A57:A58"/>
    <mergeCell ref="A59:A60"/>
    <mergeCell ref="A63:A64"/>
    <mergeCell ref="A61:A62"/>
    <mergeCell ref="AH64:AJ64"/>
    <mergeCell ref="A41:A42"/>
    <mergeCell ref="A43:A44"/>
    <mergeCell ref="A45:A46"/>
    <mergeCell ref="A47:A48"/>
    <mergeCell ref="A49:A50"/>
    <mergeCell ref="A51:A52"/>
    <mergeCell ref="A13:A14"/>
    <mergeCell ref="AH14:AJ14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M1:AP1"/>
    <mergeCell ref="AQ1:AT1"/>
    <mergeCell ref="A3:A4"/>
    <mergeCell ref="U1:X1"/>
    <mergeCell ref="Y1:AB1"/>
    <mergeCell ref="G1:J1"/>
    <mergeCell ref="L1:O1"/>
    <mergeCell ref="P1:S1"/>
    <mergeCell ref="AD1:AG1"/>
    <mergeCell ref="AH1:AK1"/>
    <mergeCell ref="A7:A8"/>
    <mergeCell ref="A9:A10"/>
    <mergeCell ref="A11:A12"/>
    <mergeCell ref="A5:A6"/>
    <mergeCell ref="C1:F1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T82"/>
  <sheetViews>
    <sheetView zoomScale="55" zoomScaleNormal="55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J45" sqref="J45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2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9.382812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6" style="423" bestFit="1" customWidth="1"/>
    <col min="17" max="17" width="42.15234375" style="423" bestFit="1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6.15234375" style="423" bestFit="1" customWidth="1"/>
    <col min="28" max="28" width="27" style="423" customWidth="1"/>
    <col min="29" max="33" width="10.69140625" style="423" customWidth="1"/>
    <col min="34" max="34" width="31.3046875" style="423" customWidth="1"/>
    <col min="35" max="35" width="23.304687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21.15234375" style="423" customWidth="1"/>
    <col min="44" max="44" width="26.53515625" style="423" customWidth="1"/>
    <col min="45" max="45" width="31.152343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8" t="s">
        <v>199</v>
      </c>
      <c r="AI2" s="656" t="s">
        <v>200</v>
      </c>
      <c r="AJ2" s="656" t="s">
        <v>201</v>
      </c>
      <c r="AK2" s="656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8" t="s">
        <v>199</v>
      </c>
      <c r="AR2" s="656" t="s">
        <v>200</v>
      </c>
      <c r="AS2" s="656" t="s">
        <v>201</v>
      </c>
      <c r="AT2" s="656" t="s">
        <v>204</v>
      </c>
    </row>
    <row r="3" spans="1:46" ht="46.5" customHeight="1" x14ac:dyDescent="0.45">
      <c r="A3" s="1351">
        <v>45870</v>
      </c>
      <c r="B3" s="676">
        <v>1</v>
      </c>
      <c r="C3" s="1135"/>
      <c r="D3" s="1136"/>
      <c r="E3" s="1137"/>
      <c r="F3" s="1138"/>
      <c r="G3" s="1139"/>
      <c r="H3" s="1140"/>
      <c r="I3" s="1141"/>
      <c r="J3" s="1142"/>
      <c r="K3" s="286"/>
      <c r="L3" s="1143"/>
      <c r="M3" s="1144"/>
      <c r="N3" s="1144"/>
      <c r="O3" s="1145"/>
      <c r="P3" s="1146"/>
      <c r="Q3" s="1147"/>
      <c r="R3" s="1147"/>
      <c r="S3" s="1145"/>
      <c r="T3" s="286"/>
      <c r="U3" s="1143"/>
      <c r="V3" s="1144"/>
      <c r="W3" s="1137"/>
      <c r="X3" s="1148"/>
      <c r="Y3" s="1149"/>
      <c r="Z3" s="1146"/>
      <c r="AA3" s="1150"/>
      <c r="AB3" s="1151"/>
      <c r="AC3" s="286"/>
      <c r="AD3" s="1143"/>
      <c r="AE3" s="1144"/>
      <c r="AF3" s="1137"/>
      <c r="AG3" s="1286"/>
      <c r="AH3" s="1289"/>
      <c r="AI3" s="1289"/>
      <c r="AJ3" s="1290"/>
      <c r="AK3" s="1289"/>
      <c r="AL3" s="1153"/>
      <c r="AM3" s="1143"/>
      <c r="AN3" s="1144"/>
      <c r="AO3" s="1137"/>
      <c r="AP3" s="1286"/>
      <c r="AQ3" s="1289"/>
      <c r="AR3" s="1290"/>
      <c r="AS3" s="1290"/>
      <c r="AT3" s="1289"/>
    </row>
    <row r="4" spans="1:46" ht="42.75" customHeight="1" x14ac:dyDescent="0.45">
      <c r="A4" s="1352"/>
      <c r="B4" s="692">
        <v>2</v>
      </c>
      <c r="C4" s="1155"/>
      <c r="D4" s="1156"/>
      <c r="E4" s="1156"/>
      <c r="F4" s="1157"/>
      <c r="G4" s="1158"/>
      <c r="H4" s="1140"/>
      <c r="I4" s="1141"/>
      <c r="J4" s="1159"/>
      <c r="K4" s="286"/>
      <c r="L4" s="1160"/>
      <c r="M4" s="1137"/>
      <c r="N4" s="1137"/>
      <c r="O4" s="1148"/>
      <c r="P4" s="1128"/>
      <c r="Q4" s="1140"/>
      <c r="R4" s="1161"/>
      <c r="S4" s="1148"/>
      <c r="T4" s="286"/>
      <c r="U4" s="1160"/>
      <c r="V4" s="1152"/>
      <c r="W4" s="1137"/>
      <c r="X4" s="1148"/>
      <c r="Y4" s="1158"/>
      <c r="Z4" s="1150"/>
      <c r="AA4" s="1150"/>
      <c r="AB4" s="1162"/>
      <c r="AC4" s="286"/>
      <c r="AD4" s="1160"/>
      <c r="AE4" s="1137"/>
      <c r="AF4" s="1137"/>
      <c r="AG4" s="1203"/>
      <c r="AH4" s="1289"/>
      <c r="AI4" s="1283"/>
      <c r="AJ4" s="1290"/>
      <c r="AK4" s="1289"/>
      <c r="AL4" s="1153"/>
      <c r="AM4" s="1160"/>
      <c r="AN4" s="1137"/>
      <c r="AO4" s="1137"/>
      <c r="AP4" s="1203"/>
      <c r="AQ4" s="1289"/>
      <c r="AR4" s="1283"/>
      <c r="AS4" s="1289"/>
      <c r="AT4" s="1289"/>
    </row>
    <row r="5" spans="1:46" ht="43.5" customHeight="1" x14ac:dyDescent="0.45">
      <c r="A5" s="1351">
        <v>45871</v>
      </c>
      <c r="B5" s="692">
        <v>1</v>
      </c>
      <c r="C5" s="1155"/>
      <c r="D5" s="1156"/>
      <c r="E5" s="1156"/>
      <c r="F5" s="1157"/>
      <c r="G5" s="1163"/>
      <c r="H5" s="1164"/>
      <c r="I5" s="1141"/>
      <c r="J5" s="1159"/>
      <c r="K5" s="286"/>
      <c r="L5" s="1160"/>
      <c r="M5" s="1137"/>
      <c r="N5" s="1137"/>
      <c r="O5" s="1148"/>
      <c r="P5" s="1128"/>
      <c r="Q5" s="1137"/>
      <c r="R5" s="1137"/>
      <c r="S5" s="1148"/>
      <c r="T5" s="286"/>
      <c r="U5" s="1160"/>
      <c r="V5" s="1137"/>
      <c r="W5" s="1137"/>
      <c r="X5" s="1148"/>
      <c r="Y5" s="1149"/>
      <c r="Z5" s="1140"/>
      <c r="AA5" s="1165"/>
      <c r="AB5" s="1166"/>
      <c r="AC5" s="286"/>
      <c r="AD5" s="1160"/>
      <c r="AE5" s="1137"/>
      <c r="AF5" s="1137"/>
      <c r="AG5" s="1203"/>
      <c r="AH5" s="1289"/>
      <c r="AI5" s="1289"/>
      <c r="AJ5" s="1290"/>
      <c r="AK5" s="1289"/>
      <c r="AL5" s="1153"/>
      <c r="AM5" s="1160"/>
      <c r="AN5" s="1137"/>
      <c r="AO5" s="1137"/>
      <c r="AP5" s="1203"/>
      <c r="AQ5" s="1289"/>
      <c r="AR5" s="1289"/>
      <c r="AS5" s="1290"/>
      <c r="AT5" s="1289"/>
    </row>
    <row r="6" spans="1:46" ht="43.5" customHeight="1" x14ac:dyDescent="0.45">
      <c r="A6" s="1352"/>
      <c r="B6" s="692">
        <v>2</v>
      </c>
      <c r="C6" s="1155"/>
      <c r="D6" s="1156"/>
      <c r="E6" s="1156"/>
      <c r="F6" s="1157"/>
      <c r="G6" s="1139"/>
      <c r="H6" s="1150"/>
      <c r="I6" s="1141"/>
      <c r="J6" s="1170"/>
      <c r="K6" s="286"/>
      <c r="L6" s="1160"/>
      <c r="M6" s="1137"/>
      <c r="N6" s="1137"/>
      <c r="O6" s="1148"/>
      <c r="P6" s="1128"/>
      <c r="Q6" s="1140"/>
      <c r="R6" s="1137"/>
      <c r="S6" s="1170"/>
      <c r="T6" s="286"/>
      <c r="U6" s="1160"/>
      <c r="V6" s="1137"/>
      <c r="W6" s="1137"/>
      <c r="X6" s="1148"/>
      <c r="Y6" s="1149"/>
      <c r="Z6" s="1140"/>
      <c r="AA6" s="1165"/>
      <c r="AB6" s="1170"/>
      <c r="AC6" s="286"/>
      <c r="AD6" s="1160"/>
      <c r="AE6" s="1137"/>
      <c r="AF6" s="1137"/>
      <c r="AG6" s="1203"/>
      <c r="AH6" s="1289"/>
      <c r="AI6" s="1289"/>
      <c r="AJ6" s="1283"/>
      <c r="AK6" s="1283"/>
      <c r="AL6" s="1153"/>
      <c r="AM6" s="1160"/>
      <c r="AN6" s="1137"/>
      <c r="AO6" s="1137"/>
      <c r="AP6" s="1203"/>
      <c r="AQ6" s="1290"/>
      <c r="AR6" s="1289"/>
      <c r="AS6" s="1290"/>
      <c r="AT6" s="1289"/>
    </row>
    <row r="7" spans="1:46" ht="44.25" customHeight="1" x14ac:dyDescent="0.45">
      <c r="A7" s="1351">
        <v>45872</v>
      </c>
      <c r="B7" s="692">
        <v>1</v>
      </c>
      <c r="C7" s="1155"/>
      <c r="D7" s="1156"/>
      <c r="E7" s="1156"/>
      <c r="F7" s="1157"/>
      <c r="G7" s="1139"/>
      <c r="H7" s="1150"/>
      <c r="I7" s="1141"/>
      <c r="J7" s="1170"/>
      <c r="K7" s="286"/>
      <c r="L7" s="1160"/>
      <c r="M7" s="1128"/>
      <c r="N7" s="1137"/>
      <c r="O7" s="1148"/>
      <c r="P7" s="1128"/>
      <c r="Q7" s="972"/>
      <c r="R7" s="1137"/>
      <c r="S7" s="1169"/>
      <c r="T7" s="286"/>
      <c r="U7" s="1160"/>
      <c r="V7" s="1137"/>
      <c r="W7" s="1137"/>
      <c r="X7" s="1148"/>
      <c r="Y7" s="1149"/>
      <c r="Z7" s="1140"/>
      <c r="AA7" s="1165"/>
      <c r="AB7" s="1169"/>
      <c r="AC7" s="286"/>
      <c r="AD7" s="1160"/>
      <c r="AE7" s="1137"/>
      <c r="AF7" s="1137"/>
      <c r="AG7" s="1203"/>
      <c r="AH7" s="1289"/>
      <c r="AI7" s="1291"/>
      <c r="AJ7" s="1283"/>
      <c r="AK7" s="1289"/>
      <c r="AL7" s="1153"/>
      <c r="AM7" s="1160"/>
      <c r="AN7" s="1137"/>
      <c r="AO7" s="1137"/>
      <c r="AP7" s="1203"/>
      <c r="AQ7" s="1289"/>
      <c r="AR7" s="1289"/>
      <c r="AS7" s="1291"/>
      <c r="AT7" s="1283"/>
    </row>
    <row r="8" spans="1:46" ht="48.75" customHeight="1" x14ac:dyDescent="0.45">
      <c r="A8" s="1352"/>
      <c r="B8" s="692">
        <v>2</v>
      </c>
      <c r="C8" s="1254"/>
      <c r="D8" s="1177"/>
      <c r="E8" s="1177"/>
      <c r="F8" s="1199"/>
      <c r="G8" s="1195"/>
      <c r="H8" s="1196"/>
      <c r="I8" s="1197"/>
      <c r="J8" s="1194"/>
      <c r="K8" s="286"/>
      <c r="L8" s="1160"/>
      <c r="M8" s="1137"/>
      <c r="N8" s="1137"/>
      <c r="O8" s="1148"/>
      <c r="P8" s="1128"/>
      <c r="Q8" s="1137"/>
      <c r="R8" s="1152"/>
      <c r="S8" s="1169"/>
      <c r="T8" s="286"/>
      <c r="U8" s="1178"/>
      <c r="V8" s="1175"/>
      <c r="W8" s="1128">
        <v>10</v>
      </c>
      <c r="X8" s="1148"/>
      <c r="Y8" s="1149"/>
      <c r="Z8" s="1172"/>
      <c r="AA8" s="1152" t="s">
        <v>388</v>
      </c>
      <c r="AB8" s="1170"/>
      <c r="AC8" s="286"/>
      <c r="AD8" s="1160"/>
      <c r="AE8" s="1137"/>
      <c r="AF8" s="1137"/>
      <c r="AG8" s="1203"/>
      <c r="AH8" s="1289"/>
      <c r="AI8" s="1290"/>
      <c r="AJ8" s="1283"/>
      <c r="AK8" s="1283"/>
      <c r="AL8" s="1153"/>
      <c r="AM8" s="1160"/>
      <c r="AN8" s="1137"/>
      <c r="AO8" s="1137"/>
      <c r="AP8" s="1203"/>
      <c r="AQ8" s="1289"/>
      <c r="AR8" s="1290"/>
      <c r="AS8" s="1289"/>
      <c r="AT8" s="1283"/>
    </row>
    <row r="9" spans="1:46" ht="45" customHeight="1" x14ac:dyDescent="0.35">
      <c r="A9" s="1351">
        <v>45873</v>
      </c>
      <c r="B9" s="692">
        <v>1</v>
      </c>
      <c r="C9" s="1271"/>
      <c r="D9" s="1272"/>
      <c r="E9" s="1272"/>
      <c r="F9" s="1273"/>
      <c r="G9" s="1274"/>
      <c r="H9" s="1272"/>
      <c r="I9" s="1272"/>
      <c r="J9" s="1272"/>
      <c r="K9" s="1257"/>
      <c r="L9" s="1257"/>
      <c r="M9" s="1257"/>
      <c r="N9" s="1257"/>
      <c r="O9" s="1257"/>
      <c r="P9" s="1257"/>
      <c r="Q9" s="1257"/>
      <c r="R9" s="1257"/>
      <c r="S9" s="1257"/>
      <c r="T9" s="286"/>
      <c r="U9" s="1178"/>
      <c r="V9" s="1128"/>
      <c r="W9" s="1137"/>
      <c r="X9" s="1148"/>
      <c r="Y9" s="1149"/>
      <c r="Z9" s="1137"/>
      <c r="AA9" s="1149"/>
      <c r="AB9" s="1170"/>
      <c r="AC9" s="286"/>
      <c r="AD9" s="1299"/>
      <c r="AE9" s="1182"/>
      <c r="AF9" s="1183"/>
      <c r="AG9" s="1287"/>
      <c r="AH9" s="1283"/>
      <c r="AI9" s="1282"/>
      <c r="AJ9" s="1278"/>
      <c r="AK9" s="1283"/>
      <c r="AL9" s="286"/>
      <c r="AM9" s="1160"/>
      <c r="AN9" s="1137"/>
      <c r="AO9" s="1137"/>
      <c r="AP9" s="1203"/>
      <c r="AQ9" s="1289"/>
      <c r="AR9" s="1289"/>
      <c r="AS9" s="1290"/>
      <c r="AT9" s="1283"/>
    </row>
    <row r="10" spans="1:46" ht="48.75" customHeight="1" x14ac:dyDescent="0.45">
      <c r="A10" s="1352"/>
      <c r="B10" s="692">
        <v>2</v>
      </c>
      <c r="C10" s="1269"/>
      <c r="D10" s="1270"/>
      <c r="E10" s="1216"/>
      <c r="F10" s="1217"/>
      <c r="G10" s="1276"/>
      <c r="H10" s="1277"/>
      <c r="I10" s="1278"/>
      <c r="J10" s="1279"/>
      <c r="K10" s="286"/>
      <c r="L10" s="1160"/>
      <c r="M10" s="1137"/>
      <c r="N10" s="1137"/>
      <c r="O10" s="1148"/>
      <c r="P10" s="1128"/>
      <c r="Q10" s="1137"/>
      <c r="R10" s="1152"/>
      <c r="S10" s="1170"/>
      <c r="T10" s="286"/>
      <c r="U10" s="1160"/>
      <c r="V10" s="1137"/>
      <c r="W10" s="1137"/>
      <c r="X10" s="1148"/>
      <c r="Y10" s="1149"/>
      <c r="Z10" s="1149"/>
      <c r="AA10" s="1149"/>
      <c r="AB10" s="1170"/>
      <c r="AC10" s="286"/>
      <c r="AD10" s="1160"/>
      <c r="AE10" s="1137"/>
      <c r="AF10" s="1137"/>
      <c r="AG10" s="1203"/>
      <c r="AH10" s="1290"/>
      <c r="AI10" s="1290"/>
      <c r="AJ10" s="1283"/>
      <c r="AK10" s="1283"/>
      <c r="AL10" s="1153"/>
      <c r="AM10" s="1160"/>
      <c r="AN10" s="1137"/>
      <c r="AO10" s="1137"/>
      <c r="AP10" s="1203"/>
      <c r="AQ10" s="1289"/>
      <c r="AR10" s="1289"/>
      <c r="AS10" s="1289"/>
      <c r="AT10" s="1283"/>
    </row>
    <row r="11" spans="1:46" ht="43.5" customHeight="1" x14ac:dyDescent="0.45">
      <c r="A11" s="1351">
        <v>45874</v>
      </c>
      <c r="B11" s="692">
        <v>1</v>
      </c>
      <c r="C11" s="1258"/>
      <c r="D11" s="1259"/>
      <c r="E11" s="1260"/>
      <c r="F11" s="1261"/>
      <c r="G11" s="1280"/>
      <c r="H11" s="1277"/>
      <c r="I11" s="1277"/>
      <c r="J11" s="1281"/>
      <c r="K11" s="1262"/>
      <c r="L11" s="1263"/>
      <c r="M11" s="1264"/>
      <c r="N11" s="1264"/>
      <c r="O11" s="1265"/>
      <c r="P11" s="1266"/>
      <c r="Q11" s="1264"/>
      <c r="R11" s="1267"/>
      <c r="S11" s="1265"/>
      <c r="T11" s="1262"/>
      <c r="U11" s="1263"/>
      <c r="V11" s="1264"/>
      <c r="W11" s="1264"/>
      <c r="X11" s="1264"/>
      <c r="Y11" s="1265"/>
      <c r="Z11" s="1264"/>
      <c r="AA11" s="1268"/>
      <c r="AB11" s="1265"/>
      <c r="AC11" s="1262"/>
      <c r="AD11" s="1263"/>
      <c r="AE11" s="1264"/>
      <c r="AF11" s="1264"/>
      <c r="AG11" s="1288"/>
      <c r="AH11" s="1292"/>
      <c r="AI11" s="1292"/>
      <c r="AJ11" s="1277"/>
      <c r="AK11" s="1292"/>
      <c r="AL11" s="1153"/>
      <c r="AM11" s="1263"/>
      <c r="AN11" s="1264"/>
      <c r="AO11" s="1264"/>
      <c r="AP11" s="1288"/>
      <c r="AQ11" s="1292"/>
      <c r="AR11" s="1292"/>
      <c r="AS11" s="1292"/>
      <c r="AT11" s="1296"/>
    </row>
    <row r="12" spans="1:46" ht="46.5" customHeight="1" x14ac:dyDescent="0.45">
      <c r="A12" s="1352"/>
      <c r="B12" s="692">
        <v>2</v>
      </c>
      <c r="C12" s="1155"/>
      <c r="D12" s="1191"/>
      <c r="E12" s="1156"/>
      <c r="F12" s="1157"/>
      <c r="G12" s="1276"/>
      <c r="H12" s="1282"/>
      <c r="I12" s="1278"/>
      <c r="J12" s="1279"/>
      <c r="K12" s="286"/>
      <c r="L12" s="1160"/>
      <c r="M12" s="1137"/>
      <c r="N12" s="1137"/>
      <c r="O12" s="1157"/>
      <c r="P12" s="1128"/>
      <c r="Q12" s="1137"/>
      <c r="R12" s="1152"/>
      <c r="S12" s="1170"/>
      <c r="T12" s="286"/>
      <c r="U12" s="1160"/>
      <c r="V12" s="1137"/>
      <c r="W12" s="1257"/>
      <c r="X12" s="1257"/>
      <c r="Y12" s="1149"/>
      <c r="Z12" s="1150"/>
      <c r="AA12" s="1165"/>
      <c r="AB12" s="1170"/>
      <c r="AC12" s="286"/>
      <c r="AD12" s="1160"/>
      <c r="AE12" s="1137"/>
      <c r="AF12" s="1137"/>
      <c r="AG12" s="1203"/>
      <c r="AH12" s="1289"/>
      <c r="AI12" s="1290"/>
      <c r="AJ12" s="1283"/>
      <c r="AK12" s="1283"/>
      <c r="AL12" s="1153"/>
      <c r="AM12" s="1160"/>
      <c r="AN12" s="1137"/>
      <c r="AO12" s="1137"/>
      <c r="AP12" s="1203"/>
      <c r="AQ12" s="1289"/>
      <c r="AR12" s="1289"/>
      <c r="AS12" s="1290"/>
      <c r="AT12" s="1283"/>
    </row>
    <row r="13" spans="1:46" ht="51" customHeight="1" x14ac:dyDescent="0.45">
      <c r="A13" s="1351">
        <v>45875</v>
      </c>
      <c r="B13" s="692">
        <v>1</v>
      </c>
      <c r="C13" s="1155"/>
      <c r="D13" s="1156"/>
      <c r="E13" s="1156"/>
      <c r="F13" s="1157"/>
      <c r="G13" s="1276"/>
      <c r="H13" s="1282"/>
      <c r="I13" s="1278"/>
      <c r="J13" s="1279"/>
      <c r="K13" s="286"/>
      <c r="L13" s="1160"/>
      <c r="M13" s="1137"/>
      <c r="N13" s="1137"/>
      <c r="O13" s="1157"/>
      <c r="P13" s="1128"/>
      <c r="Q13" s="1137"/>
      <c r="R13" s="1137"/>
      <c r="S13" s="1170"/>
      <c r="T13" s="286"/>
      <c r="U13" s="1160"/>
      <c r="V13" s="1137"/>
      <c r="W13" s="1137"/>
      <c r="X13" s="1157"/>
      <c r="Y13" s="1149"/>
      <c r="Z13" s="1152"/>
      <c r="AA13" s="1165"/>
      <c r="AB13" s="1170"/>
      <c r="AC13" s="286"/>
      <c r="AD13" s="1160"/>
      <c r="AE13" s="1137"/>
      <c r="AF13" s="1137"/>
      <c r="AG13" s="1287"/>
      <c r="AH13" s="1289"/>
      <c r="AI13" s="1289"/>
      <c r="AJ13" s="1290"/>
      <c r="AK13" s="1283"/>
      <c r="AL13" s="1153"/>
      <c r="AM13" s="1160"/>
      <c r="AN13" s="1137"/>
      <c r="AO13" s="1137"/>
      <c r="AP13" s="1294"/>
      <c r="AQ13" s="1289"/>
      <c r="AR13" s="1289"/>
      <c r="AS13" s="1283"/>
      <c r="AT13" s="1283"/>
    </row>
    <row r="14" spans="1:46" ht="49.2" customHeight="1" x14ac:dyDescent="0.45">
      <c r="A14" s="1352"/>
      <c r="B14" s="692">
        <v>2</v>
      </c>
      <c r="C14" s="1155"/>
      <c r="D14" s="1156"/>
      <c r="E14" s="1156"/>
      <c r="F14" s="1157"/>
      <c r="G14" s="1276"/>
      <c r="H14" s="1283"/>
      <c r="I14" s="1278"/>
      <c r="J14" s="1279"/>
      <c r="K14" s="286"/>
      <c r="L14" s="1160"/>
      <c r="M14" s="1137"/>
      <c r="N14" s="1137"/>
      <c r="O14" s="1157"/>
      <c r="P14" s="1149"/>
      <c r="Q14" s="1137"/>
      <c r="R14" s="1137"/>
      <c r="S14" s="1170"/>
      <c r="T14" s="286"/>
      <c r="U14" s="1160"/>
      <c r="V14" s="1137"/>
      <c r="W14" s="1137"/>
      <c r="X14" s="1157"/>
      <c r="Y14" s="1149"/>
      <c r="Z14" s="1152"/>
      <c r="AA14" s="1165"/>
      <c r="AB14" s="1170"/>
      <c r="AC14" s="286"/>
      <c r="AD14" s="1160"/>
      <c r="AE14" s="1137"/>
      <c r="AF14" s="1137"/>
      <c r="AG14" s="1287"/>
      <c r="AH14" s="1289"/>
      <c r="AI14" s="1289"/>
      <c r="AJ14" s="1290"/>
      <c r="AK14" s="1283"/>
      <c r="AL14" s="1153"/>
      <c r="AM14" s="1160"/>
      <c r="AN14" s="1137"/>
      <c r="AO14" s="1192"/>
      <c r="AP14" s="1294"/>
      <c r="AQ14" s="1290"/>
      <c r="AR14" s="1289"/>
      <c r="AS14" s="1290"/>
      <c r="AT14" s="1283"/>
    </row>
    <row r="15" spans="1:46" ht="48" customHeight="1" x14ac:dyDescent="0.45">
      <c r="A15" s="1351">
        <v>45876</v>
      </c>
      <c r="B15" s="692">
        <v>1</v>
      </c>
      <c r="C15" s="1155"/>
      <c r="D15" s="1177"/>
      <c r="E15" s="1168"/>
      <c r="F15" s="1194"/>
      <c r="G15" s="1276"/>
      <c r="H15" s="1283"/>
      <c r="I15" s="1278"/>
      <c r="J15" s="1279"/>
      <c r="K15" s="286"/>
      <c r="L15" s="1198"/>
      <c r="M15" s="1168"/>
      <c r="N15" s="1168"/>
      <c r="O15" s="1199"/>
      <c r="P15" s="1200"/>
      <c r="Q15" s="1196"/>
      <c r="R15" s="1150"/>
      <c r="S15" s="1170"/>
      <c r="T15" s="286"/>
      <c r="U15" s="1160"/>
      <c r="V15" s="1137"/>
      <c r="W15" s="1137"/>
      <c r="X15" s="1157"/>
      <c r="Y15" s="1158"/>
      <c r="Z15" s="1150"/>
      <c r="AA15" s="1165"/>
      <c r="AB15" s="1170"/>
      <c r="AC15" s="286"/>
      <c r="AD15" s="1160"/>
      <c r="AE15" s="1137"/>
      <c r="AF15" s="286"/>
      <c r="AG15" s="1287"/>
      <c r="AH15" s="1282"/>
      <c r="AI15" s="1283"/>
      <c r="AJ15" s="1290"/>
      <c r="AK15" s="1283"/>
      <c r="AL15" s="1153"/>
      <c r="AM15" s="1160"/>
      <c r="AN15" s="1137"/>
      <c r="AO15" s="1201"/>
      <c r="AP15" s="1294"/>
      <c r="AQ15" s="1283"/>
      <c r="AR15" s="1283"/>
      <c r="AS15" s="1283"/>
      <c r="AT15" s="1283"/>
    </row>
    <row r="16" spans="1:46" ht="46.5" customHeight="1" x14ac:dyDescent="0.35">
      <c r="A16" s="1352"/>
      <c r="B16" s="692">
        <v>2</v>
      </c>
      <c r="C16" s="1181"/>
      <c r="D16" s="1223"/>
      <c r="E16" s="1224"/>
      <c r="F16" s="1225">
        <v>47</v>
      </c>
      <c r="G16" s="1284"/>
      <c r="H16" s="1277"/>
      <c r="I16" s="1278"/>
      <c r="J16" s="1279" t="s">
        <v>975</v>
      </c>
      <c r="K16" s="1230"/>
      <c r="L16" s="1231"/>
      <c r="M16" s="1232"/>
      <c r="N16" s="1232"/>
      <c r="O16" s="1225">
        <v>57</v>
      </c>
      <c r="P16" s="1233"/>
      <c r="Q16" s="1234"/>
      <c r="R16" s="1235"/>
      <c r="S16" s="1170" t="s">
        <v>975</v>
      </c>
      <c r="T16" s="286"/>
      <c r="U16" s="1160"/>
      <c r="V16" s="1137"/>
      <c r="W16" s="1137"/>
      <c r="X16" s="1157">
        <v>50</v>
      </c>
      <c r="Y16" s="1236"/>
      <c r="Z16" s="1187"/>
      <c r="AA16" s="1285"/>
      <c r="AB16" s="1170" t="s">
        <v>975</v>
      </c>
      <c r="AC16" s="286"/>
      <c r="AD16" s="1160"/>
      <c r="AE16" s="1137"/>
      <c r="AF16" s="1137"/>
      <c r="AG16" s="1287">
        <v>59</v>
      </c>
      <c r="AH16" s="1282"/>
      <c r="AI16" s="1289"/>
      <c r="AJ16" s="1289"/>
      <c r="AK16" s="1290" t="s">
        <v>975</v>
      </c>
      <c r="AL16" s="1179"/>
      <c r="AM16" s="1160"/>
      <c r="AN16" s="1137"/>
      <c r="AO16" s="1137"/>
      <c r="AP16" s="1287">
        <v>55</v>
      </c>
      <c r="AQ16" s="1297"/>
      <c r="AR16" s="1277"/>
      <c r="AS16" s="1297"/>
      <c r="AT16" s="1283" t="s">
        <v>975</v>
      </c>
    </row>
    <row r="17" spans="1:46" ht="51" customHeight="1" x14ac:dyDescent="0.45">
      <c r="A17" s="1351">
        <v>45877</v>
      </c>
      <c r="B17" s="717">
        <v>1</v>
      </c>
      <c r="C17" s="1155"/>
      <c r="D17" s="1215"/>
      <c r="E17" s="1216"/>
      <c r="F17" s="1217"/>
      <c r="G17" s="1284"/>
      <c r="H17" s="1282"/>
      <c r="I17" s="1278"/>
      <c r="J17" s="1279"/>
      <c r="K17" s="286"/>
      <c r="L17" s="1222"/>
      <c r="M17" s="1161"/>
      <c r="N17" s="1161"/>
      <c r="O17" s="1217"/>
      <c r="P17" s="1218"/>
      <c r="Q17" s="1219"/>
      <c r="R17" s="1150"/>
      <c r="S17" s="1170"/>
      <c r="T17" s="286"/>
      <c r="U17" s="1160"/>
      <c r="V17" s="1137"/>
      <c r="W17" s="1137">
        <v>25</v>
      </c>
      <c r="X17" s="1157"/>
      <c r="Y17" s="1158"/>
      <c r="Z17" s="1140"/>
      <c r="AA17" s="1204" t="s">
        <v>152</v>
      </c>
      <c r="AB17" s="1170"/>
      <c r="AC17" s="286"/>
      <c r="AD17" s="1160"/>
      <c r="AE17" s="1137"/>
      <c r="AF17" s="1137"/>
      <c r="AG17" s="1287"/>
      <c r="AH17" s="1282"/>
      <c r="AI17" s="1282"/>
      <c r="AJ17" s="1283"/>
      <c r="AK17" s="1283"/>
      <c r="AL17" s="1153"/>
      <c r="AM17" s="1160"/>
      <c r="AN17" s="1137"/>
      <c r="AO17" s="1192"/>
      <c r="AP17" s="1295"/>
      <c r="AQ17" s="1282"/>
      <c r="AR17" s="1283"/>
      <c r="AS17" s="1290"/>
      <c r="AT17" s="1283"/>
    </row>
    <row r="18" spans="1:46" ht="49.5" customHeight="1" x14ac:dyDescent="0.45">
      <c r="A18" s="1352"/>
      <c r="B18" s="692">
        <v>2</v>
      </c>
      <c r="C18" s="1155"/>
      <c r="D18" s="1156"/>
      <c r="E18" s="1156">
        <v>17</v>
      </c>
      <c r="F18" s="1157"/>
      <c r="G18" s="1209"/>
      <c r="H18" s="1275"/>
      <c r="I18" s="1220" t="s">
        <v>388</v>
      </c>
      <c r="J18" s="1221"/>
      <c r="K18" s="286"/>
      <c r="L18" s="1160">
        <v>37</v>
      </c>
      <c r="M18" s="1137"/>
      <c r="N18" s="1137"/>
      <c r="O18" s="1157"/>
      <c r="P18" s="1158"/>
      <c r="Q18" s="1150"/>
      <c r="R18" s="1141" t="s">
        <v>1025</v>
      </c>
      <c r="S18" s="1170"/>
      <c r="T18" s="286"/>
      <c r="U18" s="1160"/>
      <c r="V18" s="1137"/>
      <c r="W18" s="1156">
        <v>10</v>
      </c>
      <c r="X18" s="1157"/>
      <c r="Y18" s="1158"/>
      <c r="Z18" s="1150"/>
      <c r="AA18" s="1165" t="s">
        <v>1121</v>
      </c>
      <c r="AB18" s="1170"/>
      <c r="AC18" s="286"/>
      <c r="AD18" s="1160"/>
      <c r="AE18" s="1137"/>
      <c r="AF18" s="1137"/>
      <c r="AG18" s="1287"/>
      <c r="AH18" s="1283"/>
      <c r="AI18" s="1283"/>
      <c r="AJ18" s="1282"/>
      <c r="AK18" s="1283"/>
      <c r="AL18" s="1153"/>
      <c r="AM18" s="1160"/>
      <c r="AN18" s="1137"/>
      <c r="AO18" s="1192"/>
      <c r="AP18" s="1294"/>
      <c r="AQ18" s="1283"/>
      <c r="AR18" s="1277"/>
      <c r="AS18" s="1277"/>
      <c r="AT18" s="1283"/>
    </row>
    <row r="19" spans="1:46" ht="38.25" customHeight="1" x14ac:dyDescent="0.45">
      <c r="A19" s="1351">
        <v>45878</v>
      </c>
      <c r="B19" s="692">
        <v>1</v>
      </c>
      <c r="C19" s="286"/>
      <c r="D19" s="1156"/>
      <c r="E19" s="1156"/>
      <c r="F19" s="1157"/>
      <c r="G19" s="1205"/>
      <c r="H19" s="1137"/>
      <c r="I19" s="1164"/>
      <c r="J19" s="1170"/>
      <c r="K19" s="286"/>
      <c r="L19" s="1160"/>
      <c r="M19" s="1137"/>
      <c r="N19" s="1137"/>
      <c r="O19" s="1157"/>
      <c r="P19" s="1160"/>
      <c r="Q19" s="1137"/>
      <c r="R19" s="1137"/>
      <c r="S19" s="1170"/>
      <c r="T19" s="286"/>
      <c r="U19" s="1160"/>
      <c r="V19" s="1137"/>
      <c r="W19" s="1137">
        <v>25</v>
      </c>
      <c r="X19" s="1157"/>
      <c r="Y19" s="1160"/>
      <c r="Z19" s="1152"/>
      <c r="AA19" s="1204" t="s">
        <v>1121</v>
      </c>
      <c r="AB19" s="1170"/>
      <c r="AC19" s="286"/>
      <c r="AD19" s="1160"/>
      <c r="AE19" s="1137"/>
      <c r="AF19" s="1137"/>
      <c r="AG19" s="1287"/>
      <c r="AH19" s="1289"/>
      <c r="AI19" s="1289"/>
      <c r="AJ19" s="1290"/>
      <c r="AK19" s="1283"/>
      <c r="AL19" s="1153"/>
      <c r="AM19" s="1160"/>
      <c r="AN19" s="1137"/>
      <c r="AO19" s="1137"/>
      <c r="AP19" s="1287"/>
      <c r="AQ19" s="1289"/>
      <c r="AR19" s="1289"/>
      <c r="AS19" s="1283"/>
      <c r="AT19" s="1283"/>
    </row>
    <row r="20" spans="1:46" ht="44.5" customHeight="1" x14ac:dyDescent="0.45">
      <c r="A20" s="1352"/>
      <c r="B20" s="692">
        <v>2</v>
      </c>
      <c r="C20" s="1155"/>
      <c r="D20" s="1156"/>
      <c r="E20" s="1156">
        <v>12</v>
      </c>
      <c r="F20" s="1157"/>
      <c r="G20" s="1205"/>
      <c r="H20" s="1152"/>
      <c r="I20" s="1164" t="s">
        <v>388</v>
      </c>
      <c r="J20" s="1170"/>
      <c r="K20" s="286"/>
      <c r="L20" s="1160"/>
      <c r="M20" s="1137"/>
      <c r="N20" s="1137"/>
      <c r="O20" s="1157"/>
      <c r="P20" s="1205"/>
      <c r="Q20" s="1152"/>
      <c r="R20" s="1141"/>
      <c r="S20" s="1170"/>
      <c r="T20" s="286"/>
      <c r="U20" s="1160"/>
      <c r="V20" s="1137"/>
      <c r="W20" s="1137">
        <v>10</v>
      </c>
      <c r="X20" s="1157"/>
      <c r="Y20" s="1205"/>
      <c r="Z20" s="1152"/>
      <c r="AA20" s="1150" t="s">
        <v>1081</v>
      </c>
      <c r="AB20" s="1170"/>
      <c r="AC20" s="286"/>
      <c r="AD20" s="1160"/>
      <c r="AE20" s="1137"/>
      <c r="AF20" s="1137"/>
      <c r="AG20" s="1287"/>
      <c r="AH20" s="1290"/>
      <c r="AI20" s="1290"/>
      <c r="AJ20" s="1278"/>
      <c r="AK20" s="1283"/>
      <c r="AL20" s="1153"/>
      <c r="AM20" s="1160"/>
      <c r="AN20" s="1137"/>
      <c r="AO20" s="1137"/>
      <c r="AP20" s="1287">
        <v>380</v>
      </c>
      <c r="AQ20" s="1290"/>
      <c r="AR20" s="1290"/>
      <c r="AS20" s="1278"/>
      <c r="AT20" s="1283" t="s">
        <v>1118</v>
      </c>
    </row>
    <row r="21" spans="1:46" ht="39" customHeight="1" x14ac:dyDescent="0.45">
      <c r="A21" s="1351">
        <v>45879</v>
      </c>
      <c r="B21" s="692">
        <v>1</v>
      </c>
      <c r="C21" s="1155"/>
      <c r="D21" s="1156"/>
      <c r="E21" s="1156"/>
      <c r="F21" s="1157"/>
      <c r="G21" s="1210"/>
      <c r="H21" s="1140"/>
      <c r="I21" s="1164"/>
      <c r="J21" s="1211"/>
      <c r="K21" s="286"/>
      <c r="L21" s="1160"/>
      <c r="M21" s="1137"/>
      <c r="N21" s="1137"/>
      <c r="O21" s="1157"/>
      <c r="P21" s="1160"/>
      <c r="Q21" s="1152"/>
      <c r="R21" s="1137"/>
      <c r="S21" s="1211"/>
      <c r="T21" s="286"/>
      <c r="U21" s="1160"/>
      <c r="V21" s="1137"/>
      <c r="W21" s="1137"/>
      <c r="X21" s="1157"/>
      <c r="Y21" s="1205"/>
      <c r="Z21" s="1137"/>
      <c r="AA21" s="1204"/>
      <c r="AB21" s="1211"/>
      <c r="AC21" s="286"/>
      <c r="AD21" s="1160"/>
      <c r="AE21" s="1137"/>
      <c r="AF21" s="1137"/>
      <c r="AG21" s="1287"/>
      <c r="AH21" s="1289"/>
      <c r="AI21" s="1289"/>
      <c r="AJ21" s="1290"/>
      <c r="AK21" s="1293"/>
      <c r="AL21" s="1153"/>
      <c r="AM21" s="1160"/>
      <c r="AN21" s="1137"/>
      <c r="AO21" s="1137"/>
      <c r="AP21" s="1287"/>
      <c r="AQ21" s="1289"/>
      <c r="AR21" s="1290"/>
      <c r="AS21" s="1290"/>
      <c r="AT21" s="1283"/>
    </row>
    <row r="22" spans="1:46" ht="49.95" customHeight="1" x14ac:dyDescent="0.45">
      <c r="A22" s="1352"/>
      <c r="B22" s="692">
        <v>2</v>
      </c>
      <c r="C22" s="1155"/>
      <c r="D22" s="1156"/>
      <c r="E22" s="1156"/>
      <c r="F22" s="1157"/>
      <c r="G22" s="1209"/>
      <c r="H22" s="1150"/>
      <c r="I22" s="1141"/>
      <c r="J22" s="1170"/>
      <c r="K22" s="286"/>
      <c r="L22" s="1160"/>
      <c r="M22" s="1137"/>
      <c r="N22" s="1137"/>
      <c r="O22" s="1157"/>
      <c r="P22" s="1149"/>
      <c r="Q22" s="1150"/>
      <c r="R22" s="1137"/>
      <c r="S22" s="1170"/>
      <c r="T22" s="286"/>
      <c r="U22" s="1160">
        <v>25</v>
      </c>
      <c r="V22" s="1137"/>
      <c r="W22" s="1137"/>
      <c r="X22" s="1157"/>
      <c r="Y22" s="1205" t="s">
        <v>315</v>
      </c>
      <c r="Z22" s="1150"/>
      <c r="AA22" s="1165"/>
      <c r="AB22" s="1170"/>
      <c r="AC22" s="286"/>
      <c r="AD22" s="1160"/>
      <c r="AE22" s="1137"/>
      <c r="AF22" s="1137"/>
      <c r="AG22" s="1287"/>
      <c r="AH22" s="1289"/>
      <c r="AI22" s="1289"/>
      <c r="AJ22" s="1283"/>
      <c r="AK22" s="1283"/>
      <c r="AL22" s="1153"/>
      <c r="AM22" s="1160"/>
      <c r="AN22" s="1137"/>
      <c r="AO22" s="1137"/>
      <c r="AP22" s="1287">
        <v>43</v>
      </c>
      <c r="AQ22" s="1289"/>
      <c r="AR22" s="1283"/>
      <c r="AS22" s="1289"/>
      <c r="AT22" s="1283" t="s">
        <v>1118</v>
      </c>
    </row>
    <row r="23" spans="1:46" ht="47.5" customHeight="1" x14ac:dyDescent="0.45">
      <c r="A23" s="1351">
        <v>45880</v>
      </c>
      <c r="B23" s="717">
        <v>1</v>
      </c>
      <c r="C23" s="1155"/>
      <c r="D23" s="1156"/>
      <c r="E23" s="1156"/>
      <c r="F23" s="1157"/>
      <c r="G23" s="1209"/>
      <c r="H23" s="1140"/>
      <c r="I23" s="1164"/>
      <c r="J23" s="1170"/>
      <c r="K23" s="286"/>
      <c r="L23" s="1160"/>
      <c r="M23" s="1137"/>
      <c r="N23" s="1137"/>
      <c r="O23" s="1157"/>
      <c r="P23" s="1139"/>
      <c r="Q23" s="1140"/>
      <c r="R23" s="1150"/>
      <c r="S23" s="1170"/>
      <c r="T23" s="286"/>
      <c r="U23" s="1160"/>
      <c r="V23" s="1137"/>
      <c r="W23" s="1137"/>
      <c r="X23" s="1157"/>
      <c r="Y23" s="1205"/>
      <c r="Z23" s="1141"/>
      <c r="AA23" s="1204"/>
      <c r="AB23" s="1170"/>
      <c r="AC23" s="286"/>
      <c r="AD23" s="1160"/>
      <c r="AE23" s="1137"/>
      <c r="AF23" s="1128"/>
      <c r="AG23" s="1287"/>
      <c r="AH23" s="1289"/>
      <c r="AI23" s="1282"/>
      <c r="AJ23" s="1282"/>
      <c r="AK23" s="1283"/>
      <c r="AL23" s="1153"/>
      <c r="AM23" s="1160"/>
      <c r="AN23" s="1137"/>
      <c r="AO23" s="1137"/>
      <c r="AP23" s="1287">
        <v>14</v>
      </c>
      <c r="AQ23" s="1289"/>
      <c r="AR23" s="1298"/>
      <c r="AS23" s="1283"/>
      <c r="AT23" s="1283" t="s">
        <v>317</v>
      </c>
    </row>
    <row r="24" spans="1:46" ht="49.95" customHeight="1" x14ac:dyDescent="0.45">
      <c r="A24" s="1352"/>
      <c r="B24" s="692">
        <v>2</v>
      </c>
      <c r="C24" s="1155"/>
      <c r="D24" s="1156"/>
      <c r="E24" s="1156"/>
      <c r="F24" s="1157"/>
      <c r="G24" s="1209"/>
      <c r="H24" s="1150"/>
      <c r="I24" s="1164"/>
      <c r="J24" s="1170"/>
      <c r="K24" s="286"/>
      <c r="L24" s="1160"/>
      <c r="M24" s="1137"/>
      <c r="N24" s="1137"/>
      <c r="O24" s="1157"/>
      <c r="P24" s="1139"/>
      <c r="Q24" s="1140"/>
      <c r="R24" s="1150"/>
      <c r="S24" s="1170"/>
      <c r="T24" s="1206"/>
      <c r="U24" s="1128"/>
      <c r="V24" s="1207"/>
      <c r="W24" s="1204"/>
      <c r="X24" s="1157"/>
      <c r="Y24" s="1141"/>
      <c r="Z24" s="1140"/>
      <c r="AA24" s="1204"/>
      <c r="AB24" s="1170"/>
      <c r="AC24" s="286"/>
      <c r="AD24" s="1160"/>
      <c r="AE24" s="1137"/>
      <c r="AF24" s="1128"/>
      <c r="AG24" s="1287"/>
      <c r="AH24" s="1278"/>
      <c r="AI24" s="1282"/>
      <c r="AJ24" s="1283"/>
      <c r="AK24" s="1283"/>
      <c r="AL24" s="1153"/>
      <c r="AM24" s="1160">
        <v>56</v>
      </c>
      <c r="AN24" s="1137"/>
      <c r="AO24" s="1137"/>
      <c r="AP24" s="1287"/>
      <c r="AQ24" s="1282" t="s">
        <v>813</v>
      </c>
      <c r="AR24" s="1282"/>
      <c r="AS24" s="1283"/>
      <c r="AT24" s="1283"/>
    </row>
    <row r="25" spans="1:46" ht="45" customHeight="1" x14ac:dyDescent="0.45">
      <c r="A25" s="1351">
        <v>45881</v>
      </c>
      <c r="B25" s="692">
        <v>1</v>
      </c>
      <c r="C25" s="1155"/>
      <c r="D25" s="1156"/>
      <c r="E25" s="1156"/>
      <c r="F25" s="1157"/>
      <c r="G25" s="1139"/>
      <c r="H25" s="1140"/>
      <c r="I25" s="1141"/>
      <c r="J25" s="1170"/>
      <c r="K25" s="286"/>
      <c r="L25" s="1160"/>
      <c r="M25" s="1137"/>
      <c r="N25" s="1137"/>
      <c r="O25" s="1157"/>
      <c r="P25" s="1160"/>
      <c r="Q25" s="1140"/>
      <c r="R25" s="1137"/>
      <c r="S25" s="1170"/>
      <c r="T25" s="286"/>
      <c r="U25" s="1160"/>
      <c r="V25" s="1137"/>
      <c r="W25" s="1137"/>
      <c r="X25" s="1157"/>
      <c r="Y25" s="1205"/>
      <c r="Z25" s="1152"/>
      <c r="AA25" s="1204"/>
      <c r="AB25" s="1170"/>
      <c r="AC25" s="286"/>
      <c r="AD25" s="1160"/>
      <c r="AE25" s="1137"/>
      <c r="AF25" s="1137"/>
      <c r="AG25" s="1287"/>
      <c r="AH25" s="1289"/>
      <c r="AI25" s="1290"/>
      <c r="AJ25" s="1283"/>
      <c r="AK25" s="1283"/>
      <c r="AL25" s="1153"/>
      <c r="AM25" s="1160"/>
      <c r="AN25" s="1137"/>
      <c r="AO25" s="1137"/>
      <c r="AP25" s="1287"/>
      <c r="AQ25" s="1289"/>
      <c r="AR25" s="1289"/>
      <c r="AS25" s="1283"/>
      <c r="AT25" s="1283"/>
    </row>
    <row r="26" spans="1:46" ht="51.75" customHeight="1" x14ac:dyDescent="0.45">
      <c r="A26" s="1352"/>
      <c r="B26" s="692">
        <v>2</v>
      </c>
      <c r="C26" s="1155"/>
      <c r="D26" s="1156"/>
      <c r="E26" s="1156"/>
      <c r="F26" s="1157"/>
      <c r="G26" s="1139"/>
      <c r="H26" s="1150"/>
      <c r="I26" s="1141"/>
      <c r="J26" s="1170"/>
      <c r="K26" s="286"/>
      <c r="L26" s="1160"/>
      <c r="M26" s="1137"/>
      <c r="N26" s="1137"/>
      <c r="O26" s="1157"/>
      <c r="P26" s="1139"/>
      <c r="Q26" s="1150"/>
      <c r="R26" s="1176"/>
      <c r="S26" s="1170"/>
      <c r="T26" s="286"/>
      <c r="U26" s="1160"/>
      <c r="V26" s="1156"/>
      <c r="W26" s="1137"/>
      <c r="X26" s="1157"/>
      <c r="Y26" s="1141"/>
      <c r="Z26" s="1150"/>
      <c r="AA26" s="1204"/>
      <c r="AB26" s="1170"/>
      <c r="AC26" s="286"/>
      <c r="AD26" s="1160">
        <v>24</v>
      </c>
      <c r="AE26" s="1156"/>
      <c r="AF26" s="1137"/>
      <c r="AG26" s="1287"/>
      <c r="AH26" s="1278" t="s">
        <v>1122</v>
      </c>
      <c r="AI26" s="1283"/>
      <c r="AJ26" s="1283"/>
      <c r="AK26" s="1283"/>
      <c r="AL26" s="1153"/>
      <c r="AM26" s="1160"/>
      <c r="AN26" s="1156"/>
      <c r="AO26" s="1137"/>
      <c r="AP26" s="1287"/>
      <c r="AQ26" s="1282"/>
      <c r="AR26" s="1283"/>
      <c r="AS26" s="1283"/>
      <c r="AT26" s="1283"/>
    </row>
    <row r="27" spans="1:46" ht="49.95" customHeight="1" x14ac:dyDescent="0.45">
      <c r="A27" s="1351">
        <v>45882</v>
      </c>
      <c r="B27" s="717">
        <v>1</v>
      </c>
      <c r="C27" s="1155"/>
      <c r="D27" s="1156"/>
      <c r="E27" s="1156"/>
      <c r="F27" s="1157"/>
      <c r="G27" s="1139"/>
      <c r="H27" s="1140"/>
      <c r="I27" s="1164"/>
      <c r="J27" s="1170"/>
      <c r="K27" s="286"/>
      <c r="L27" s="1160"/>
      <c r="M27" s="1137"/>
      <c r="N27" s="1137"/>
      <c r="O27" s="1157"/>
      <c r="P27" s="1139"/>
      <c r="Q27" s="1140"/>
      <c r="R27" s="1150"/>
      <c r="S27" s="1170"/>
      <c r="T27" s="286"/>
      <c r="U27" s="1160"/>
      <c r="V27" s="1137"/>
      <c r="W27" s="1137"/>
      <c r="X27" s="1157"/>
      <c r="Y27" s="1139"/>
      <c r="Z27" s="1150"/>
      <c r="AA27" s="1204"/>
      <c r="AB27" s="1170"/>
      <c r="AC27" s="286"/>
      <c r="AD27" s="1160"/>
      <c r="AE27" s="1137"/>
      <c r="AF27" s="1137"/>
      <c r="AG27" s="1287"/>
      <c r="AH27" s="1282"/>
      <c r="AI27" s="1290"/>
      <c r="AJ27" s="1283"/>
      <c r="AK27" s="1283"/>
      <c r="AL27" s="1153"/>
      <c r="AM27" s="1160"/>
      <c r="AN27" s="1137"/>
      <c r="AO27" s="1137"/>
      <c r="AP27" s="1287"/>
      <c r="AQ27" s="1290"/>
      <c r="AR27" s="1289"/>
      <c r="AS27" s="1283"/>
      <c r="AT27" s="1283"/>
    </row>
    <row r="28" spans="1:46" ht="42" customHeight="1" x14ac:dyDescent="0.45">
      <c r="A28" s="1352"/>
      <c r="B28" s="692">
        <v>2</v>
      </c>
      <c r="C28" s="1155"/>
      <c r="D28" s="1156"/>
      <c r="E28" s="1156"/>
      <c r="F28" s="1157"/>
      <c r="G28" s="1150"/>
      <c r="H28" s="1150"/>
      <c r="I28" s="1176"/>
      <c r="J28" s="1170"/>
      <c r="K28" s="286"/>
      <c r="L28" s="1160"/>
      <c r="M28" s="1137"/>
      <c r="N28" s="1137"/>
      <c r="O28" s="1157"/>
      <c r="P28" s="1150"/>
      <c r="Q28" s="1150"/>
      <c r="R28" s="1150"/>
      <c r="S28" s="1170"/>
      <c r="T28" s="286"/>
      <c r="U28" s="1160"/>
      <c r="V28" s="1137"/>
      <c r="W28" s="286"/>
      <c r="X28" s="1157"/>
      <c r="Y28" s="1150"/>
      <c r="Z28" s="1137"/>
      <c r="AA28" s="1165"/>
      <c r="AB28" s="1170"/>
      <c r="AC28" s="286"/>
      <c r="AD28" s="1160"/>
      <c r="AE28" s="1137"/>
      <c r="AF28" s="1137"/>
      <c r="AG28" s="1287"/>
      <c r="AH28" s="1282"/>
      <c r="AI28" s="1290"/>
      <c r="AJ28" s="1290"/>
      <c r="AK28" s="1283"/>
      <c r="AL28" s="1153"/>
      <c r="AM28" s="1160"/>
      <c r="AN28" s="1137"/>
      <c r="AO28" s="1137"/>
      <c r="AP28" s="1287"/>
      <c r="AQ28" s="1290"/>
      <c r="AR28" s="1289"/>
      <c r="AS28" s="1283"/>
      <c r="AT28" s="1283"/>
    </row>
    <row r="29" spans="1:46" ht="48" customHeight="1" x14ac:dyDescent="0.45">
      <c r="A29" s="1351">
        <v>45883</v>
      </c>
      <c r="B29" s="692">
        <v>1</v>
      </c>
      <c r="C29" s="1155"/>
      <c r="D29" s="1156"/>
      <c r="E29" s="1156"/>
      <c r="F29" s="1157"/>
      <c r="G29" s="1150"/>
      <c r="H29" s="1140"/>
      <c r="I29" s="1176"/>
      <c r="J29" s="1170"/>
      <c r="K29" s="286"/>
      <c r="L29" s="1160"/>
      <c r="M29" s="1137"/>
      <c r="N29" s="1137"/>
      <c r="O29" s="1157"/>
      <c r="P29" s="1139"/>
      <c r="Q29" s="1150"/>
      <c r="R29" s="1150"/>
      <c r="S29" s="1170"/>
      <c r="T29" s="286"/>
      <c r="U29" s="1160"/>
      <c r="V29" s="1137"/>
      <c r="W29" s="1137"/>
      <c r="X29" s="1157"/>
      <c r="Y29" s="1150"/>
      <c r="Z29" s="1140"/>
      <c r="AA29" s="1165"/>
      <c r="AB29" s="1170"/>
      <c r="AC29" s="286"/>
      <c r="AD29" s="1160"/>
      <c r="AE29" s="1137"/>
      <c r="AF29" s="1137"/>
      <c r="AG29" s="1287"/>
      <c r="AH29" s="1282"/>
      <c r="AI29" s="1282"/>
      <c r="AJ29" s="1289"/>
      <c r="AK29" s="1283"/>
      <c r="AL29" s="1153"/>
      <c r="AM29" s="1160"/>
      <c r="AN29" s="1137"/>
      <c r="AO29" s="1137"/>
      <c r="AP29" s="1287"/>
      <c r="AQ29" s="1290"/>
      <c r="AR29" s="1282"/>
      <c r="AS29" s="1289"/>
      <c r="AT29" s="1283"/>
    </row>
    <row r="30" spans="1:46" ht="39.65" customHeight="1" x14ac:dyDescent="0.45">
      <c r="A30" s="1352"/>
      <c r="B30" s="717">
        <v>2</v>
      </c>
      <c r="C30" s="1155"/>
      <c r="D30" s="1156"/>
      <c r="E30" s="1156"/>
      <c r="F30" s="1157"/>
      <c r="G30" s="1150"/>
      <c r="H30" s="1140"/>
      <c r="I30" s="1165"/>
      <c r="J30" s="1170"/>
      <c r="K30" s="286"/>
      <c r="L30" s="1160"/>
      <c r="M30" s="1137"/>
      <c r="N30" s="1137"/>
      <c r="O30" s="1157"/>
      <c r="P30" s="1139"/>
      <c r="Q30" s="1150"/>
      <c r="R30" s="1150"/>
      <c r="S30" s="1170"/>
      <c r="T30" s="286"/>
      <c r="U30" s="1160"/>
      <c r="V30" s="1137"/>
      <c r="W30" s="1137"/>
      <c r="X30" s="1157"/>
      <c r="Y30" s="1150"/>
      <c r="Z30" s="1239"/>
      <c r="AA30" s="1300"/>
      <c r="AB30" s="1170"/>
      <c r="AC30" s="286"/>
      <c r="AD30" s="1160"/>
      <c r="AE30" s="1137"/>
      <c r="AF30" s="1137"/>
      <c r="AG30" s="1287"/>
      <c r="AH30" s="1282"/>
      <c r="AI30" s="1283"/>
      <c r="AJ30" s="1289"/>
      <c r="AK30" s="1283"/>
      <c r="AL30" s="1153"/>
      <c r="AM30" s="1160"/>
      <c r="AN30" s="1137"/>
      <c r="AO30" s="1137"/>
      <c r="AP30" s="1287"/>
      <c r="AQ30" s="1290"/>
      <c r="AR30" s="1282"/>
      <c r="AS30" s="1289"/>
      <c r="AT30" s="1290"/>
    </row>
    <row r="31" spans="1:46" ht="39.65" customHeight="1" x14ac:dyDescent="0.45">
      <c r="A31" s="1351">
        <v>45884</v>
      </c>
      <c r="B31" s="692">
        <v>1</v>
      </c>
      <c r="C31" s="1155"/>
      <c r="D31" s="1156"/>
      <c r="E31" s="1156"/>
      <c r="F31" s="1157"/>
      <c r="G31" s="1139"/>
      <c r="H31" s="1171"/>
      <c r="I31" s="1241"/>
      <c r="J31" s="1170"/>
      <c r="K31" s="286"/>
      <c r="L31" s="1160"/>
      <c r="M31" s="1137"/>
      <c r="N31" s="1137"/>
      <c r="O31" s="1157"/>
      <c r="P31" s="1128"/>
      <c r="Q31" s="1137"/>
      <c r="R31" s="1137"/>
      <c r="S31" s="1170"/>
      <c r="T31" s="286"/>
      <c r="U31" s="1160"/>
      <c r="V31" s="1137"/>
      <c r="W31" s="1137"/>
      <c r="X31" s="1157"/>
      <c r="Y31" s="1172"/>
      <c r="Z31" s="1242"/>
      <c r="AA31" s="1240"/>
      <c r="AB31" s="1179"/>
      <c r="AC31" s="286"/>
      <c r="AD31" s="1160"/>
      <c r="AE31" s="1137"/>
      <c r="AF31" s="1137"/>
      <c r="AG31" s="1287"/>
      <c r="AH31" s="1282"/>
      <c r="AI31" s="1289"/>
      <c r="AJ31" s="1289"/>
      <c r="AK31" s="1283"/>
      <c r="AL31" s="1153"/>
      <c r="AM31" s="1160"/>
      <c r="AN31" s="1137"/>
      <c r="AO31" s="1137"/>
      <c r="AP31" s="1287"/>
      <c r="AQ31" s="1289"/>
      <c r="AR31" s="1282"/>
      <c r="AS31" s="1289"/>
      <c r="AT31" s="1290"/>
    </row>
    <row r="32" spans="1:46" ht="44.25" customHeight="1" x14ac:dyDescent="0.45">
      <c r="A32" s="1352"/>
      <c r="B32" s="692">
        <v>2</v>
      </c>
      <c r="C32" s="1245"/>
      <c r="D32" s="1183"/>
      <c r="E32" s="1156"/>
      <c r="F32" s="1183"/>
      <c r="G32" s="1139"/>
      <c r="H32" s="1171"/>
      <c r="I32" s="1241"/>
      <c r="J32" s="1170"/>
      <c r="K32" s="286"/>
      <c r="L32" s="1160"/>
      <c r="M32" s="1137"/>
      <c r="N32" s="1137"/>
      <c r="O32" s="1137"/>
      <c r="P32" s="1128"/>
      <c r="Q32" s="1171"/>
      <c r="R32" s="1128"/>
      <c r="S32" s="1170"/>
      <c r="T32" s="286"/>
      <c r="U32" s="1160"/>
      <c r="V32" s="1137"/>
      <c r="W32" s="1156"/>
      <c r="X32" s="1137"/>
      <c r="Y32" s="1237"/>
      <c r="Z32" s="1246"/>
      <c r="AA32" s="1243"/>
      <c r="AB32" s="1179"/>
      <c r="AC32" s="286"/>
      <c r="AD32" s="1160"/>
      <c r="AE32" s="1137"/>
      <c r="AF32" s="1156"/>
      <c r="AG32" s="1203"/>
      <c r="AH32" s="1282"/>
      <c r="AI32" s="1283"/>
      <c r="AJ32" s="1290"/>
      <c r="AK32" s="1283"/>
      <c r="AL32" s="1153"/>
      <c r="AM32" s="1160">
        <v>56</v>
      </c>
      <c r="AN32" s="1137"/>
      <c r="AO32" s="1137"/>
      <c r="AP32" s="1287"/>
      <c r="AQ32" s="1289" t="s">
        <v>513</v>
      </c>
      <c r="AR32" s="1282"/>
      <c r="AS32" s="1283"/>
      <c r="AT32" s="1290"/>
    </row>
    <row r="33" spans="1:46" ht="43.2" customHeight="1" x14ac:dyDescent="0.45">
      <c r="A33" s="1351">
        <v>45885</v>
      </c>
      <c r="B33" s="692">
        <v>1</v>
      </c>
      <c r="C33" s="1155"/>
      <c r="D33" s="1156"/>
      <c r="E33" s="1156"/>
      <c r="F33" s="1157"/>
      <c r="G33" s="1139"/>
      <c r="H33" s="1171"/>
      <c r="I33" s="1241"/>
      <c r="J33" s="1170"/>
      <c r="K33" s="286"/>
      <c r="L33" s="1160"/>
      <c r="M33" s="1137"/>
      <c r="N33" s="1137"/>
      <c r="O33" s="1157"/>
      <c r="P33" s="1128"/>
      <c r="Q33" s="1137"/>
      <c r="R33" s="1137"/>
      <c r="S33" s="1170"/>
      <c r="T33" s="286"/>
      <c r="U33" s="1160"/>
      <c r="V33" s="1137"/>
      <c r="W33" s="1137"/>
      <c r="X33" s="1157"/>
      <c r="Y33" s="1128"/>
      <c r="Z33" s="1161"/>
      <c r="AA33" s="1243"/>
      <c r="AB33" s="1170"/>
      <c r="AC33" s="286"/>
      <c r="AD33" s="1160"/>
      <c r="AE33" s="1137"/>
      <c r="AF33" s="1137"/>
      <c r="AG33" s="1287"/>
      <c r="AH33" s="1289"/>
      <c r="AI33" s="1290"/>
      <c r="AJ33" s="1290"/>
      <c r="AK33" s="1283"/>
      <c r="AL33" s="1153"/>
      <c r="AM33" s="1160"/>
      <c r="AN33" s="1137"/>
      <c r="AO33" s="1137"/>
      <c r="AP33" s="1287"/>
      <c r="AQ33" s="1289"/>
      <c r="AR33" s="1290"/>
      <c r="AS33" s="1289"/>
      <c r="AT33" s="1290"/>
    </row>
    <row r="34" spans="1:46" ht="43.5" customHeight="1" x14ac:dyDescent="0.45">
      <c r="A34" s="1352"/>
      <c r="B34" s="717">
        <v>2</v>
      </c>
      <c r="C34" s="1156"/>
      <c r="D34" s="1156"/>
      <c r="E34" s="1156"/>
      <c r="F34" s="1157"/>
      <c r="G34" s="1158"/>
      <c r="H34" s="1150"/>
      <c r="I34" s="1165"/>
      <c r="J34" s="1170"/>
      <c r="K34" s="286"/>
      <c r="L34" s="1160"/>
      <c r="M34" s="1137"/>
      <c r="N34" s="1137"/>
      <c r="O34" s="1157"/>
      <c r="P34" s="1128"/>
      <c r="Q34" s="1150"/>
      <c r="R34" s="1137"/>
      <c r="S34" s="1170"/>
      <c r="T34" s="286"/>
      <c r="U34" s="1160"/>
      <c r="V34" s="1137"/>
      <c r="W34" s="1137">
        <v>5</v>
      </c>
      <c r="X34" s="1157"/>
      <c r="Y34" s="1152"/>
      <c r="Z34" s="1152"/>
      <c r="AA34" s="1243" t="s">
        <v>578</v>
      </c>
      <c r="AB34" s="1170"/>
      <c r="AC34" s="286"/>
      <c r="AD34" s="1160"/>
      <c r="AE34" s="1137"/>
      <c r="AF34" s="1137"/>
      <c r="AG34" s="1287"/>
      <c r="AH34" s="1289"/>
      <c r="AI34" s="1289"/>
      <c r="AJ34" s="1290"/>
      <c r="AK34" s="1283"/>
      <c r="AL34" s="1153"/>
      <c r="AM34" s="1160"/>
      <c r="AN34" s="1137"/>
      <c r="AO34" s="1137"/>
      <c r="AP34" s="1287"/>
      <c r="AQ34" s="1289"/>
      <c r="AR34" s="1290"/>
      <c r="AS34" s="1283"/>
      <c r="AT34" s="1290"/>
    </row>
    <row r="35" spans="1:46" ht="47.25" customHeight="1" x14ac:dyDescent="0.45">
      <c r="A35" s="1351">
        <v>45886</v>
      </c>
      <c r="B35" s="692">
        <v>1</v>
      </c>
      <c r="C35" s="1156"/>
      <c r="D35" s="1156"/>
      <c r="E35" s="1203"/>
      <c r="F35" s="1157"/>
      <c r="G35" s="1205"/>
      <c r="H35" s="1128"/>
      <c r="I35" s="1165"/>
      <c r="J35" s="1170"/>
      <c r="K35" s="286"/>
      <c r="L35" s="1160"/>
      <c r="M35" s="1137"/>
      <c r="N35" s="1137"/>
      <c r="O35" s="1157"/>
      <c r="P35" s="1205"/>
      <c r="Q35" s="1150"/>
      <c r="R35" s="1150"/>
      <c r="S35" s="1170"/>
      <c r="T35" s="286"/>
      <c r="U35" s="1160"/>
      <c r="V35" s="1137"/>
      <c r="W35" s="1203"/>
      <c r="X35" s="1157"/>
      <c r="Y35" s="1205"/>
      <c r="Z35" s="1152"/>
      <c r="AA35" s="1165"/>
      <c r="AB35" s="1170"/>
      <c r="AC35" s="286"/>
      <c r="AD35" s="1160"/>
      <c r="AE35" s="1137"/>
      <c r="AF35" s="1137"/>
      <c r="AG35" s="1287"/>
      <c r="AH35" s="1290"/>
      <c r="AI35" s="1289"/>
      <c r="AJ35" s="1283"/>
      <c r="AK35" s="1283"/>
      <c r="AL35" s="1153"/>
      <c r="AM35" s="1160"/>
      <c r="AN35" s="1137"/>
      <c r="AO35" s="1137"/>
      <c r="AP35" s="1287"/>
      <c r="AQ35" s="1289"/>
      <c r="AR35" s="1290"/>
      <c r="AS35" s="1290"/>
      <c r="AT35" s="1283"/>
    </row>
    <row r="36" spans="1:46" ht="46.95" customHeight="1" x14ac:dyDescent="0.45">
      <c r="A36" s="1352"/>
      <c r="B36" s="692">
        <v>2</v>
      </c>
      <c r="C36" s="1203"/>
      <c r="D36" s="1137"/>
      <c r="E36" s="1203"/>
      <c r="F36" s="1157"/>
      <c r="G36" s="1176"/>
      <c r="H36" s="1150"/>
      <c r="I36" s="1176"/>
      <c r="J36" s="1170"/>
      <c r="K36" s="286"/>
      <c r="L36" s="1205"/>
      <c r="M36" s="1137"/>
      <c r="N36" s="1137"/>
      <c r="O36" s="1157"/>
      <c r="P36" s="1205"/>
      <c r="Q36" s="1150"/>
      <c r="R36" s="1152"/>
      <c r="S36" s="1170"/>
      <c r="T36" s="286"/>
      <c r="U36" s="1160"/>
      <c r="V36" s="1137"/>
      <c r="W36" s="1137"/>
      <c r="X36" s="1157"/>
      <c r="Y36" s="1205"/>
      <c r="Z36" s="1150"/>
      <c r="AA36" s="1165"/>
      <c r="AB36" s="1170"/>
      <c r="AC36" s="286"/>
      <c r="AD36" s="1160"/>
      <c r="AE36" s="1137"/>
      <c r="AF36" s="1203"/>
      <c r="AG36" s="1287"/>
      <c r="AH36" s="1290"/>
      <c r="AI36" s="1290"/>
      <c r="AJ36" s="1290"/>
      <c r="AK36" s="1283"/>
      <c r="AL36" s="1153"/>
      <c r="AM36" s="1160"/>
      <c r="AN36" s="1137"/>
      <c r="AO36" s="1137"/>
      <c r="AP36" s="1287"/>
      <c r="AQ36" s="1289"/>
      <c r="AR36" s="1290"/>
      <c r="AS36" s="1290"/>
      <c r="AT36" s="1283"/>
    </row>
    <row r="37" spans="1:46" ht="40.5" customHeight="1" x14ac:dyDescent="0.45">
      <c r="A37" s="1351">
        <v>45887</v>
      </c>
      <c r="B37" s="717">
        <v>1</v>
      </c>
      <c r="C37" s="1203"/>
      <c r="D37" s="1156"/>
      <c r="E37" s="1203">
        <v>9</v>
      </c>
      <c r="F37" s="1157"/>
      <c r="G37" s="1176"/>
      <c r="H37" s="1149"/>
      <c r="I37" s="1141" t="s">
        <v>336</v>
      </c>
      <c r="J37" s="1170"/>
      <c r="K37" s="286"/>
      <c r="L37" s="1160"/>
      <c r="M37" s="1137"/>
      <c r="N37" s="1137"/>
      <c r="O37" s="1157"/>
      <c r="P37" s="1128"/>
      <c r="Q37" s="1150"/>
      <c r="R37" s="1137"/>
      <c r="S37" s="1170"/>
      <c r="T37" s="286"/>
      <c r="U37" s="1160"/>
      <c r="V37" s="1137"/>
      <c r="W37" s="1137"/>
      <c r="X37" s="1157"/>
      <c r="Y37" s="1128"/>
      <c r="Z37" s="1152"/>
      <c r="AA37" s="1165"/>
      <c r="AB37" s="1170"/>
      <c r="AC37" s="286"/>
      <c r="AD37" s="1160"/>
      <c r="AE37" s="1137"/>
      <c r="AF37" s="1137"/>
      <c r="AG37" s="1287"/>
      <c r="AH37" s="1290"/>
      <c r="AI37" s="1289"/>
      <c r="AJ37" s="1290"/>
      <c r="AK37" s="1283"/>
      <c r="AL37" s="1153"/>
      <c r="AM37" s="1160"/>
      <c r="AN37" s="1137"/>
      <c r="AO37" s="1137"/>
      <c r="AP37" s="1287"/>
      <c r="AQ37" s="1289"/>
      <c r="AR37" s="1290"/>
      <c r="AS37" s="1289"/>
      <c r="AT37" s="1283"/>
    </row>
    <row r="38" spans="1:46" ht="40.5" customHeight="1" x14ac:dyDescent="0.45">
      <c r="A38" s="1352"/>
      <c r="B38" s="692">
        <v>2</v>
      </c>
      <c r="C38" s="1203"/>
      <c r="D38" s="1156"/>
      <c r="E38" s="1203"/>
      <c r="F38" s="1157"/>
      <c r="G38" s="1176"/>
      <c r="H38" s="1149"/>
      <c r="I38" s="1141"/>
      <c r="J38" s="1170"/>
      <c r="K38" s="286"/>
      <c r="L38" s="1160"/>
      <c r="M38" s="1137"/>
      <c r="N38" s="1137"/>
      <c r="O38" s="1157"/>
      <c r="P38" s="1149"/>
      <c r="Q38" s="1149"/>
      <c r="R38" s="1137"/>
      <c r="S38" s="1170"/>
      <c r="T38" s="286"/>
      <c r="U38" s="1160"/>
      <c r="V38" s="1137"/>
      <c r="W38" s="1137"/>
      <c r="X38" s="1157"/>
      <c r="Y38" s="1149"/>
      <c r="Z38" s="1152"/>
      <c r="AA38" s="1165"/>
      <c r="AB38" s="1170"/>
      <c r="AC38" s="286"/>
      <c r="AD38" s="1160"/>
      <c r="AE38" s="1137"/>
      <c r="AF38" s="1137"/>
      <c r="AG38" s="1287"/>
      <c r="AH38" s="1290"/>
      <c r="AI38" s="1289"/>
      <c r="AJ38" s="1290"/>
      <c r="AK38" s="1283"/>
      <c r="AL38" s="1153"/>
      <c r="AM38" s="1160">
        <v>563</v>
      </c>
      <c r="AN38" s="1137"/>
      <c r="AO38" s="1137"/>
      <c r="AP38" s="1287"/>
      <c r="AQ38" s="1289" t="s">
        <v>1077</v>
      </c>
      <c r="AR38" s="1290"/>
      <c r="AS38" s="1290"/>
      <c r="AT38" s="1283"/>
    </row>
    <row r="39" spans="1:46" ht="42" customHeight="1" x14ac:dyDescent="0.45">
      <c r="A39" s="1351">
        <v>45888</v>
      </c>
      <c r="B39" s="692">
        <v>1</v>
      </c>
      <c r="C39" s="1203"/>
      <c r="D39" s="1156"/>
      <c r="E39" s="1156"/>
      <c r="F39" s="1157"/>
      <c r="G39" s="1176"/>
      <c r="H39" s="1149"/>
      <c r="I39" s="1141"/>
      <c r="J39" s="1170"/>
      <c r="K39" s="286"/>
      <c r="L39" s="1160"/>
      <c r="M39" s="1137"/>
      <c r="N39" s="1137"/>
      <c r="O39" s="1157"/>
      <c r="P39" s="1176"/>
      <c r="Q39" s="1150"/>
      <c r="R39" s="1137"/>
      <c r="S39" s="1170"/>
      <c r="T39" s="286"/>
      <c r="U39" s="1160"/>
      <c r="V39" s="1137"/>
      <c r="W39" s="1137">
        <v>10</v>
      </c>
      <c r="X39" s="1157"/>
      <c r="Y39" s="1128"/>
      <c r="Z39" s="1150"/>
      <c r="AA39" s="1165" t="s">
        <v>152</v>
      </c>
      <c r="AB39" s="1170"/>
      <c r="AC39" s="286"/>
      <c r="AD39" s="1160"/>
      <c r="AE39" s="1137"/>
      <c r="AF39" s="1137"/>
      <c r="AG39" s="1287"/>
      <c r="AH39" s="1283"/>
      <c r="AI39" s="1282"/>
      <c r="AJ39" s="1290"/>
      <c r="AK39" s="1283"/>
      <c r="AL39" s="1153"/>
      <c r="AM39" s="1160"/>
      <c r="AN39" s="1137">
        <v>10</v>
      </c>
      <c r="AO39" s="1137"/>
      <c r="AP39" s="1287"/>
      <c r="AQ39" s="1289"/>
      <c r="AR39" s="1290" t="s">
        <v>1123</v>
      </c>
      <c r="AS39" s="1290"/>
      <c r="AT39" s="1283"/>
    </row>
    <row r="40" spans="1:46" ht="43.5" customHeight="1" x14ac:dyDescent="0.45">
      <c r="A40" s="1352"/>
      <c r="B40" s="692">
        <v>2</v>
      </c>
      <c r="C40" s="1156"/>
      <c r="D40" s="1156">
        <v>128</v>
      </c>
      <c r="E40" s="1156"/>
      <c r="F40" s="1157"/>
      <c r="G40" s="1176"/>
      <c r="H40" s="1149" t="s">
        <v>96</v>
      </c>
      <c r="I40" s="1141"/>
      <c r="J40" s="1170"/>
      <c r="K40" s="286"/>
      <c r="L40" s="1160">
        <v>36</v>
      </c>
      <c r="M40" s="1137"/>
      <c r="N40" s="1137"/>
      <c r="O40" s="1157"/>
      <c r="P40" s="1139" t="s">
        <v>113</v>
      </c>
      <c r="Q40" s="1140"/>
      <c r="R40" s="1176"/>
      <c r="S40" s="1170"/>
      <c r="T40" s="286"/>
      <c r="U40" s="1160"/>
      <c r="V40" s="1137">
        <v>68</v>
      </c>
      <c r="W40" s="1137"/>
      <c r="X40" s="1157"/>
      <c r="Y40" s="1149"/>
      <c r="Z40" s="1137" t="s">
        <v>664</v>
      </c>
      <c r="AA40" s="1165"/>
      <c r="AB40" s="1170"/>
      <c r="AC40" s="286"/>
      <c r="AD40" s="1160"/>
      <c r="AE40" s="1137"/>
      <c r="AF40" s="1137"/>
      <c r="AG40" s="1287"/>
      <c r="AH40" s="1290"/>
      <c r="AI40" s="1283"/>
      <c r="AJ40" s="1290"/>
      <c r="AK40" s="1283"/>
      <c r="AL40" s="1153"/>
      <c r="AM40" s="1205"/>
      <c r="AN40" s="1137"/>
      <c r="AO40" s="1137"/>
      <c r="AP40" s="1287"/>
      <c r="AQ40" s="1289"/>
      <c r="AR40" s="1290"/>
      <c r="AS40" s="1283"/>
      <c r="AT40" s="1283"/>
    </row>
    <row r="41" spans="1:46" ht="39.65" customHeight="1" x14ac:dyDescent="0.45">
      <c r="A41" s="1351">
        <v>45889</v>
      </c>
      <c r="B41" s="692">
        <v>1</v>
      </c>
      <c r="C41" s="1155"/>
      <c r="D41" s="1156"/>
      <c r="E41" s="1156">
        <v>7</v>
      </c>
      <c r="F41" s="1157">
        <v>150</v>
      </c>
      <c r="G41" s="1139"/>
      <c r="H41" s="1150"/>
      <c r="I41" s="1141" t="s">
        <v>325</v>
      </c>
      <c r="J41" s="1170" t="s">
        <v>1124</v>
      </c>
      <c r="K41" s="286"/>
      <c r="L41" s="1160"/>
      <c r="M41" s="1137"/>
      <c r="N41" s="1137"/>
      <c r="O41" s="1157">
        <v>145</v>
      </c>
      <c r="P41" s="1128"/>
      <c r="Q41" s="1137"/>
      <c r="R41" s="1176"/>
      <c r="S41" s="1170" t="s">
        <v>1124</v>
      </c>
      <c r="T41" s="286"/>
      <c r="U41" s="1160"/>
      <c r="V41" s="1137">
        <v>9</v>
      </c>
      <c r="W41" s="1137"/>
      <c r="X41" s="1157">
        <v>155</v>
      </c>
      <c r="Y41" s="1128"/>
      <c r="Z41" s="1152" t="s">
        <v>664</v>
      </c>
      <c r="AA41" s="1165"/>
      <c r="AB41" s="1170" t="s">
        <v>1124</v>
      </c>
      <c r="AC41" s="286"/>
      <c r="AD41" s="1160">
        <v>15</v>
      </c>
      <c r="AE41" s="1137"/>
      <c r="AF41" s="1137"/>
      <c r="AG41" s="1287">
        <v>163</v>
      </c>
      <c r="AH41" s="1290" t="s">
        <v>113</v>
      </c>
      <c r="AI41" s="1290"/>
      <c r="AJ41" s="1289"/>
      <c r="AK41" s="1283" t="s">
        <v>1124</v>
      </c>
      <c r="AL41" s="1153"/>
      <c r="AM41" s="1160"/>
      <c r="AN41" s="1137"/>
      <c r="AO41" s="1137"/>
      <c r="AP41" s="1287">
        <v>166</v>
      </c>
      <c r="AQ41" s="1289"/>
      <c r="AR41" s="1290"/>
      <c r="AS41" s="1283"/>
      <c r="AT41" s="1283" t="s">
        <v>1124</v>
      </c>
    </row>
    <row r="42" spans="1:46" ht="52.95" customHeight="1" x14ac:dyDescent="0.45">
      <c r="A42" s="1352"/>
      <c r="B42" s="692">
        <v>2</v>
      </c>
      <c r="C42" s="1156"/>
      <c r="D42" s="1156">
        <v>8</v>
      </c>
      <c r="E42" s="1156"/>
      <c r="F42" s="1157"/>
      <c r="G42" s="1139"/>
      <c r="H42" s="1150" t="s">
        <v>866</v>
      </c>
      <c r="I42" s="1176"/>
      <c r="J42" s="1170"/>
      <c r="K42" s="286"/>
      <c r="L42" s="1160"/>
      <c r="M42" s="1137"/>
      <c r="N42" s="1137"/>
      <c r="O42" s="1157"/>
      <c r="P42" s="1128"/>
      <c r="Q42" s="1152"/>
      <c r="R42" s="1137"/>
      <c r="S42" s="1170"/>
      <c r="T42" s="286"/>
      <c r="U42" s="1160"/>
      <c r="V42" s="1137"/>
      <c r="W42" s="1137"/>
      <c r="X42" s="1157"/>
      <c r="Y42" s="1149"/>
      <c r="Z42" s="1137"/>
      <c r="AA42" s="1165"/>
      <c r="AB42" s="1170"/>
      <c r="AC42" s="286"/>
      <c r="AD42" s="1160"/>
      <c r="AE42" s="1137"/>
      <c r="AF42" s="1137">
        <v>5</v>
      </c>
      <c r="AG42" s="1287"/>
      <c r="AH42" s="1289"/>
      <c r="AI42" s="1290"/>
      <c r="AJ42" s="1289" t="s">
        <v>336</v>
      </c>
      <c r="AK42" s="1283"/>
      <c r="AL42" s="1153"/>
      <c r="AM42" s="1160"/>
      <c r="AN42" s="1137">
        <v>45</v>
      </c>
      <c r="AO42" s="1137"/>
      <c r="AP42" s="1287"/>
      <c r="AQ42" s="1289"/>
      <c r="AR42" s="1290" t="s">
        <v>1125</v>
      </c>
      <c r="AS42" s="1289"/>
      <c r="AT42" s="1283"/>
    </row>
    <row r="43" spans="1:46" ht="40.5" customHeight="1" x14ac:dyDescent="0.45">
      <c r="A43" s="1351">
        <v>45890</v>
      </c>
      <c r="B43" s="692">
        <v>1</v>
      </c>
      <c r="C43" s="1156"/>
      <c r="D43" s="1156"/>
      <c r="E43" s="1156"/>
      <c r="F43" s="1157"/>
      <c r="G43" s="1140"/>
      <c r="H43" s="1140"/>
      <c r="I43" s="1176"/>
      <c r="J43" s="1170"/>
      <c r="K43" s="286"/>
      <c r="L43" s="1160"/>
      <c r="M43" s="1137"/>
      <c r="N43" s="1137"/>
      <c r="O43" s="1157"/>
      <c r="P43" s="1128"/>
      <c r="Q43" s="1137"/>
      <c r="R43" s="1137"/>
      <c r="S43" s="1170"/>
      <c r="T43" s="286"/>
      <c r="U43" s="1160"/>
      <c r="V43" s="1137"/>
      <c r="W43" s="1137"/>
      <c r="X43" s="1157"/>
      <c r="Y43" s="1128"/>
      <c r="Z43" s="1137"/>
      <c r="AA43" s="1165"/>
      <c r="AB43" s="1170"/>
      <c r="AC43" s="286"/>
      <c r="AD43" s="1160"/>
      <c r="AE43" s="1137"/>
      <c r="AF43" s="1137"/>
      <c r="AG43" s="1287"/>
      <c r="AH43" s="1290"/>
      <c r="AI43" s="1283"/>
      <c r="AJ43" s="1289"/>
      <c r="AK43" s="1283"/>
      <c r="AL43" s="1153"/>
      <c r="AM43" s="1160"/>
      <c r="AN43" s="1137"/>
      <c r="AO43" s="1137"/>
      <c r="AP43" s="1287"/>
      <c r="AQ43" s="1290"/>
      <c r="AR43" s="1290"/>
      <c r="AS43" s="1289"/>
      <c r="AT43" s="1283"/>
    </row>
    <row r="44" spans="1:46" ht="45.75" customHeight="1" x14ac:dyDescent="0.45">
      <c r="A44" s="1352"/>
      <c r="B44" s="692">
        <v>2</v>
      </c>
      <c r="C44" s="1156"/>
      <c r="D44" s="1156"/>
      <c r="E44" s="1156">
        <v>10</v>
      </c>
      <c r="F44" s="1157"/>
      <c r="G44" s="1140"/>
      <c r="H44" s="1149"/>
      <c r="I44" s="1176" t="s">
        <v>152</v>
      </c>
      <c r="J44" s="1170"/>
      <c r="K44" s="286"/>
      <c r="L44" s="1160"/>
      <c r="M44" s="1137"/>
      <c r="N44" s="1137"/>
      <c r="O44" s="1148"/>
      <c r="P44" s="1149"/>
      <c r="Q44" s="1137"/>
      <c r="R44" s="1152"/>
      <c r="S44" s="1170"/>
      <c r="T44" s="286"/>
      <c r="U44" s="1160"/>
      <c r="V44" s="1137"/>
      <c r="W44" s="1156">
        <v>15</v>
      </c>
      <c r="X44" s="1157"/>
      <c r="Y44" s="1140"/>
      <c r="Z44" s="1150"/>
      <c r="AA44" s="1165" t="s">
        <v>152</v>
      </c>
      <c r="AB44" s="1170"/>
      <c r="AC44" s="286"/>
      <c r="AD44" s="1160"/>
      <c r="AE44" s="1137"/>
      <c r="AF44" s="1137"/>
      <c r="AG44" s="1203"/>
      <c r="AH44" s="1289"/>
      <c r="AI44" s="1290"/>
      <c r="AJ44" s="1290"/>
      <c r="AK44" s="1283"/>
      <c r="AL44" s="1153"/>
      <c r="AM44" s="1160"/>
      <c r="AN44" s="1137"/>
      <c r="AO44" s="1137"/>
      <c r="AP44" s="1203"/>
      <c r="AQ44" s="1289"/>
      <c r="AR44" s="1290"/>
      <c r="AS44" s="1290"/>
      <c r="AT44" s="1283"/>
    </row>
    <row r="45" spans="1:46" ht="48.75" customHeight="1" x14ac:dyDescent="0.45">
      <c r="A45" s="1351">
        <v>45891</v>
      </c>
      <c r="B45" s="692">
        <v>1</v>
      </c>
      <c r="C45" s="1156"/>
      <c r="D45" s="1156"/>
      <c r="E45" s="1156"/>
      <c r="F45" s="1157">
        <v>101</v>
      </c>
      <c r="G45" s="1140"/>
      <c r="H45" s="1140"/>
      <c r="I45" s="1176"/>
      <c r="J45" s="1170" t="s">
        <v>1126</v>
      </c>
      <c r="K45" s="286"/>
      <c r="L45" s="1160"/>
      <c r="M45" s="1137"/>
      <c r="N45" s="1137"/>
      <c r="O45" s="1148">
        <v>93</v>
      </c>
      <c r="P45" s="1128"/>
      <c r="Q45" s="1152" t="s">
        <v>1126</v>
      </c>
      <c r="R45" s="1137"/>
      <c r="S45" s="1170" t="s">
        <v>1126</v>
      </c>
      <c r="T45" s="286"/>
      <c r="U45" s="1160"/>
      <c r="V45" s="1152"/>
      <c r="W45" s="1137"/>
      <c r="X45" s="1157">
        <v>104</v>
      </c>
      <c r="Y45" s="1128"/>
      <c r="Z45" s="1152"/>
      <c r="AA45" s="1165"/>
      <c r="AB45" s="1170" t="s">
        <v>1126</v>
      </c>
      <c r="AC45" s="286"/>
      <c r="AD45" s="1160"/>
      <c r="AE45" s="1137"/>
      <c r="AF45" s="1137">
        <v>7</v>
      </c>
      <c r="AG45" s="1203">
        <v>105</v>
      </c>
      <c r="AH45" s="1289"/>
      <c r="AI45" s="1290"/>
      <c r="AJ45" s="1290" t="s">
        <v>336</v>
      </c>
      <c r="AK45" s="1283" t="s">
        <v>1126</v>
      </c>
      <c r="AL45" s="1153"/>
      <c r="AM45" s="1160"/>
      <c r="AN45" s="1137"/>
      <c r="AO45" s="1137"/>
      <c r="AP45" s="1203">
        <v>98</v>
      </c>
      <c r="AQ45" s="1289"/>
      <c r="AR45" s="1290"/>
      <c r="AS45" s="1289"/>
      <c r="AT45" s="1283" t="s">
        <v>1126</v>
      </c>
    </row>
    <row r="46" spans="1:46" ht="48.65" customHeight="1" x14ac:dyDescent="0.45">
      <c r="A46" s="1352"/>
      <c r="B46" s="692">
        <v>2</v>
      </c>
      <c r="C46" s="1156"/>
      <c r="D46" s="1156"/>
      <c r="E46" s="1156"/>
      <c r="F46" s="1157"/>
      <c r="G46" s="1140"/>
      <c r="H46" s="1140"/>
      <c r="I46" s="1176"/>
      <c r="J46" s="1170"/>
      <c r="K46" s="286"/>
      <c r="L46" s="1160"/>
      <c r="M46" s="1137"/>
      <c r="N46" s="1137"/>
      <c r="O46" s="1001"/>
      <c r="P46" s="1128"/>
      <c r="Q46" s="1150"/>
      <c r="R46" s="1152"/>
      <c r="S46" s="1170"/>
      <c r="T46" s="286"/>
      <c r="U46" s="1160"/>
      <c r="V46" s="1137"/>
      <c r="W46" s="1137"/>
      <c r="X46" s="1148"/>
      <c r="Y46" s="1137"/>
      <c r="Z46" s="1137"/>
      <c r="AA46" s="1152"/>
      <c r="AB46" s="1170"/>
      <c r="AC46" s="286"/>
      <c r="AD46" s="1160"/>
      <c r="AE46" s="1137"/>
      <c r="AF46" s="1137"/>
      <c r="AG46" s="1203"/>
      <c r="AH46" s="1290"/>
      <c r="AI46" s="1290"/>
      <c r="AJ46" s="1290"/>
      <c r="AK46" s="1283"/>
      <c r="AL46" s="1153"/>
      <c r="AM46" s="1160"/>
      <c r="AN46" s="1137"/>
      <c r="AO46" s="1137"/>
      <c r="AP46" s="1203"/>
      <c r="AQ46" s="1289"/>
      <c r="AR46" s="1283"/>
      <c r="AS46" s="1290"/>
      <c r="AT46" s="1283"/>
    </row>
    <row r="47" spans="1:46" ht="43.5" customHeight="1" x14ac:dyDescent="0.45">
      <c r="A47" s="1351">
        <v>45892</v>
      </c>
      <c r="B47" s="692">
        <v>1</v>
      </c>
      <c r="C47" s="1156"/>
      <c r="D47" s="1156"/>
      <c r="E47" s="1156">
        <v>7</v>
      </c>
      <c r="F47" s="1157"/>
      <c r="G47" s="1140"/>
      <c r="H47" s="1150"/>
      <c r="I47" s="1176" t="s">
        <v>388</v>
      </c>
      <c r="J47" s="1159"/>
      <c r="K47" s="286"/>
      <c r="L47" s="1160"/>
      <c r="M47" s="1137"/>
      <c r="N47" s="1137"/>
      <c r="O47" s="1148"/>
      <c r="P47" s="1128"/>
      <c r="Q47" s="1137"/>
      <c r="R47" s="1137"/>
      <c r="S47" s="1170"/>
      <c r="T47" s="286"/>
      <c r="U47" s="1160"/>
      <c r="V47" s="1137"/>
      <c r="W47" s="1137">
        <v>11</v>
      </c>
      <c r="X47" s="1148"/>
      <c r="Y47" s="1140"/>
      <c r="Z47" s="1152"/>
      <c r="AA47" s="1152" t="s">
        <v>388</v>
      </c>
      <c r="AB47" s="1170"/>
      <c r="AC47" s="286"/>
      <c r="AD47" s="1160"/>
      <c r="AE47" s="1137"/>
      <c r="AF47" s="1137"/>
      <c r="AG47" s="1203"/>
      <c r="AH47" s="1290"/>
      <c r="AI47" s="1283"/>
      <c r="AJ47" s="1283"/>
      <c r="AK47" s="1289"/>
      <c r="AL47" s="1153"/>
      <c r="AM47" s="1160">
        <v>15</v>
      </c>
      <c r="AN47" s="1137"/>
      <c r="AO47" s="1137"/>
      <c r="AP47" s="1203"/>
      <c r="AQ47" s="1289" t="s">
        <v>1093</v>
      </c>
      <c r="AR47" s="1283"/>
      <c r="AS47" s="1290"/>
      <c r="AT47" s="1283"/>
    </row>
    <row r="48" spans="1:46" ht="34.950000000000003" customHeight="1" x14ac:dyDescent="0.45">
      <c r="A48" s="1352"/>
      <c r="B48" s="692">
        <v>2</v>
      </c>
      <c r="C48" s="1156">
        <v>5</v>
      </c>
      <c r="D48" s="1156"/>
      <c r="E48" s="1156"/>
      <c r="F48" s="1157"/>
      <c r="G48" s="1150" t="s">
        <v>743</v>
      </c>
      <c r="H48" s="1150"/>
      <c r="I48" s="1141"/>
      <c r="J48" s="1170"/>
      <c r="K48" s="286"/>
      <c r="L48" s="1160"/>
      <c r="M48" s="1137"/>
      <c r="N48" s="1137"/>
      <c r="O48" s="1157"/>
      <c r="P48" s="1150"/>
      <c r="Q48" s="1150"/>
      <c r="R48" s="1176"/>
      <c r="S48" s="1170"/>
      <c r="T48" s="286"/>
      <c r="U48" s="1160"/>
      <c r="V48" s="1137"/>
      <c r="W48" s="1137">
        <v>7</v>
      </c>
      <c r="X48" s="1157"/>
      <c r="Y48" s="1150"/>
      <c r="Z48" s="1150"/>
      <c r="AA48" s="1176" t="s">
        <v>388</v>
      </c>
      <c r="AB48" s="1170"/>
      <c r="AC48" s="286"/>
      <c r="AD48" s="1160"/>
      <c r="AE48" s="1137"/>
      <c r="AF48" s="1137"/>
      <c r="AG48" s="1287"/>
      <c r="AH48" s="1290"/>
      <c r="AI48" s="1283"/>
      <c r="AJ48" s="1283"/>
      <c r="AK48" s="1283"/>
      <c r="AL48" s="1153"/>
      <c r="AM48" s="1160"/>
      <c r="AN48" s="1192"/>
      <c r="AO48" s="1128">
        <v>84</v>
      </c>
      <c r="AP48" s="1203"/>
      <c r="AQ48" s="1301"/>
      <c r="AR48" s="1283"/>
      <c r="AS48" s="1290" t="s">
        <v>1130</v>
      </c>
      <c r="AT48" s="1283"/>
    </row>
    <row r="49" spans="1:46" ht="43.2" customHeight="1" x14ac:dyDescent="0.45">
      <c r="A49" s="1351">
        <v>45893</v>
      </c>
      <c r="B49" s="692">
        <v>1</v>
      </c>
      <c r="C49" s="1156"/>
      <c r="D49" s="1156"/>
      <c r="E49" s="1156"/>
      <c r="F49" s="1157"/>
      <c r="G49" s="1140"/>
      <c r="H49" s="1140"/>
      <c r="I49" s="1141"/>
      <c r="J49" s="1170"/>
      <c r="K49" s="286"/>
      <c r="L49" s="1160"/>
      <c r="M49" s="1137"/>
      <c r="N49" s="1137"/>
      <c r="O49" s="1157"/>
      <c r="P49" s="1150"/>
      <c r="Q49" s="1140"/>
      <c r="R49" s="1176"/>
      <c r="S49" s="1170"/>
      <c r="T49" s="286"/>
      <c r="U49" s="1160"/>
      <c r="V49" s="1137"/>
      <c r="W49" s="1137"/>
      <c r="X49" s="1157"/>
      <c r="Y49" s="1150"/>
      <c r="Z49" s="1152"/>
      <c r="AA49" s="1176"/>
      <c r="AB49" s="1170"/>
      <c r="AC49" s="286"/>
      <c r="AD49" s="1160"/>
      <c r="AE49" s="1137"/>
      <c r="AF49" s="1137"/>
      <c r="AG49" s="1287"/>
      <c r="AH49" s="1290"/>
      <c r="AI49" s="1282"/>
      <c r="AJ49" s="1283"/>
      <c r="AK49" s="1283"/>
      <c r="AL49" s="1153"/>
      <c r="AM49" s="1160"/>
      <c r="AN49" s="1192"/>
      <c r="AO49" s="1128"/>
      <c r="AP49" s="1203"/>
      <c r="AQ49" s="1282"/>
      <c r="AR49" s="1283"/>
      <c r="AS49" s="1283"/>
      <c r="AT49" s="1283"/>
    </row>
    <row r="50" spans="1:46" ht="51.65" customHeight="1" x14ac:dyDescent="0.45">
      <c r="A50" s="1352"/>
      <c r="B50" s="692">
        <v>2</v>
      </c>
      <c r="C50" s="1156"/>
      <c r="D50" s="1156"/>
      <c r="E50" s="1156">
        <v>51</v>
      </c>
      <c r="F50" s="1157"/>
      <c r="G50" s="1140"/>
      <c r="H50" s="1140"/>
      <c r="I50" s="1141" t="s">
        <v>1127</v>
      </c>
      <c r="J50" s="1170"/>
      <c r="K50" s="286"/>
      <c r="L50" s="1160"/>
      <c r="M50" s="1137"/>
      <c r="N50" s="1137"/>
      <c r="O50" s="1157"/>
      <c r="P50" s="1140"/>
      <c r="Q50" s="1140"/>
      <c r="R50" s="1176"/>
      <c r="S50" s="1170"/>
      <c r="T50" s="286"/>
      <c r="U50" s="1160"/>
      <c r="V50" s="1137"/>
      <c r="W50" s="1137">
        <v>41</v>
      </c>
      <c r="X50" s="1157"/>
      <c r="Y50" s="1140"/>
      <c r="Z50" s="1140"/>
      <c r="AA50" s="1176" t="s">
        <v>1127</v>
      </c>
      <c r="AB50" s="1170"/>
      <c r="AC50" s="286"/>
      <c r="AD50" s="1160"/>
      <c r="AE50" s="1137"/>
      <c r="AF50" s="1137"/>
      <c r="AG50" s="1287"/>
      <c r="AH50" s="1290"/>
      <c r="AI50" s="1282"/>
      <c r="AJ50" s="1283"/>
      <c r="AK50" s="1283"/>
      <c r="AL50" s="1153"/>
      <c r="AM50" s="1160"/>
      <c r="AN50" s="1192"/>
      <c r="AO50" s="1137"/>
      <c r="AP50" s="1203"/>
      <c r="AQ50" s="1282"/>
      <c r="AR50" s="1283"/>
      <c r="AS50" s="1283"/>
      <c r="AT50" s="1283"/>
    </row>
    <row r="51" spans="1:46" ht="34.950000000000003" customHeight="1" x14ac:dyDescent="0.45">
      <c r="A51" s="1351">
        <v>45894</v>
      </c>
      <c r="B51" s="692">
        <v>1</v>
      </c>
      <c r="C51" s="1156"/>
      <c r="D51" s="1156"/>
      <c r="E51" s="1156"/>
      <c r="F51" s="1157"/>
      <c r="G51" s="1140"/>
      <c r="H51" s="1140"/>
      <c r="I51" s="1141"/>
      <c r="J51" s="1170"/>
      <c r="K51" s="286"/>
      <c r="L51" s="1160"/>
      <c r="M51" s="1137"/>
      <c r="N51" s="1137"/>
      <c r="O51" s="1157"/>
      <c r="P51" s="1140"/>
      <c r="Q51" s="1140"/>
      <c r="R51" s="1176"/>
      <c r="S51" s="1170"/>
      <c r="T51" s="286"/>
      <c r="U51" s="1160"/>
      <c r="V51" s="1137"/>
      <c r="W51" s="1137">
        <v>13</v>
      </c>
      <c r="X51" s="1157"/>
      <c r="Y51" s="1140"/>
      <c r="Z51" s="1140"/>
      <c r="AA51" s="1176" t="s">
        <v>152</v>
      </c>
      <c r="AB51" s="1170"/>
      <c r="AC51" s="286"/>
      <c r="AD51" s="1160"/>
      <c r="AE51" s="1137"/>
      <c r="AF51" s="1137"/>
      <c r="AG51" s="1287"/>
      <c r="AH51" s="1282"/>
      <c r="AI51" s="1282"/>
      <c r="AJ51" s="1283"/>
      <c r="AK51" s="1283"/>
      <c r="AL51" s="1153"/>
      <c r="AM51" s="1160"/>
      <c r="AN51" s="1192"/>
      <c r="AO51" s="1168"/>
      <c r="AP51" s="1203"/>
      <c r="AQ51" s="1282"/>
      <c r="AR51" s="1283"/>
      <c r="AS51" s="1283"/>
      <c r="AT51" s="1283"/>
    </row>
    <row r="52" spans="1:46" ht="49.2" customHeight="1" x14ac:dyDescent="0.45">
      <c r="A52" s="1352"/>
      <c r="B52" s="692">
        <v>2</v>
      </c>
      <c r="C52" s="1156"/>
      <c r="D52" s="1156"/>
      <c r="E52" s="1156"/>
      <c r="F52" s="1157"/>
      <c r="G52" s="1150"/>
      <c r="H52" s="1150"/>
      <c r="I52" s="1141"/>
      <c r="J52" s="1170"/>
      <c r="K52" s="286"/>
      <c r="L52" s="1160"/>
      <c r="M52" s="1137"/>
      <c r="N52" s="1137"/>
      <c r="O52" s="1157"/>
      <c r="P52" s="1150"/>
      <c r="Q52" s="1150"/>
      <c r="R52" s="1176"/>
      <c r="S52" s="1170"/>
      <c r="T52" s="286"/>
      <c r="U52" s="1160"/>
      <c r="V52" s="1137"/>
      <c r="W52" s="1137"/>
      <c r="X52" s="1157"/>
      <c r="Y52" s="1150"/>
      <c r="Z52" s="1150"/>
      <c r="AA52" s="1176"/>
      <c r="AB52" s="1170"/>
      <c r="AC52" s="286"/>
      <c r="AD52" s="1160"/>
      <c r="AE52" s="1137"/>
      <c r="AF52" s="1137"/>
      <c r="AG52" s="1287"/>
      <c r="AH52" s="1283"/>
      <c r="AI52" s="1283"/>
      <c r="AJ52" s="1283"/>
      <c r="AK52" s="1283"/>
      <c r="AL52" s="1153"/>
      <c r="AM52" s="1160"/>
      <c r="AN52" s="1203"/>
      <c r="AO52" s="1173"/>
      <c r="AP52" s="1203"/>
      <c r="AQ52" s="1289"/>
      <c r="AR52" s="1283"/>
      <c r="AS52" s="1283"/>
      <c r="AT52" s="1283"/>
    </row>
    <row r="53" spans="1:46" ht="48" customHeight="1" x14ac:dyDescent="0.45">
      <c r="A53" s="1351">
        <v>45895</v>
      </c>
      <c r="B53" s="692">
        <v>1</v>
      </c>
      <c r="C53" s="1156"/>
      <c r="D53" s="1156"/>
      <c r="E53" s="1156"/>
      <c r="F53" s="1157"/>
      <c r="G53" s="1140"/>
      <c r="H53" s="1140"/>
      <c r="I53" s="1141"/>
      <c r="J53" s="1170"/>
      <c r="K53" s="286"/>
      <c r="L53" s="1160"/>
      <c r="M53" s="1137"/>
      <c r="N53" s="1137"/>
      <c r="O53" s="1148"/>
      <c r="P53" s="1149"/>
      <c r="Q53" s="1150"/>
      <c r="R53" s="1137"/>
      <c r="S53" s="1170"/>
      <c r="T53" s="286"/>
      <c r="U53" s="1160"/>
      <c r="V53" s="1137"/>
      <c r="W53" s="1137">
        <v>5</v>
      </c>
      <c r="X53" s="1148"/>
      <c r="Y53" s="1149"/>
      <c r="Z53" s="1137"/>
      <c r="AA53" s="1165" t="s">
        <v>578</v>
      </c>
      <c r="AB53" s="1148"/>
      <c r="AC53" s="286"/>
      <c r="AD53" s="1160"/>
      <c r="AE53" s="1152"/>
      <c r="AF53" s="1137"/>
      <c r="AG53" s="1203"/>
      <c r="AH53" s="1289"/>
      <c r="AI53" s="1289"/>
      <c r="AJ53" s="1290"/>
      <c r="AK53" s="1289"/>
      <c r="AL53" s="1153"/>
      <c r="AM53" s="1160"/>
      <c r="AN53" s="1184"/>
      <c r="AO53" s="1188"/>
      <c r="AP53" s="1203"/>
      <c r="AQ53" s="1290"/>
      <c r="AR53" s="1283"/>
      <c r="AS53" s="1289"/>
      <c r="AT53" s="1283"/>
    </row>
    <row r="54" spans="1:46" ht="45.65" customHeight="1" x14ac:dyDescent="0.45">
      <c r="A54" s="1352"/>
      <c r="B54" s="725">
        <v>2</v>
      </c>
      <c r="C54" s="1156"/>
      <c r="D54" s="1156"/>
      <c r="E54" s="1156"/>
      <c r="F54" s="1157"/>
      <c r="G54" s="1140"/>
      <c r="H54" s="1150"/>
      <c r="I54" s="1141"/>
      <c r="J54" s="1170"/>
      <c r="K54" s="286"/>
      <c r="L54" s="1160"/>
      <c r="M54" s="1137"/>
      <c r="N54" s="1137"/>
      <c r="O54" s="1157"/>
      <c r="P54" s="1140"/>
      <c r="Q54" s="1150"/>
      <c r="R54" s="1140"/>
      <c r="S54" s="1170"/>
      <c r="T54" s="286"/>
      <c r="U54" s="1160"/>
      <c r="V54" s="1137"/>
      <c r="W54" s="1137"/>
      <c r="X54" s="1157"/>
      <c r="Y54" s="1150"/>
      <c r="Z54" s="1150"/>
      <c r="AA54" s="1165"/>
      <c r="AB54" s="1170"/>
      <c r="AC54" s="286"/>
      <c r="AD54" s="1160"/>
      <c r="AE54" s="1137"/>
      <c r="AF54" s="1137"/>
      <c r="AG54" s="1203"/>
      <c r="AH54" s="1289"/>
      <c r="AI54" s="1283"/>
      <c r="AJ54" s="1290"/>
      <c r="AK54" s="1283"/>
      <c r="AL54" s="1153"/>
      <c r="AM54" s="1160"/>
      <c r="AN54" s="1184"/>
      <c r="AO54" s="1161"/>
      <c r="AP54" s="1203"/>
      <c r="AQ54" s="1290"/>
      <c r="AR54" s="1283"/>
      <c r="AS54" s="1283"/>
      <c r="AT54" s="1283"/>
    </row>
    <row r="55" spans="1:46" ht="39.65" customHeight="1" x14ac:dyDescent="0.45">
      <c r="A55" s="1351">
        <v>45896</v>
      </c>
      <c r="B55" s="692">
        <v>1</v>
      </c>
      <c r="C55" s="1155"/>
      <c r="D55" s="1156"/>
      <c r="E55" s="1156"/>
      <c r="F55" s="1157"/>
      <c r="G55" s="1140"/>
      <c r="H55" s="1140"/>
      <c r="I55" s="1141"/>
      <c r="J55" s="1148"/>
      <c r="K55" s="286"/>
      <c r="L55" s="1160"/>
      <c r="M55" s="1137"/>
      <c r="N55" s="1137"/>
      <c r="O55" s="1148"/>
      <c r="P55" s="1128"/>
      <c r="Q55" s="1150"/>
      <c r="R55" s="1137"/>
      <c r="S55" s="1148"/>
      <c r="T55" s="286"/>
      <c r="U55" s="1160"/>
      <c r="V55" s="1137"/>
      <c r="W55" s="1137">
        <v>10</v>
      </c>
      <c r="X55" s="1148"/>
      <c r="Y55" s="1128"/>
      <c r="Z55" s="1140"/>
      <c r="AA55" s="1165" t="s">
        <v>152</v>
      </c>
      <c r="AB55" s="1148"/>
      <c r="AC55" s="286"/>
      <c r="AD55" s="1160"/>
      <c r="AE55" s="1137"/>
      <c r="AF55" s="1137"/>
      <c r="AG55" s="1203"/>
      <c r="AH55" s="1289"/>
      <c r="AI55" s="1283"/>
      <c r="AJ55" s="1290"/>
      <c r="AK55" s="1289"/>
      <c r="AL55" s="1153"/>
      <c r="AM55" s="1160"/>
      <c r="AN55" s="1184"/>
      <c r="AO55" s="1137"/>
      <c r="AP55" s="1203"/>
      <c r="AQ55" s="1289"/>
      <c r="AR55" s="1283"/>
      <c r="AS55" s="1283"/>
      <c r="AT55" s="1283"/>
    </row>
    <row r="56" spans="1:46" ht="47.25" customHeight="1" x14ac:dyDescent="0.45">
      <c r="A56" s="1352"/>
      <c r="B56" s="725">
        <v>2</v>
      </c>
      <c r="C56" s="1155"/>
      <c r="D56" s="1156"/>
      <c r="E56" s="1156"/>
      <c r="F56" s="1157"/>
      <c r="G56" s="1150"/>
      <c r="H56" s="1150"/>
      <c r="I56" s="1141"/>
      <c r="J56" s="1170"/>
      <c r="K56" s="286"/>
      <c r="L56" s="1160"/>
      <c r="M56" s="1137"/>
      <c r="N56" s="1137"/>
      <c r="O56" s="1157"/>
      <c r="P56" s="1150"/>
      <c r="Q56" s="1140"/>
      <c r="R56" s="1150"/>
      <c r="S56" s="1170"/>
      <c r="T56" s="286"/>
      <c r="U56" s="1160"/>
      <c r="V56" s="1137"/>
      <c r="W56" s="1137"/>
      <c r="X56" s="1157"/>
      <c r="Y56" s="1149"/>
      <c r="Z56" s="1140"/>
      <c r="AA56" s="1165"/>
      <c r="AB56" s="1170"/>
      <c r="AC56" s="286"/>
      <c r="AD56" s="1160"/>
      <c r="AE56" s="1137"/>
      <c r="AF56" s="1137"/>
      <c r="AG56" s="1287"/>
      <c r="AH56" s="1283"/>
      <c r="AI56" s="1282"/>
      <c r="AJ56" s="1283"/>
      <c r="AK56" s="1283"/>
      <c r="AL56" s="1153"/>
      <c r="AM56" s="1160"/>
      <c r="AN56" s="1184"/>
      <c r="AO56" s="1137"/>
      <c r="AP56" s="1203"/>
      <c r="AQ56" s="1283"/>
      <c r="AR56" s="1283"/>
      <c r="AS56" s="1289"/>
      <c r="AT56" s="1283"/>
    </row>
    <row r="57" spans="1:46" ht="47.25" customHeight="1" x14ac:dyDescent="0.45">
      <c r="A57" s="1519">
        <v>45897</v>
      </c>
      <c r="B57" s="725">
        <v>1</v>
      </c>
      <c r="C57" s="1155"/>
      <c r="D57" s="1156"/>
      <c r="E57" s="1156"/>
      <c r="F57" s="1157"/>
      <c r="G57" s="1150"/>
      <c r="H57" s="1150"/>
      <c r="I57" s="1141"/>
      <c r="J57" s="1170"/>
      <c r="K57" s="286"/>
      <c r="L57" s="1160"/>
      <c r="M57" s="1137"/>
      <c r="N57" s="1137"/>
      <c r="O57" s="1157"/>
      <c r="P57" s="1150"/>
      <c r="Q57" s="1140"/>
      <c r="R57" s="1150"/>
      <c r="S57" s="1170"/>
      <c r="T57" s="286"/>
      <c r="U57" s="1160"/>
      <c r="V57" s="1137"/>
      <c r="W57" s="1137"/>
      <c r="X57" s="1157"/>
      <c r="Y57" s="1149"/>
      <c r="Z57" s="1140"/>
      <c r="AA57" s="1165"/>
      <c r="AB57" s="1170"/>
      <c r="AC57" s="286"/>
      <c r="AD57" s="1160"/>
      <c r="AE57" s="1137"/>
      <c r="AF57" s="1137">
        <v>7</v>
      </c>
      <c r="AG57" s="1287"/>
      <c r="AH57" s="1283"/>
      <c r="AI57" s="1282"/>
      <c r="AJ57" s="1283" t="s">
        <v>336</v>
      </c>
      <c r="AK57" s="1283"/>
      <c r="AL57" s="1153"/>
      <c r="AM57" s="1160"/>
      <c r="AN57" s="1184"/>
      <c r="AO57" s="1137"/>
      <c r="AP57" s="1203"/>
      <c r="AQ57" s="1283"/>
      <c r="AR57" s="1283"/>
      <c r="AS57" s="1289"/>
      <c r="AT57" s="1283"/>
    </row>
    <row r="58" spans="1:46" ht="47.25" customHeight="1" x14ac:dyDescent="0.45">
      <c r="A58" s="1545"/>
      <c r="B58" s="725">
        <v>2</v>
      </c>
      <c r="C58" s="1155"/>
      <c r="D58" s="1156"/>
      <c r="E58" s="1156">
        <v>10</v>
      </c>
      <c r="F58" s="1157"/>
      <c r="G58" s="1150"/>
      <c r="H58" s="1150"/>
      <c r="I58" s="1141" t="s">
        <v>152</v>
      </c>
      <c r="J58" s="1170"/>
      <c r="K58" s="286"/>
      <c r="L58" s="1160"/>
      <c r="M58" s="1137"/>
      <c r="N58" s="1137"/>
      <c r="O58" s="1157"/>
      <c r="P58" s="1150"/>
      <c r="Q58" s="1140"/>
      <c r="R58" s="1150"/>
      <c r="S58" s="1170"/>
      <c r="T58" s="286"/>
      <c r="U58" s="1160"/>
      <c r="V58" s="1137"/>
      <c r="W58" s="1137">
        <v>7</v>
      </c>
      <c r="X58" s="1157"/>
      <c r="Y58" s="1149"/>
      <c r="Z58" s="1140"/>
      <c r="AA58" s="1165" t="s">
        <v>388</v>
      </c>
      <c r="AB58" s="1170"/>
      <c r="AC58" s="286"/>
      <c r="AD58" s="1160"/>
      <c r="AE58" s="1137"/>
      <c r="AF58" s="1137"/>
      <c r="AG58" s="1287"/>
      <c r="AH58" s="1283"/>
      <c r="AI58" s="1282"/>
      <c r="AJ58" s="1283"/>
      <c r="AK58" s="1283"/>
      <c r="AL58" s="1153"/>
      <c r="AM58" s="1160"/>
      <c r="AN58" s="1184"/>
      <c r="AO58" s="1137"/>
      <c r="AP58" s="1203"/>
      <c r="AQ58" s="1283"/>
      <c r="AR58" s="1283"/>
      <c r="AS58" s="1289"/>
      <c r="AT58" s="1283"/>
    </row>
    <row r="59" spans="1:46" ht="47.25" customHeight="1" x14ac:dyDescent="0.45">
      <c r="A59" s="1519">
        <v>45898</v>
      </c>
      <c r="B59" s="725">
        <v>1</v>
      </c>
      <c r="C59" s="1155"/>
      <c r="D59" s="1156"/>
      <c r="E59" s="1156"/>
      <c r="F59" s="1157"/>
      <c r="G59" s="1150"/>
      <c r="H59" s="1150"/>
      <c r="I59" s="1141"/>
      <c r="J59" s="1170"/>
      <c r="K59" s="286"/>
      <c r="L59" s="1160"/>
      <c r="M59" s="1137"/>
      <c r="N59" s="1137"/>
      <c r="O59" s="1157"/>
      <c r="P59" s="1150"/>
      <c r="Q59" s="1140"/>
      <c r="R59" s="1150"/>
      <c r="S59" s="1170"/>
      <c r="T59" s="286"/>
      <c r="U59" s="1160"/>
      <c r="V59" s="1137"/>
      <c r="W59" s="1137"/>
      <c r="X59" s="1157"/>
      <c r="Y59" s="1149"/>
      <c r="Z59" s="1140"/>
      <c r="AA59" s="1165"/>
      <c r="AB59" s="1170"/>
      <c r="AC59" s="286"/>
      <c r="AD59" s="1160"/>
      <c r="AE59" s="1137"/>
      <c r="AF59" s="1137"/>
      <c r="AG59" s="1287"/>
      <c r="AH59" s="1283"/>
      <c r="AI59" s="1282"/>
      <c r="AJ59" s="1283"/>
      <c r="AK59" s="1283"/>
      <c r="AL59" s="1153"/>
      <c r="AM59" s="1160"/>
      <c r="AN59" s="1184"/>
      <c r="AO59" s="1137"/>
      <c r="AP59" s="1203"/>
      <c r="AQ59" s="1283"/>
      <c r="AR59" s="1283"/>
      <c r="AS59" s="1289"/>
      <c r="AT59" s="1283"/>
    </row>
    <row r="60" spans="1:46" ht="47.25" customHeight="1" x14ac:dyDescent="0.45">
      <c r="A60" s="1545"/>
      <c r="B60" s="725">
        <v>2</v>
      </c>
      <c r="C60" s="1155"/>
      <c r="D60" s="1156"/>
      <c r="E60" s="1156">
        <v>5</v>
      </c>
      <c r="F60" s="1157">
        <v>80</v>
      </c>
      <c r="G60" s="1150"/>
      <c r="H60" s="1150"/>
      <c r="I60" s="1141" t="s">
        <v>152</v>
      </c>
      <c r="J60" s="1170" t="s">
        <v>1128</v>
      </c>
      <c r="K60" s="286"/>
      <c r="L60" s="1160"/>
      <c r="M60" s="1137"/>
      <c r="N60" s="1137"/>
      <c r="O60" s="1157">
        <v>87</v>
      </c>
      <c r="P60" s="1150"/>
      <c r="Q60" s="1140"/>
      <c r="R60" s="1150"/>
      <c r="S60" s="1170" t="s">
        <v>1128</v>
      </c>
      <c r="T60" s="286"/>
      <c r="U60" s="1160"/>
      <c r="V60" s="1137"/>
      <c r="W60" s="1137"/>
      <c r="X60" s="1157">
        <v>84</v>
      </c>
      <c r="Y60" s="1149"/>
      <c r="Z60" s="1140"/>
      <c r="AA60" s="1165"/>
      <c r="AB60" s="1170" t="s">
        <v>1128</v>
      </c>
      <c r="AC60" s="286"/>
      <c r="AD60" s="1160"/>
      <c r="AE60" s="1137">
        <v>24</v>
      </c>
      <c r="AF60" s="1137">
        <v>129</v>
      </c>
      <c r="AG60" s="1287"/>
      <c r="AH60" s="1283"/>
      <c r="AI60" s="1282" t="s">
        <v>866</v>
      </c>
      <c r="AJ60" s="1283" t="s">
        <v>1129</v>
      </c>
      <c r="AK60" s="1283"/>
      <c r="AL60" s="1153"/>
      <c r="AM60" s="1160"/>
      <c r="AN60" s="1184"/>
      <c r="AO60" s="1137"/>
      <c r="AP60" s="1203">
        <v>85</v>
      </c>
      <c r="AQ60" s="1283"/>
      <c r="AR60" s="1283"/>
      <c r="AS60" s="1289"/>
      <c r="AT60" s="1283" t="s">
        <v>1128</v>
      </c>
    </row>
    <row r="61" spans="1:46" ht="47.25" customHeight="1" x14ac:dyDescent="0.45">
      <c r="B61" s="725">
        <v>1</v>
      </c>
      <c r="C61" s="1155"/>
      <c r="D61" s="1156"/>
      <c r="E61" s="1156"/>
      <c r="F61" s="1157"/>
      <c r="G61" s="1150"/>
      <c r="H61" s="1150"/>
      <c r="I61" s="1141"/>
      <c r="J61" s="1170"/>
      <c r="K61" s="286"/>
      <c r="L61" s="1160"/>
      <c r="M61" s="1137"/>
      <c r="N61" s="1137"/>
      <c r="O61" s="1157"/>
      <c r="P61" s="1150"/>
      <c r="Q61" s="1140"/>
      <c r="R61" s="1150"/>
      <c r="S61" s="1170"/>
      <c r="T61" s="286"/>
      <c r="U61" s="1160"/>
      <c r="V61" s="1137"/>
      <c r="W61" s="1137"/>
      <c r="X61" s="1157"/>
      <c r="Y61" s="1149"/>
      <c r="Z61" s="1140"/>
      <c r="AA61" s="1165"/>
      <c r="AB61" s="1170"/>
      <c r="AC61" s="286"/>
      <c r="AD61" s="1160"/>
      <c r="AE61" s="1137"/>
      <c r="AF61" s="1137"/>
      <c r="AG61" s="1287"/>
      <c r="AH61" s="1283"/>
      <c r="AI61" s="1282"/>
      <c r="AJ61" s="1283"/>
      <c r="AK61" s="1283"/>
      <c r="AL61" s="1153"/>
      <c r="AM61" s="1160"/>
      <c r="AN61" s="1184"/>
      <c r="AO61" s="1137"/>
      <c r="AP61" s="1203"/>
      <c r="AQ61" s="1283"/>
      <c r="AR61" s="1283"/>
      <c r="AS61" s="1289"/>
      <c r="AT61" s="1283"/>
    </row>
    <row r="62" spans="1:46" ht="47.25" customHeight="1" x14ac:dyDescent="0.45">
      <c r="A62" s="1302">
        <v>45899</v>
      </c>
      <c r="B62" s="725">
        <v>2</v>
      </c>
      <c r="C62" s="1155"/>
      <c r="D62" s="1156"/>
      <c r="E62" s="1156"/>
      <c r="F62" s="1157"/>
      <c r="G62" s="1150"/>
      <c r="H62" s="1150"/>
      <c r="I62" s="1141"/>
      <c r="J62" s="1170"/>
      <c r="K62" s="286"/>
      <c r="L62" s="1160"/>
      <c r="M62" s="1137"/>
      <c r="N62" s="1137"/>
      <c r="O62" s="1157"/>
      <c r="P62" s="1150"/>
      <c r="Q62" s="1140"/>
      <c r="R62" s="1150"/>
      <c r="S62" s="1170"/>
      <c r="T62" s="286"/>
      <c r="U62" s="1160"/>
      <c r="V62" s="1137"/>
      <c r="W62" s="1137"/>
      <c r="X62" s="1157"/>
      <c r="Y62" s="1149"/>
      <c r="Z62" s="1140"/>
      <c r="AA62" s="1165"/>
      <c r="AB62" s="1170"/>
      <c r="AC62" s="286"/>
      <c r="AD62" s="1160"/>
      <c r="AE62" s="1137"/>
      <c r="AF62" s="1137"/>
      <c r="AG62" s="1287"/>
      <c r="AH62" s="1283"/>
      <c r="AI62" s="1282"/>
      <c r="AJ62" s="1283"/>
      <c r="AK62" s="1283"/>
      <c r="AL62" s="1153"/>
      <c r="AM62" s="1160"/>
      <c r="AN62" s="1184"/>
      <c r="AO62" s="1137"/>
      <c r="AP62" s="1203"/>
      <c r="AQ62" s="1283"/>
      <c r="AR62" s="1283"/>
      <c r="AS62" s="1289"/>
      <c r="AT62" s="1283"/>
    </row>
    <row r="63" spans="1:46" ht="42" customHeight="1" x14ac:dyDescent="0.45">
      <c r="A63" s="1351">
        <v>45900</v>
      </c>
      <c r="B63" s="692">
        <v>1</v>
      </c>
      <c r="C63" s="1155"/>
      <c r="D63" s="1156"/>
      <c r="E63" s="1156"/>
      <c r="F63" s="1157"/>
      <c r="G63" s="1150"/>
      <c r="H63" s="1150"/>
      <c r="I63" s="1141"/>
      <c r="J63" s="1170"/>
      <c r="K63" s="286"/>
      <c r="L63" s="1160"/>
      <c r="M63" s="1137"/>
      <c r="N63" s="1137"/>
      <c r="O63" s="1157"/>
      <c r="P63" s="1150"/>
      <c r="Q63" s="1140"/>
      <c r="R63" s="1150"/>
      <c r="S63" s="1170"/>
      <c r="T63" s="286"/>
      <c r="U63" s="1160"/>
      <c r="V63" s="1137"/>
      <c r="W63" s="1137"/>
      <c r="X63" s="1157"/>
      <c r="Y63" s="1150"/>
      <c r="Z63" s="1140"/>
      <c r="AA63" s="1152"/>
      <c r="AB63" s="1170"/>
      <c r="AC63" s="286"/>
      <c r="AD63" s="1160"/>
      <c r="AE63" s="1137"/>
      <c r="AF63" s="1137"/>
      <c r="AG63" s="1287"/>
      <c r="AH63" s="1283"/>
      <c r="AI63" s="1282"/>
      <c r="AJ63" s="1283"/>
      <c r="AK63" s="1283"/>
      <c r="AL63" s="1153"/>
      <c r="AM63" s="1160"/>
      <c r="AN63" s="1184"/>
      <c r="AO63" s="1137"/>
      <c r="AP63" s="1203"/>
      <c r="AQ63" s="1283"/>
      <c r="AR63" s="1283"/>
      <c r="AS63" s="1289"/>
      <c r="AT63" s="1283"/>
    </row>
    <row r="64" spans="1:46" ht="45" customHeight="1" x14ac:dyDescent="0.45">
      <c r="A64" s="1352"/>
      <c r="B64" s="692">
        <v>2</v>
      </c>
      <c r="C64" s="1155"/>
      <c r="D64" s="1156"/>
      <c r="E64" s="1156"/>
      <c r="F64" s="1157"/>
      <c r="G64" s="1150"/>
      <c r="H64" s="1150"/>
      <c r="I64" s="1141"/>
      <c r="J64" s="1170"/>
      <c r="K64" s="286"/>
      <c r="L64" s="1160"/>
      <c r="M64" s="1137"/>
      <c r="N64" s="1137"/>
      <c r="O64" s="1157"/>
      <c r="P64" s="1150"/>
      <c r="Q64" s="1140"/>
      <c r="R64" s="1150"/>
      <c r="S64" s="1170"/>
      <c r="T64" s="286"/>
      <c r="U64" s="1160"/>
      <c r="V64" s="1137"/>
      <c r="W64" s="1137"/>
      <c r="X64" s="1157"/>
      <c r="Y64" s="1150"/>
      <c r="Z64" s="1140"/>
      <c r="AA64" s="1152"/>
      <c r="AB64" s="1170"/>
      <c r="AC64" s="286"/>
      <c r="AD64" s="1160"/>
      <c r="AE64" s="1137"/>
      <c r="AF64" s="1137"/>
      <c r="AG64" s="1287"/>
      <c r="AH64" s="1303"/>
      <c r="AI64" s="1304"/>
      <c r="AJ64" s="1305"/>
      <c r="AK64" s="1303"/>
      <c r="AL64" s="1153"/>
      <c r="AM64" s="1160"/>
      <c r="AN64" s="1137"/>
      <c r="AO64" s="1137"/>
      <c r="AP64" s="1203"/>
      <c r="AQ64" s="1303"/>
      <c r="AR64" s="1304"/>
      <c r="AS64" s="1306"/>
      <c r="AT64" s="1303"/>
    </row>
    <row r="65" spans="1:46" ht="18" x14ac:dyDescent="0.45">
      <c r="A65" s="255" t="s">
        <v>225</v>
      </c>
      <c r="B65" s="354"/>
      <c r="C65" s="757">
        <f>SUM(C3:C64)</f>
        <v>5</v>
      </c>
      <c r="D65" s="354">
        <f>SUM(D3:D64)</f>
        <v>136</v>
      </c>
      <c r="E65" s="757">
        <f>SUM(E3:E64)</f>
        <v>128</v>
      </c>
      <c r="F65" s="354">
        <f>SUM(F3:F64)</f>
        <v>378</v>
      </c>
      <c r="G65" s="255"/>
      <c r="H65" s="255"/>
      <c r="I65" s="255"/>
      <c r="J65" s="255"/>
      <c r="K65" s="255"/>
      <c r="L65" s="354">
        <f>SUM(L3:L64)</f>
        <v>73</v>
      </c>
      <c r="M65" s="354">
        <f>SUM(M3:M64)</f>
        <v>0</v>
      </c>
      <c r="N65" s="354">
        <f>SUM(N3:N64)</f>
        <v>0</v>
      </c>
      <c r="O65" s="354">
        <f>SUM(O3:O64)</f>
        <v>382</v>
      </c>
      <c r="P65" s="255"/>
      <c r="Q65" s="255"/>
      <c r="R65" s="255"/>
      <c r="S65" s="255"/>
      <c r="T65" s="255"/>
      <c r="U65" s="354">
        <f>SUM(U3:U64)</f>
        <v>25</v>
      </c>
      <c r="V65" s="354">
        <f>SUM(V3:V64)</f>
        <v>77</v>
      </c>
      <c r="W65" s="354">
        <f>SUM(W3:W64)</f>
        <v>204</v>
      </c>
      <c r="X65" s="354">
        <f>SUM(X3:X64)</f>
        <v>393</v>
      </c>
      <c r="Y65" s="255"/>
      <c r="Z65" s="255"/>
      <c r="AA65" s="255"/>
      <c r="AB65" s="255"/>
      <c r="AC65" s="255"/>
      <c r="AD65" s="354">
        <f>SUM(AD3:AD64)</f>
        <v>39</v>
      </c>
      <c r="AE65" s="354">
        <f>SUM(AE3:AE64)</f>
        <v>24</v>
      </c>
      <c r="AF65" s="354">
        <f>SUM(AF3:AF64)</f>
        <v>148</v>
      </c>
      <c r="AG65" s="354">
        <f>SUM(AG3:AG64)</f>
        <v>327</v>
      </c>
      <c r="AH65" s="255"/>
      <c r="AI65" s="255"/>
      <c r="AJ65" s="255"/>
      <c r="AK65" s="255"/>
      <c r="AL65" s="255"/>
      <c r="AM65" s="354">
        <f>SUM(AM3:AM64)</f>
        <v>690</v>
      </c>
      <c r="AN65" s="354">
        <f>SUM(AN3:AN64)</f>
        <v>55</v>
      </c>
      <c r="AO65" s="354">
        <f>SUM(AO3:AO64)</f>
        <v>84</v>
      </c>
      <c r="AP65" s="354">
        <f>SUM(AP3:AP64)</f>
        <v>841</v>
      </c>
      <c r="AQ65" s="255"/>
      <c r="AR65" s="255"/>
      <c r="AS65" s="255"/>
      <c r="AT65" s="255"/>
    </row>
    <row r="73" spans="1:46" ht="14.6" thickBot="1" x14ac:dyDescent="0.4"/>
    <row r="74" spans="1:46" ht="18.45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6" ht="18.45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6" ht="18" x14ac:dyDescent="0.4">
      <c r="B76" s="541" t="s">
        <v>218</v>
      </c>
      <c r="C76" s="542">
        <f>C65</f>
        <v>5</v>
      </c>
      <c r="D76" s="543">
        <f>C76/60</f>
        <v>8.3333333333333329E-2</v>
      </c>
      <c r="E76" s="542">
        <f>D65</f>
        <v>136</v>
      </c>
      <c r="F76" s="544">
        <f>E76/60</f>
        <v>2.2666666666666666</v>
      </c>
      <c r="G76" s="542">
        <f>E65</f>
        <v>128</v>
      </c>
      <c r="H76" s="543">
        <f>G76/60</f>
        <v>2.1333333333333333</v>
      </c>
      <c r="I76" s="542">
        <f>F65</f>
        <v>378</v>
      </c>
      <c r="J76" s="543">
        <f>I76/60</f>
        <v>6.3</v>
      </c>
    </row>
    <row r="77" spans="1:46" ht="18" x14ac:dyDescent="0.4">
      <c r="B77" s="541" t="s">
        <v>219</v>
      </c>
      <c r="C77" s="545">
        <f>L65</f>
        <v>73</v>
      </c>
      <c r="D77" s="546">
        <f>C77/60</f>
        <v>1.2166666666666666</v>
      </c>
      <c r="E77" s="545">
        <f>M65</f>
        <v>0</v>
      </c>
      <c r="F77" s="547">
        <f>E77/60</f>
        <v>0</v>
      </c>
      <c r="G77" s="545">
        <f>N65</f>
        <v>0</v>
      </c>
      <c r="H77" s="546">
        <f>G77/60</f>
        <v>0</v>
      </c>
      <c r="I77" s="545">
        <f>O65</f>
        <v>382</v>
      </c>
      <c r="J77" s="546">
        <f>I77/60</f>
        <v>6.3666666666666663</v>
      </c>
    </row>
    <row r="78" spans="1:46" ht="18" x14ac:dyDescent="0.4">
      <c r="B78" s="541" t="s">
        <v>220</v>
      </c>
      <c r="C78" s="545">
        <f>U65</f>
        <v>25</v>
      </c>
      <c r="D78" s="546">
        <f>C78/60</f>
        <v>0.41666666666666669</v>
      </c>
      <c r="E78" s="545">
        <f>V65</f>
        <v>77</v>
      </c>
      <c r="F78" s="547">
        <f>E78/60</f>
        <v>1.2833333333333334</v>
      </c>
      <c r="G78" s="545">
        <f>W65</f>
        <v>204</v>
      </c>
      <c r="H78" s="546">
        <f>G78/60</f>
        <v>3.4</v>
      </c>
      <c r="I78" s="545">
        <f>X65</f>
        <v>393</v>
      </c>
      <c r="J78" s="546">
        <f>I78/60</f>
        <v>6.55</v>
      </c>
    </row>
    <row r="79" spans="1:46" ht="18.45" thickBot="1" x14ac:dyDescent="0.45">
      <c r="B79" s="541" t="s">
        <v>221</v>
      </c>
      <c r="C79" s="548">
        <f>AD65</f>
        <v>39</v>
      </c>
      <c r="D79" s="549">
        <f>C79/60</f>
        <v>0.65</v>
      </c>
      <c r="E79" s="548">
        <f>AE65</f>
        <v>24</v>
      </c>
      <c r="F79" s="550">
        <f>E79/60</f>
        <v>0.4</v>
      </c>
      <c r="G79" s="548">
        <f>AF65</f>
        <v>148</v>
      </c>
      <c r="H79" s="549">
        <f>G79/60</f>
        <v>2.4666666666666668</v>
      </c>
      <c r="I79" s="548">
        <f>AG65</f>
        <v>327</v>
      </c>
      <c r="J79" s="549">
        <f>I79/60</f>
        <v>5.45</v>
      </c>
    </row>
    <row r="80" spans="1:46" ht="18.45" thickBot="1" x14ac:dyDescent="0.45">
      <c r="B80" s="541" t="s">
        <v>488</v>
      </c>
      <c r="C80" s="643">
        <f>AM65</f>
        <v>690</v>
      </c>
      <c r="D80" s="642">
        <f>C80/60</f>
        <v>11.5</v>
      </c>
      <c r="E80" s="643">
        <f>AN65</f>
        <v>55</v>
      </c>
      <c r="F80" s="644">
        <f>E80/60</f>
        <v>0.91666666666666663</v>
      </c>
      <c r="G80" s="643">
        <f>AO65</f>
        <v>84</v>
      </c>
      <c r="H80" s="642">
        <f>G80/60</f>
        <v>1.4</v>
      </c>
      <c r="I80" s="643">
        <f>AP65</f>
        <v>841</v>
      </c>
      <c r="J80" s="642">
        <f>I80/60</f>
        <v>14.016666666666667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13.866666666666667</v>
      </c>
      <c r="E82" s="556"/>
      <c r="F82" s="557">
        <f>SUM(F76:F80)</f>
        <v>4.8666666666666663</v>
      </c>
      <c r="G82" s="556"/>
      <c r="H82" s="557">
        <f>SUM(H76:H80)</f>
        <v>9.4</v>
      </c>
      <c r="I82" s="556"/>
      <c r="J82" s="558">
        <f>AVERAGE(J76:J80)</f>
        <v>7.7366666666666664</v>
      </c>
    </row>
  </sheetData>
  <mergeCells count="44">
    <mergeCell ref="AQ1:AT1"/>
    <mergeCell ref="A3:A4"/>
    <mergeCell ref="A5:A6"/>
    <mergeCell ref="C1:F1"/>
    <mergeCell ref="G1:J1"/>
    <mergeCell ref="L1:O1"/>
    <mergeCell ref="P1:S1"/>
    <mergeCell ref="U1:X1"/>
    <mergeCell ref="Y1:AB1"/>
    <mergeCell ref="A15:A16"/>
    <mergeCell ref="AD1:AG1"/>
    <mergeCell ref="AH1:AK1"/>
    <mergeCell ref="AM1:AP1"/>
    <mergeCell ref="A27:A28"/>
    <mergeCell ref="A7:A8"/>
    <mergeCell ref="A9:A10"/>
    <mergeCell ref="A11:A12"/>
    <mergeCell ref="A13:A14"/>
    <mergeCell ref="A17:A18"/>
    <mergeCell ref="A19:A20"/>
    <mergeCell ref="A21:A22"/>
    <mergeCell ref="A23:A24"/>
    <mergeCell ref="A25:A26"/>
    <mergeCell ref="A51:A52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I74:J74"/>
    <mergeCell ref="A53:A54"/>
    <mergeCell ref="A55:A56"/>
    <mergeCell ref="A63:A64"/>
    <mergeCell ref="C74:D74"/>
    <mergeCell ref="E74:F74"/>
    <mergeCell ref="G74:H74"/>
    <mergeCell ref="A57:A58"/>
    <mergeCell ref="A59:A60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T80"/>
  <sheetViews>
    <sheetView zoomScale="55" zoomScaleNormal="55" workbookViewId="0">
      <pane xSplit="3" ySplit="2" topLeftCell="Z45" activePane="bottomRight" state="frozen"/>
      <selection pane="topRight" activeCell="D1" sqref="D1"/>
      <selection pane="bottomLeft" activeCell="A3" sqref="A3"/>
      <selection pane="bottomRight" activeCell="AR59" sqref="AR59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2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9.382812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6" style="423" bestFit="1" customWidth="1"/>
    <col min="17" max="17" width="42.15234375" style="423" bestFit="1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6.15234375" style="423" bestFit="1" customWidth="1"/>
    <col min="28" max="28" width="27" style="423" customWidth="1"/>
    <col min="29" max="33" width="10.69140625" style="423" customWidth="1"/>
    <col min="34" max="34" width="31.3046875" style="423" customWidth="1"/>
    <col min="35" max="35" width="23.304687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32.3046875" style="423" customWidth="1"/>
    <col min="44" max="44" width="26.53515625" style="423" customWidth="1"/>
    <col min="45" max="45" width="31.152343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8" t="s">
        <v>199</v>
      </c>
      <c r="AI2" s="656" t="s">
        <v>200</v>
      </c>
      <c r="AJ2" s="656" t="s">
        <v>201</v>
      </c>
      <c r="AK2" s="656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8" t="s">
        <v>199</v>
      </c>
      <c r="AR2" s="656" t="s">
        <v>200</v>
      </c>
      <c r="AS2" s="656" t="s">
        <v>201</v>
      </c>
      <c r="AT2" s="656" t="s">
        <v>204</v>
      </c>
    </row>
    <row r="3" spans="1:46" ht="30" customHeight="1" x14ac:dyDescent="0.45">
      <c r="A3" s="1351">
        <v>45962</v>
      </c>
      <c r="B3" s="676">
        <v>1</v>
      </c>
      <c r="C3" s="1135"/>
      <c r="D3" s="1136">
        <v>29</v>
      </c>
      <c r="E3" s="1137"/>
      <c r="F3" s="1138"/>
      <c r="G3" s="1139"/>
      <c r="H3" s="1140" t="s">
        <v>96</v>
      </c>
      <c r="I3" s="1141"/>
      <c r="J3" s="1142"/>
      <c r="K3" s="286"/>
      <c r="L3" s="1143"/>
      <c r="M3" s="1144"/>
      <c r="N3" s="1144"/>
      <c r="O3" s="1145"/>
      <c r="P3" s="1146"/>
      <c r="Q3" s="1147"/>
      <c r="R3" s="1147"/>
      <c r="S3" s="1145"/>
      <c r="T3" s="286"/>
      <c r="U3" s="1143"/>
      <c r="V3" s="1144"/>
      <c r="W3" s="1137">
        <v>12</v>
      </c>
      <c r="X3" s="1148"/>
      <c r="Y3" s="1149"/>
      <c r="Z3" s="1146"/>
      <c r="AA3" s="1150" t="s">
        <v>152</v>
      </c>
      <c r="AB3" s="1151"/>
      <c r="AC3" s="286"/>
      <c r="AD3" s="1143"/>
      <c r="AE3" s="1144"/>
      <c r="AF3" s="1137"/>
      <c r="AG3" s="1286"/>
      <c r="AH3" s="1289"/>
      <c r="AI3" s="1289"/>
      <c r="AJ3" s="1290"/>
      <c r="AK3" s="1289"/>
      <c r="AL3" s="1153"/>
      <c r="AM3" s="1143"/>
      <c r="AN3" s="1144"/>
      <c r="AO3" s="1137"/>
      <c r="AP3" s="1286"/>
      <c r="AQ3" s="1289"/>
      <c r="AR3" s="1290"/>
      <c r="AS3" s="1290"/>
      <c r="AT3" s="1289"/>
    </row>
    <row r="4" spans="1:46" ht="30" customHeight="1" x14ac:dyDescent="0.45">
      <c r="A4" s="1352"/>
      <c r="B4" s="692">
        <v>2</v>
      </c>
      <c r="C4" s="1155"/>
      <c r="D4" s="1156">
        <v>64</v>
      </c>
      <c r="E4" s="1156"/>
      <c r="F4" s="1157"/>
      <c r="G4" s="1158"/>
      <c r="H4" s="1140" t="s">
        <v>96</v>
      </c>
      <c r="I4" s="1141"/>
      <c r="J4" s="1159"/>
      <c r="K4" s="286"/>
      <c r="L4" s="1160"/>
      <c r="M4" s="1137"/>
      <c r="N4" s="1137"/>
      <c r="O4" s="1148"/>
      <c r="P4" s="1128"/>
      <c r="Q4" s="1140"/>
      <c r="R4" s="1161"/>
      <c r="S4" s="1148"/>
      <c r="T4" s="286"/>
      <c r="U4" s="1160"/>
      <c r="V4" s="1152"/>
      <c r="W4" s="1137">
        <v>27</v>
      </c>
      <c r="X4" s="1148"/>
      <c r="Y4" s="1158"/>
      <c r="Z4" s="1150"/>
      <c r="AA4" s="1150" t="s">
        <v>152</v>
      </c>
      <c r="AB4" s="1162"/>
      <c r="AC4" s="286"/>
      <c r="AD4" s="1160"/>
      <c r="AE4" s="1137"/>
      <c r="AF4" s="1137"/>
      <c r="AG4" s="1203"/>
      <c r="AH4" s="1289"/>
      <c r="AI4" s="1283"/>
      <c r="AJ4" s="1290"/>
      <c r="AK4" s="1289"/>
      <c r="AL4" s="1153"/>
      <c r="AM4" s="1160"/>
      <c r="AN4" s="1137"/>
      <c r="AO4" s="1137"/>
      <c r="AP4" s="1203"/>
      <c r="AQ4" s="1289"/>
      <c r="AR4" s="1283"/>
      <c r="AS4" s="1289"/>
      <c r="AT4" s="1289"/>
    </row>
    <row r="5" spans="1:46" ht="30" customHeight="1" x14ac:dyDescent="0.45">
      <c r="A5" s="1351">
        <v>45963</v>
      </c>
      <c r="B5" s="692">
        <v>1</v>
      </c>
      <c r="C5" s="1155">
        <v>144</v>
      </c>
      <c r="D5" s="1156"/>
      <c r="E5" s="1156"/>
      <c r="F5" s="1157"/>
      <c r="G5" s="1163" t="s">
        <v>45</v>
      </c>
      <c r="H5" s="1164"/>
      <c r="I5" s="1141"/>
      <c r="J5" s="1159"/>
      <c r="K5" s="286"/>
      <c r="L5" s="1160"/>
      <c r="M5" s="1137"/>
      <c r="N5" s="1137"/>
      <c r="O5" s="1148"/>
      <c r="P5" s="1128"/>
      <c r="Q5" s="1137"/>
      <c r="R5" s="1137"/>
      <c r="S5" s="1148"/>
      <c r="T5" s="286"/>
      <c r="U5" s="1160"/>
      <c r="V5" s="1137"/>
      <c r="W5" s="1137">
        <v>72</v>
      </c>
      <c r="X5" s="1148"/>
      <c r="Y5" s="1149"/>
      <c r="Z5" s="1140"/>
      <c r="AA5" s="1165" t="s">
        <v>1074</v>
      </c>
      <c r="AB5" s="1166"/>
      <c r="AC5" s="286"/>
      <c r="AD5" s="1160"/>
      <c r="AE5" s="1137"/>
      <c r="AF5" s="1137"/>
      <c r="AG5" s="1203"/>
      <c r="AH5" s="1289"/>
      <c r="AI5" s="1289"/>
      <c r="AJ5" s="1290"/>
      <c r="AK5" s="1289"/>
      <c r="AL5" s="1153"/>
      <c r="AM5" s="1160"/>
      <c r="AN5" s="1137"/>
      <c r="AO5" s="1137"/>
      <c r="AP5" s="1203"/>
      <c r="AQ5" s="1289"/>
      <c r="AR5" s="1289"/>
      <c r="AS5" s="1290"/>
      <c r="AT5" s="1289"/>
    </row>
    <row r="6" spans="1:46" ht="30" customHeight="1" x14ac:dyDescent="0.45">
      <c r="A6" s="1352"/>
      <c r="B6" s="692">
        <v>2</v>
      </c>
      <c r="C6" s="1155">
        <v>720</v>
      </c>
      <c r="D6" s="1156"/>
      <c r="E6" s="1156"/>
      <c r="F6" s="1157"/>
      <c r="G6" s="1139" t="s">
        <v>45</v>
      </c>
      <c r="H6" s="1150"/>
      <c r="I6" s="1141"/>
      <c r="J6" s="1170"/>
      <c r="K6" s="286"/>
      <c r="L6" s="1160"/>
      <c r="M6" s="1137"/>
      <c r="N6" s="1137"/>
      <c r="O6" s="1148"/>
      <c r="P6" s="1128"/>
      <c r="Q6" s="1140"/>
      <c r="R6" s="1137"/>
      <c r="S6" s="1170"/>
      <c r="T6" s="286"/>
      <c r="U6" s="1160"/>
      <c r="V6" s="1137"/>
      <c r="W6" s="1137">
        <v>28</v>
      </c>
      <c r="X6" s="1148"/>
      <c r="Y6" s="1149"/>
      <c r="Z6" s="1140"/>
      <c r="AA6" s="1165" t="s">
        <v>152</v>
      </c>
      <c r="AB6" s="1170"/>
      <c r="AC6" s="286"/>
      <c r="AD6" s="1160"/>
      <c r="AE6" s="1137"/>
      <c r="AF6" s="1137"/>
      <c r="AG6" s="1203"/>
      <c r="AH6" s="1289"/>
      <c r="AI6" s="1289"/>
      <c r="AJ6" s="1283"/>
      <c r="AK6" s="1283"/>
      <c r="AL6" s="1153"/>
      <c r="AM6" s="1160"/>
      <c r="AN6" s="1137"/>
      <c r="AO6" s="1137"/>
      <c r="AP6" s="1203">
        <v>209</v>
      </c>
      <c r="AQ6" s="1290"/>
      <c r="AR6" s="1289"/>
      <c r="AS6" s="1290"/>
      <c r="AT6" s="1289" t="s">
        <v>1144</v>
      </c>
    </row>
    <row r="7" spans="1:46" ht="29.25" customHeight="1" x14ac:dyDescent="0.45">
      <c r="A7" s="1351">
        <v>45964</v>
      </c>
      <c r="B7" s="692">
        <v>1</v>
      </c>
      <c r="C7" s="1155">
        <v>720</v>
      </c>
      <c r="D7" s="1156"/>
      <c r="E7" s="1156"/>
      <c r="F7" s="1157"/>
      <c r="G7" s="1139" t="s">
        <v>45</v>
      </c>
      <c r="H7" s="1150"/>
      <c r="I7" s="1141"/>
      <c r="J7" s="1170"/>
      <c r="K7" s="286"/>
      <c r="L7" s="1160"/>
      <c r="M7" s="1128"/>
      <c r="N7" s="1137"/>
      <c r="O7" s="1148"/>
      <c r="P7" s="1128"/>
      <c r="Q7" s="972"/>
      <c r="R7" s="1137"/>
      <c r="S7" s="1169"/>
      <c r="T7" s="286"/>
      <c r="U7" s="1160"/>
      <c r="V7" s="1137"/>
      <c r="W7" s="1137"/>
      <c r="X7" s="1148"/>
      <c r="Y7" s="1149"/>
      <c r="Z7" s="1140"/>
      <c r="AA7" s="1165"/>
      <c r="AB7" s="1169"/>
      <c r="AC7" s="286"/>
      <c r="AD7" s="1160"/>
      <c r="AE7" s="1137"/>
      <c r="AF7" s="1137"/>
      <c r="AG7" s="1203"/>
      <c r="AH7" s="1289"/>
      <c r="AI7" s="1291"/>
      <c r="AJ7" s="1283"/>
      <c r="AK7" s="1289"/>
      <c r="AL7" s="1153"/>
      <c r="AM7" s="1160"/>
      <c r="AN7" s="1137"/>
      <c r="AO7" s="1137"/>
      <c r="AP7" s="1203"/>
      <c r="AQ7" s="1289"/>
      <c r="AR7" s="1289"/>
      <c r="AS7" s="1291"/>
      <c r="AT7" s="1283"/>
    </row>
    <row r="8" spans="1:46" ht="30" customHeight="1" x14ac:dyDescent="0.45">
      <c r="A8" s="1352"/>
      <c r="B8" s="692">
        <v>2</v>
      </c>
      <c r="C8" s="1254">
        <v>720</v>
      </c>
      <c r="D8" s="1177"/>
      <c r="E8" s="1177"/>
      <c r="F8" s="1199"/>
      <c r="G8" s="1195" t="s">
        <v>45</v>
      </c>
      <c r="H8" s="1196"/>
      <c r="I8" s="1197"/>
      <c r="J8" s="1194"/>
      <c r="K8" s="286"/>
      <c r="L8" s="1160"/>
      <c r="M8" s="1137"/>
      <c r="N8" s="1137"/>
      <c r="O8" s="1148"/>
      <c r="P8" s="1128"/>
      <c r="Q8" s="1137"/>
      <c r="R8" s="1152"/>
      <c r="S8" s="1169"/>
      <c r="T8" s="286"/>
      <c r="U8" s="1178"/>
      <c r="V8" s="1175"/>
      <c r="W8" s="1128"/>
      <c r="X8" s="1148"/>
      <c r="Y8" s="1149"/>
      <c r="Z8" s="1172"/>
      <c r="AA8" s="1152"/>
      <c r="AB8" s="1170"/>
      <c r="AC8" s="286"/>
      <c r="AD8" s="1160"/>
      <c r="AE8" s="1137"/>
      <c r="AF8" s="1137">
        <v>23</v>
      </c>
      <c r="AG8" s="1203"/>
      <c r="AH8" s="1289"/>
      <c r="AI8" s="1290"/>
      <c r="AJ8" s="1283" t="s">
        <v>1035</v>
      </c>
      <c r="AK8" s="1283"/>
      <c r="AL8" s="1153"/>
      <c r="AM8" s="1160"/>
      <c r="AN8" s="1137"/>
      <c r="AO8" s="1137"/>
      <c r="AP8" s="1203"/>
      <c r="AQ8" s="1289"/>
      <c r="AR8" s="1290"/>
      <c r="AS8" s="1289"/>
      <c r="AT8" s="1283"/>
    </row>
    <row r="9" spans="1:46" ht="30" customHeight="1" x14ac:dyDescent="0.45">
      <c r="A9" s="1351">
        <v>45965</v>
      </c>
      <c r="B9" s="692">
        <v>1</v>
      </c>
      <c r="C9" s="1336">
        <v>720</v>
      </c>
      <c r="D9" s="1337"/>
      <c r="E9" s="1337"/>
      <c r="F9" s="1156"/>
      <c r="G9" s="1338" t="s">
        <v>45</v>
      </c>
      <c r="H9" s="1337"/>
      <c r="I9" s="1337"/>
      <c r="J9" s="971"/>
      <c r="K9" s="1257"/>
      <c r="L9" s="1339"/>
      <c r="M9" s="1321"/>
      <c r="N9" s="1321"/>
      <c r="O9" s="1156"/>
      <c r="P9" s="1322"/>
      <c r="Q9" s="1321"/>
      <c r="R9" s="1321"/>
      <c r="S9" s="985"/>
      <c r="T9" s="286"/>
      <c r="U9" s="1178"/>
      <c r="V9" s="1128"/>
      <c r="W9" s="1137">
        <v>10</v>
      </c>
      <c r="X9" s="1148"/>
      <c r="Y9" s="1149"/>
      <c r="Z9" s="1137"/>
      <c r="AA9" s="1149" t="s">
        <v>743</v>
      </c>
      <c r="AB9" s="971"/>
      <c r="AC9" s="286"/>
      <c r="AD9" s="1299"/>
      <c r="AE9" s="1182"/>
      <c r="AF9" s="1183"/>
      <c r="AG9" s="1287"/>
      <c r="AH9" s="1283"/>
      <c r="AI9" s="1282"/>
      <c r="AJ9" s="1278"/>
      <c r="AK9" s="971"/>
      <c r="AL9" s="286"/>
      <c r="AM9" s="1160"/>
      <c r="AN9" s="1137"/>
      <c r="AO9" s="1137"/>
      <c r="AP9" s="1203"/>
      <c r="AQ9" s="1289"/>
      <c r="AR9" s="1289"/>
      <c r="AS9" s="1290"/>
      <c r="AT9" s="971"/>
    </row>
    <row r="10" spans="1:46" ht="29.25" customHeight="1" x14ac:dyDescent="0.45">
      <c r="A10" s="1352"/>
      <c r="B10" s="692">
        <v>2</v>
      </c>
      <c r="C10" s="1269">
        <v>720</v>
      </c>
      <c r="D10" s="1270"/>
      <c r="E10" s="1216"/>
      <c r="F10" s="1217"/>
      <c r="G10" s="1276" t="s">
        <v>45</v>
      </c>
      <c r="H10" s="1277"/>
      <c r="I10" s="1278"/>
      <c r="J10" s="1279"/>
      <c r="K10" s="286"/>
      <c r="L10" s="1160"/>
      <c r="M10" s="1137"/>
      <c r="N10" s="1137"/>
      <c r="O10" s="1148"/>
      <c r="P10" s="1128"/>
      <c r="Q10" s="1137"/>
      <c r="R10" s="1152"/>
      <c r="S10" s="1170"/>
      <c r="T10" s="286"/>
      <c r="U10" s="1160"/>
      <c r="V10" s="1137"/>
      <c r="W10" s="1137"/>
      <c r="X10" s="1148"/>
      <c r="Y10" s="1149"/>
      <c r="Z10" s="1149"/>
      <c r="AA10" s="1149"/>
      <c r="AB10" s="1170"/>
      <c r="AC10" s="286"/>
      <c r="AD10" s="1160"/>
      <c r="AE10" s="1137"/>
      <c r="AF10" s="1137"/>
      <c r="AG10" s="1203"/>
      <c r="AH10" s="1290"/>
      <c r="AI10" s="1290"/>
      <c r="AJ10" s="1283"/>
      <c r="AK10" s="1283"/>
      <c r="AL10" s="1153"/>
      <c r="AM10" s="1160">
        <v>85</v>
      </c>
      <c r="AN10" s="1137"/>
      <c r="AO10" s="1137"/>
      <c r="AP10" s="1203"/>
      <c r="AQ10" s="1289" t="s">
        <v>1145</v>
      </c>
      <c r="AR10" s="1289"/>
      <c r="AS10" s="1289"/>
      <c r="AT10" s="1283"/>
    </row>
    <row r="11" spans="1:46" ht="29.25" customHeight="1" x14ac:dyDescent="0.45">
      <c r="A11" s="1351">
        <v>45966</v>
      </c>
      <c r="B11" s="692">
        <v>1</v>
      </c>
      <c r="C11" s="1258">
        <v>205</v>
      </c>
      <c r="D11" s="1259"/>
      <c r="E11" s="1260"/>
      <c r="F11" s="1261"/>
      <c r="G11" s="1280" t="s">
        <v>45</v>
      </c>
      <c r="H11" s="1277"/>
      <c r="I11" s="1277"/>
      <c r="J11" s="1281"/>
      <c r="K11" s="1262"/>
      <c r="L11" s="1263"/>
      <c r="M11" s="1264"/>
      <c r="N11" s="1264"/>
      <c r="O11" s="1265"/>
      <c r="P11" s="1266"/>
      <c r="Q11" s="1264"/>
      <c r="R11" s="1267"/>
      <c r="S11" s="1265"/>
      <c r="T11" s="1262"/>
      <c r="U11" s="1263"/>
      <c r="V11" s="1264"/>
      <c r="W11" s="1264"/>
      <c r="X11" s="1264"/>
      <c r="Y11" s="1265"/>
      <c r="Z11" s="1264"/>
      <c r="AA11" s="1268"/>
      <c r="AB11" s="1265"/>
      <c r="AC11" s="1262"/>
      <c r="AD11" s="1263"/>
      <c r="AE11" s="1264"/>
      <c r="AF11" s="1264"/>
      <c r="AG11" s="1288"/>
      <c r="AH11" s="1292"/>
      <c r="AI11" s="1292"/>
      <c r="AJ11" s="1277"/>
      <c r="AK11" s="1292"/>
      <c r="AL11" s="1153"/>
      <c r="AM11" s="1263"/>
      <c r="AN11" s="1264"/>
      <c r="AO11" s="1264"/>
      <c r="AP11" s="1288"/>
      <c r="AQ11" s="1292"/>
      <c r="AR11" s="1292"/>
      <c r="AS11" s="1292"/>
      <c r="AT11" s="1296"/>
    </row>
    <row r="12" spans="1:46" ht="30" customHeight="1" x14ac:dyDescent="0.45">
      <c r="A12" s="1352"/>
      <c r="B12" s="692">
        <v>2</v>
      </c>
      <c r="C12" s="1155">
        <v>76</v>
      </c>
      <c r="D12" s="1191"/>
      <c r="E12" s="1156"/>
      <c r="F12" s="1157"/>
      <c r="G12" s="1276" t="s">
        <v>1147</v>
      </c>
      <c r="H12" s="1282"/>
      <c r="I12" s="1278"/>
      <c r="J12" s="1279"/>
      <c r="K12" s="286"/>
      <c r="L12" s="1222"/>
      <c r="M12" s="1161"/>
      <c r="N12" s="1161"/>
      <c r="O12" s="1217"/>
      <c r="P12" s="1323"/>
      <c r="Q12" s="1161"/>
      <c r="R12" s="1165"/>
      <c r="S12" s="1221"/>
      <c r="T12" s="286"/>
      <c r="U12" s="1160"/>
      <c r="V12" s="1137"/>
      <c r="W12" s="1257"/>
      <c r="X12" s="1257"/>
      <c r="Y12" s="1149"/>
      <c r="Z12" s="1150"/>
      <c r="AA12" s="1165"/>
      <c r="AB12" s="1170"/>
      <c r="AC12" s="286"/>
      <c r="AD12" s="1160"/>
      <c r="AE12" s="1137"/>
      <c r="AF12" s="1137"/>
      <c r="AG12" s="1203"/>
      <c r="AH12" s="1289"/>
      <c r="AI12" s="1290"/>
      <c r="AJ12" s="1283"/>
      <c r="AK12" s="1283"/>
      <c r="AL12" s="1153"/>
      <c r="AM12" s="1160"/>
      <c r="AN12" s="1137"/>
      <c r="AO12" s="1137"/>
      <c r="AP12" s="1203"/>
      <c r="AQ12" s="1289"/>
      <c r="AR12" s="1289"/>
      <c r="AS12" s="1290"/>
      <c r="AT12" s="1283"/>
    </row>
    <row r="13" spans="1:46" ht="30.75" customHeight="1" x14ac:dyDescent="0.45">
      <c r="A13" s="1351">
        <v>45967</v>
      </c>
      <c r="B13" s="692">
        <v>1</v>
      </c>
      <c r="C13" s="1155"/>
      <c r="D13" s="1156"/>
      <c r="E13" s="1156"/>
      <c r="F13" s="1157"/>
      <c r="G13" s="1276"/>
      <c r="H13" s="1282"/>
      <c r="I13" s="1278"/>
      <c r="J13" s="1279"/>
      <c r="K13" s="286"/>
      <c r="L13" s="1160"/>
      <c r="M13" s="1137"/>
      <c r="N13" s="1137"/>
      <c r="O13" s="1157"/>
      <c r="P13" s="1128"/>
      <c r="Q13" s="1137"/>
      <c r="R13" s="1137"/>
      <c r="S13" s="1170"/>
      <c r="T13" s="286"/>
      <c r="U13" s="1160"/>
      <c r="V13" s="1137"/>
      <c r="W13" s="1137">
        <v>13</v>
      </c>
      <c r="X13" s="1157"/>
      <c r="Y13" s="1149"/>
      <c r="Z13" s="1152"/>
      <c r="AA13" s="1165" t="s">
        <v>1097</v>
      </c>
      <c r="AB13" s="1170"/>
      <c r="AC13" s="286"/>
      <c r="AD13" s="1160"/>
      <c r="AE13" s="1137"/>
      <c r="AF13" s="1137"/>
      <c r="AG13" s="1287"/>
      <c r="AH13" s="1289"/>
      <c r="AI13" s="1289"/>
      <c r="AJ13" s="1290"/>
      <c r="AK13" s="1283"/>
      <c r="AL13" s="1153"/>
      <c r="AM13" s="1160"/>
      <c r="AN13" s="1137"/>
      <c r="AO13" s="1137"/>
      <c r="AP13" s="1294"/>
      <c r="AQ13" s="1289"/>
      <c r="AR13" s="1289"/>
      <c r="AS13" s="1283"/>
      <c r="AT13" s="1283"/>
    </row>
    <row r="14" spans="1:46" ht="30" customHeight="1" x14ac:dyDescent="0.45">
      <c r="A14" s="1352"/>
      <c r="B14" s="692">
        <v>2</v>
      </c>
      <c r="C14" s="1155"/>
      <c r="D14" s="1156"/>
      <c r="E14" s="1156"/>
      <c r="F14" s="1157"/>
      <c r="G14" s="1276"/>
      <c r="H14" s="1283"/>
      <c r="I14" s="1278"/>
      <c r="J14" s="1279"/>
      <c r="K14" s="286"/>
      <c r="L14" s="1160"/>
      <c r="M14" s="1137"/>
      <c r="N14" s="1137"/>
      <c r="O14" s="1157"/>
      <c r="P14" s="1149"/>
      <c r="Q14" s="1137"/>
      <c r="R14" s="1137"/>
      <c r="S14" s="1170"/>
      <c r="T14" s="286"/>
      <c r="U14" s="1160"/>
      <c r="V14" s="1137"/>
      <c r="W14" s="1137"/>
      <c r="X14" s="1157"/>
      <c r="Y14" s="1149"/>
      <c r="Z14" s="1152"/>
      <c r="AA14" s="1165"/>
      <c r="AB14" s="1170"/>
      <c r="AC14" s="286"/>
      <c r="AD14" s="1160"/>
      <c r="AE14" s="1137"/>
      <c r="AF14" s="1137"/>
      <c r="AG14" s="1287"/>
      <c r="AH14" s="1289"/>
      <c r="AI14" s="1289"/>
      <c r="AJ14" s="1290"/>
      <c r="AK14" s="1283"/>
      <c r="AL14" s="1153"/>
      <c r="AM14" s="1160"/>
      <c r="AN14" s="1137"/>
      <c r="AO14" s="1192"/>
      <c r="AP14" s="1294"/>
      <c r="AQ14" s="1290"/>
      <c r="AR14" s="1289"/>
      <c r="AS14" s="1290"/>
      <c r="AT14" s="1283"/>
    </row>
    <row r="15" spans="1:46" ht="30" customHeight="1" x14ac:dyDescent="0.45">
      <c r="A15" s="1351">
        <v>45968</v>
      </c>
      <c r="B15" s="692">
        <v>1</v>
      </c>
      <c r="C15" s="1155"/>
      <c r="D15" s="1177"/>
      <c r="E15" s="1168"/>
      <c r="F15" s="1194"/>
      <c r="G15" s="1276"/>
      <c r="H15" s="1283"/>
      <c r="I15" s="1278"/>
      <c r="J15" s="1279"/>
      <c r="K15" s="286"/>
      <c r="L15" s="1198"/>
      <c r="M15" s="1168"/>
      <c r="N15" s="1168"/>
      <c r="O15" s="1199"/>
      <c r="P15" s="1200"/>
      <c r="Q15" s="1196"/>
      <c r="R15" s="1150"/>
      <c r="S15" s="1170"/>
      <c r="T15" s="286"/>
      <c r="U15" s="1160"/>
      <c r="V15" s="1137"/>
      <c r="W15" s="1137"/>
      <c r="X15" s="1157"/>
      <c r="Y15" s="1158"/>
      <c r="Z15" s="1150"/>
      <c r="AA15" s="1165"/>
      <c r="AB15" s="1170"/>
      <c r="AC15" s="286"/>
      <c r="AD15" s="1160"/>
      <c r="AE15" s="1137"/>
      <c r="AF15" s="286"/>
      <c r="AG15" s="1287"/>
      <c r="AH15" s="1282"/>
      <c r="AI15" s="1283"/>
      <c r="AJ15" s="1290"/>
      <c r="AK15" s="1283"/>
      <c r="AL15" s="1153"/>
      <c r="AM15" s="1160"/>
      <c r="AN15" s="1137"/>
      <c r="AO15" s="1201"/>
      <c r="AP15" s="1294"/>
      <c r="AQ15" s="1283"/>
      <c r="AR15" s="1283"/>
      <c r="AS15" s="1283"/>
      <c r="AT15" s="1283"/>
    </row>
    <row r="16" spans="1:46" ht="36.75" customHeight="1" x14ac:dyDescent="0.35">
      <c r="A16" s="1352"/>
      <c r="B16" s="692">
        <v>2</v>
      </c>
      <c r="C16" s="1181"/>
      <c r="D16" s="1223"/>
      <c r="E16" s="1224"/>
      <c r="F16" s="1225"/>
      <c r="G16" s="1284"/>
      <c r="H16" s="1277"/>
      <c r="I16" s="1278"/>
      <c r="J16" s="1279"/>
      <c r="K16" s="1230"/>
      <c r="L16" s="1231"/>
      <c r="M16" s="1232">
        <v>19</v>
      </c>
      <c r="N16" s="1232"/>
      <c r="O16" s="1225"/>
      <c r="P16" s="1233"/>
      <c r="Q16" s="1234" t="s">
        <v>1146</v>
      </c>
      <c r="R16" s="1235"/>
      <c r="S16" s="1170"/>
      <c r="T16" s="286"/>
      <c r="U16" s="1160"/>
      <c r="V16" s="1137"/>
      <c r="W16" s="1137"/>
      <c r="X16" s="1157"/>
      <c r="Y16" s="1236"/>
      <c r="Z16" s="1187"/>
      <c r="AA16" s="1285"/>
      <c r="AB16" s="1170"/>
      <c r="AC16" s="286"/>
      <c r="AD16" s="1160"/>
      <c r="AE16" s="1137"/>
      <c r="AF16" s="1137"/>
      <c r="AG16" s="1287"/>
      <c r="AH16" s="1282"/>
      <c r="AI16" s="1289"/>
      <c r="AJ16" s="1289"/>
      <c r="AK16" s="1290"/>
      <c r="AL16" s="1179"/>
      <c r="AM16" s="1160"/>
      <c r="AN16" s="1137"/>
      <c r="AO16" s="1137"/>
      <c r="AP16" s="1295"/>
      <c r="AQ16" s="1297"/>
      <c r="AR16" s="1277"/>
      <c r="AS16" s="1297"/>
      <c r="AT16" s="1283"/>
    </row>
    <row r="17" spans="1:46" ht="30.75" customHeight="1" x14ac:dyDescent="0.45">
      <c r="A17" s="1351">
        <v>45969</v>
      </c>
      <c r="B17" s="717">
        <v>1</v>
      </c>
      <c r="C17" s="1155"/>
      <c r="D17" s="1215"/>
      <c r="E17" s="1216">
        <v>27</v>
      </c>
      <c r="F17" s="1217"/>
      <c r="G17" s="1284"/>
      <c r="H17" s="1180"/>
      <c r="I17" s="1278" t="s">
        <v>1097</v>
      </c>
      <c r="J17" s="1279"/>
      <c r="K17" s="286"/>
      <c r="L17" s="1222"/>
      <c r="M17" s="1161"/>
      <c r="N17" s="1161"/>
      <c r="O17" s="1217"/>
      <c r="P17" s="1218"/>
      <c r="Q17" s="1219"/>
      <c r="R17" s="1150"/>
      <c r="S17" s="1170"/>
      <c r="T17" s="286"/>
      <c r="U17" s="1160"/>
      <c r="V17" s="1137"/>
      <c r="W17" s="1137"/>
      <c r="X17" s="1157"/>
      <c r="Y17" s="1158"/>
      <c r="Z17" s="1180"/>
      <c r="AA17" s="1204"/>
      <c r="AB17" s="1170"/>
      <c r="AC17" s="286"/>
      <c r="AD17" s="1160"/>
      <c r="AE17" s="1137"/>
      <c r="AF17" s="1137"/>
      <c r="AG17" s="1287"/>
      <c r="AH17" s="1282"/>
      <c r="AI17" s="1282"/>
      <c r="AJ17" s="1283"/>
      <c r="AK17" s="1283"/>
      <c r="AL17" s="1153"/>
      <c r="AM17" s="1160"/>
      <c r="AN17" s="1137"/>
      <c r="AO17" s="1192"/>
      <c r="AP17" s="1295"/>
      <c r="AQ17" s="1282"/>
      <c r="AR17" s="1283"/>
      <c r="AS17" s="1290"/>
      <c r="AT17" s="1283"/>
    </row>
    <row r="18" spans="1:46" ht="30.75" customHeight="1" x14ac:dyDescent="0.45">
      <c r="A18" s="1352"/>
      <c r="B18" s="692">
        <v>2</v>
      </c>
      <c r="C18" s="1155"/>
      <c r="D18" s="1156"/>
      <c r="E18" s="1156">
        <v>39</v>
      </c>
      <c r="F18" s="1157"/>
      <c r="G18" s="1209"/>
      <c r="H18" s="1275"/>
      <c r="I18" s="1220" t="s">
        <v>1097</v>
      </c>
      <c r="J18" s="1221"/>
      <c r="K18" s="286"/>
      <c r="L18" s="1160"/>
      <c r="M18" s="1137"/>
      <c r="N18" s="1137"/>
      <c r="O18" s="1157"/>
      <c r="P18" s="1158"/>
      <c r="Q18" s="1150"/>
      <c r="R18" s="1141"/>
      <c r="S18" s="1170"/>
      <c r="T18" s="286"/>
      <c r="U18" s="1160"/>
      <c r="V18" s="1137"/>
      <c r="W18" s="1156">
        <v>40</v>
      </c>
      <c r="X18" s="1157"/>
      <c r="Y18" s="1158"/>
      <c r="Z18" s="1150"/>
      <c r="AA18" s="1165" t="s">
        <v>1097</v>
      </c>
      <c r="AB18" s="1170"/>
      <c r="AC18" s="286"/>
      <c r="AD18" s="1160"/>
      <c r="AE18" s="1137"/>
      <c r="AF18" s="1137"/>
      <c r="AG18" s="1287"/>
      <c r="AH18" s="1283"/>
      <c r="AI18" s="1283"/>
      <c r="AJ18" s="1282"/>
      <c r="AK18" s="1170"/>
      <c r="AL18" s="1153"/>
      <c r="AM18" s="1160"/>
      <c r="AN18" s="1137"/>
      <c r="AO18" s="1192">
        <v>37</v>
      </c>
      <c r="AP18" s="1294"/>
      <c r="AQ18" s="1283"/>
      <c r="AR18" s="1277"/>
      <c r="AS18" s="1277" t="s">
        <v>1097</v>
      </c>
      <c r="AT18" s="1283"/>
    </row>
    <row r="19" spans="1:46" ht="30" customHeight="1" x14ac:dyDescent="0.45">
      <c r="A19" s="1351">
        <v>45970</v>
      </c>
      <c r="B19" s="692">
        <v>1</v>
      </c>
      <c r="C19" s="286"/>
      <c r="D19" s="1156"/>
      <c r="E19" s="1156"/>
      <c r="F19" s="1157"/>
      <c r="G19" s="1205"/>
      <c r="H19" s="1137"/>
      <c r="I19" s="1164"/>
      <c r="J19" s="1170"/>
      <c r="K19" s="286"/>
      <c r="L19" s="1160"/>
      <c r="M19" s="1137"/>
      <c r="N19" s="1137"/>
      <c r="O19" s="1157"/>
      <c r="P19" s="1160"/>
      <c r="Q19" s="1137"/>
      <c r="R19" s="1137"/>
      <c r="S19" s="1170"/>
      <c r="T19" s="286"/>
      <c r="U19" s="1160"/>
      <c r="V19" s="1137"/>
      <c r="W19" s="1137"/>
      <c r="X19" s="1157"/>
      <c r="Y19" s="1160"/>
      <c r="Z19" s="1152"/>
      <c r="AA19" s="1204"/>
      <c r="AB19" s="1170"/>
      <c r="AC19" s="286"/>
      <c r="AD19" s="1160"/>
      <c r="AE19" s="1137"/>
      <c r="AF19" s="1137"/>
      <c r="AG19" s="1287"/>
      <c r="AH19" s="1289"/>
      <c r="AI19" s="1289"/>
      <c r="AJ19" s="1290"/>
      <c r="AK19" s="1283"/>
      <c r="AL19" s="1153"/>
      <c r="AM19" s="1160"/>
      <c r="AN19" s="1137"/>
      <c r="AO19" s="1137"/>
      <c r="AP19" s="1287"/>
      <c r="AQ19" s="1289"/>
      <c r="AR19" s="1289"/>
      <c r="AS19" s="1283"/>
      <c r="AT19" s="1283"/>
    </row>
    <row r="20" spans="1:46" ht="30.75" customHeight="1" x14ac:dyDescent="0.45">
      <c r="A20" s="1352"/>
      <c r="B20" s="692">
        <v>2</v>
      </c>
      <c r="C20" s="1155"/>
      <c r="D20" s="1156"/>
      <c r="E20" s="1156">
        <v>35</v>
      </c>
      <c r="F20" s="1157"/>
      <c r="G20" s="1205"/>
      <c r="H20" s="1152"/>
      <c r="I20" s="1164" t="s">
        <v>1097</v>
      </c>
      <c r="J20" s="1170"/>
      <c r="K20" s="286"/>
      <c r="L20" s="1160"/>
      <c r="M20" s="1137"/>
      <c r="N20" s="1137"/>
      <c r="O20" s="1157"/>
      <c r="P20" s="1205"/>
      <c r="Q20" s="1152"/>
      <c r="R20" s="1141"/>
      <c r="S20" s="1170"/>
      <c r="T20" s="286"/>
      <c r="U20" s="1160"/>
      <c r="V20" s="1137"/>
      <c r="W20" s="1137">
        <v>34</v>
      </c>
      <c r="X20" s="1157"/>
      <c r="Y20" s="1205"/>
      <c r="Z20" s="1152"/>
      <c r="AA20" s="1150" t="s">
        <v>1097</v>
      </c>
      <c r="AB20" s="1170"/>
      <c r="AC20" s="286"/>
      <c r="AD20" s="1160"/>
      <c r="AE20" s="1137"/>
      <c r="AF20" s="1137"/>
      <c r="AG20" s="1287"/>
      <c r="AH20" s="1290"/>
      <c r="AI20" s="1290"/>
      <c r="AJ20" s="1278"/>
      <c r="AK20" s="1283"/>
      <c r="AL20" s="1153"/>
      <c r="AM20" s="1160"/>
      <c r="AN20" s="1137"/>
      <c r="AO20" s="1137"/>
      <c r="AP20" s="1287"/>
      <c r="AQ20" s="1290"/>
      <c r="AR20" s="1290"/>
      <c r="AS20" s="1278"/>
      <c r="AT20" s="1283"/>
    </row>
    <row r="21" spans="1:46" ht="29.25" customHeight="1" x14ac:dyDescent="0.45">
      <c r="A21" s="1351">
        <v>45971</v>
      </c>
      <c r="B21" s="692">
        <v>1</v>
      </c>
      <c r="C21" s="1155"/>
      <c r="D21" s="1156"/>
      <c r="E21" s="1156">
        <v>11</v>
      </c>
      <c r="F21" s="1157"/>
      <c r="G21" s="1210"/>
      <c r="H21" s="1140"/>
      <c r="I21" s="1164" t="s">
        <v>1097</v>
      </c>
      <c r="J21" s="1211"/>
      <c r="K21" s="286"/>
      <c r="L21" s="1160"/>
      <c r="M21" s="1137"/>
      <c r="N21" s="1137"/>
      <c r="O21" s="1157"/>
      <c r="P21" s="1160"/>
      <c r="Q21" s="1152"/>
      <c r="R21" s="1137"/>
      <c r="S21" s="1211"/>
      <c r="T21" s="286"/>
      <c r="U21" s="1160"/>
      <c r="V21" s="1137"/>
      <c r="W21" s="1137"/>
      <c r="X21" s="1157"/>
      <c r="Y21" s="1205"/>
      <c r="Z21" s="1137"/>
      <c r="AA21" s="1204"/>
      <c r="AB21" s="1211"/>
      <c r="AC21" s="286"/>
      <c r="AD21" s="1160"/>
      <c r="AE21" s="1137"/>
      <c r="AF21" s="1137"/>
      <c r="AG21" s="1287"/>
      <c r="AH21" s="1289"/>
      <c r="AI21" s="1289"/>
      <c r="AJ21" s="1290"/>
      <c r="AK21" s="1293"/>
      <c r="AL21" s="1153"/>
      <c r="AM21" s="1160"/>
      <c r="AN21" s="1137"/>
      <c r="AO21" s="1137"/>
      <c r="AP21" s="1287"/>
      <c r="AQ21" s="1289"/>
      <c r="AR21" s="1290"/>
      <c r="AS21" s="1290"/>
      <c r="AT21" s="1283"/>
    </row>
    <row r="22" spans="1:46" ht="30.75" customHeight="1" x14ac:dyDescent="0.45">
      <c r="A22" s="1352"/>
      <c r="B22" s="692">
        <v>2</v>
      </c>
      <c r="C22" s="1155"/>
      <c r="D22" s="1156"/>
      <c r="E22" s="1156"/>
      <c r="F22" s="1157"/>
      <c r="G22" s="1209"/>
      <c r="H22" s="1150"/>
      <c r="I22" s="1141"/>
      <c r="J22" s="1170"/>
      <c r="K22" s="286"/>
      <c r="L22" s="1160"/>
      <c r="M22" s="1137">
        <v>214</v>
      </c>
      <c r="N22" s="1137"/>
      <c r="O22" s="1157"/>
      <c r="P22" s="1149"/>
      <c r="Q22" s="1150" t="s">
        <v>1148</v>
      </c>
      <c r="R22" s="1137"/>
      <c r="S22" s="1170"/>
      <c r="T22" s="286"/>
      <c r="U22" s="1160"/>
      <c r="V22" s="1137"/>
      <c r="W22" s="1137"/>
      <c r="X22" s="1157"/>
      <c r="Y22" s="1205"/>
      <c r="Z22" s="1150"/>
      <c r="AA22" s="1165"/>
      <c r="AB22" s="1170"/>
      <c r="AC22" s="286"/>
      <c r="AD22" s="1160"/>
      <c r="AE22" s="1137"/>
      <c r="AF22" s="1137"/>
      <c r="AG22" s="1287"/>
      <c r="AH22" s="1289"/>
      <c r="AI22" s="1289"/>
      <c r="AJ22" s="1283"/>
      <c r="AK22" s="1283"/>
      <c r="AL22" s="1153"/>
      <c r="AM22" s="1160"/>
      <c r="AN22" s="1137"/>
      <c r="AO22" s="1137"/>
      <c r="AP22" s="1287"/>
      <c r="AQ22" s="1289"/>
      <c r="AR22" s="1283"/>
      <c r="AS22" s="1289"/>
      <c r="AT22" s="1283"/>
    </row>
    <row r="23" spans="1:46" ht="29.25" customHeight="1" x14ac:dyDescent="0.45">
      <c r="A23" s="1351">
        <v>45972</v>
      </c>
      <c r="B23" s="717">
        <v>1</v>
      </c>
      <c r="C23" s="1155">
        <v>145</v>
      </c>
      <c r="D23" s="1156"/>
      <c r="E23" s="1156">
        <v>24</v>
      </c>
      <c r="F23" s="1157"/>
      <c r="G23" s="1209" t="s">
        <v>1149</v>
      </c>
      <c r="H23" s="1140"/>
      <c r="I23" s="1164" t="s">
        <v>1097</v>
      </c>
      <c r="J23" s="1170"/>
      <c r="K23" s="286"/>
      <c r="L23" s="1160"/>
      <c r="M23" s="1137"/>
      <c r="N23" s="1137"/>
      <c r="O23" s="1157"/>
      <c r="P23" s="1139"/>
      <c r="Q23" s="1140"/>
      <c r="R23" s="1150"/>
      <c r="S23" s="1170"/>
      <c r="T23" s="286"/>
      <c r="U23" s="1160"/>
      <c r="V23" s="1137"/>
      <c r="W23" s="1137"/>
      <c r="X23" s="1157"/>
      <c r="Y23" s="1205"/>
      <c r="Z23" s="1141"/>
      <c r="AA23" s="1204"/>
      <c r="AB23" s="1170"/>
      <c r="AC23" s="286"/>
      <c r="AD23" s="1160"/>
      <c r="AE23" s="1137"/>
      <c r="AF23" s="1128"/>
      <c r="AG23" s="1287"/>
      <c r="AH23" s="1289"/>
      <c r="AI23" s="1282"/>
      <c r="AJ23" s="1282"/>
      <c r="AK23" s="1283"/>
      <c r="AL23" s="1153"/>
      <c r="AM23" s="1160"/>
      <c r="AN23" s="1137"/>
      <c r="AO23" s="1137"/>
      <c r="AP23" s="1287"/>
      <c r="AQ23" s="1289"/>
      <c r="AR23" s="1298"/>
      <c r="AS23" s="1283"/>
      <c r="AT23" s="1283"/>
    </row>
    <row r="24" spans="1:46" ht="30.75" customHeight="1" x14ac:dyDescent="0.45">
      <c r="A24" s="1352"/>
      <c r="B24" s="692">
        <v>2</v>
      </c>
      <c r="C24" s="1155">
        <v>146</v>
      </c>
      <c r="D24" s="1156"/>
      <c r="E24" s="1156">
        <v>17</v>
      </c>
      <c r="F24" s="1157"/>
      <c r="G24" s="1209" t="s">
        <v>1149</v>
      </c>
      <c r="H24" s="1150"/>
      <c r="I24" s="1164" t="s">
        <v>1097</v>
      </c>
      <c r="J24" s="1170"/>
      <c r="K24" s="286"/>
      <c r="L24" s="1160"/>
      <c r="M24" s="1137"/>
      <c r="N24" s="1137"/>
      <c r="O24" s="1157"/>
      <c r="P24" s="1139"/>
      <c r="Q24" s="1140"/>
      <c r="R24" s="1150"/>
      <c r="S24" s="1170"/>
      <c r="T24" s="1206"/>
      <c r="U24" s="1128"/>
      <c r="V24" s="1207"/>
      <c r="W24" s="1204"/>
      <c r="X24" s="1157"/>
      <c r="Y24" s="1141"/>
      <c r="Z24" s="1140"/>
      <c r="AA24" s="1204"/>
      <c r="AB24" s="1170"/>
      <c r="AC24" s="286"/>
      <c r="AD24" s="1160"/>
      <c r="AE24" s="1137"/>
      <c r="AF24" s="1128"/>
      <c r="AG24" s="1287"/>
      <c r="AH24" s="1278"/>
      <c r="AI24" s="1282"/>
      <c r="AJ24" s="1283"/>
      <c r="AK24" s="1283"/>
      <c r="AL24" s="1153"/>
      <c r="AM24" s="1160"/>
      <c r="AN24" s="1137"/>
      <c r="AO24" s="1137"/>
      <c r="AP24" s="1287"/>
      <c r="AQ24" s="1282"/>
      <c r="AR24" s="1282"/>
      <c r="AS24" s="1283"/>
      <c r="AT24" s="1283"/>
    </row>
    <row r="25" spans="1:46" ht="30" customHeight="1" x14ac:dyDescent="0.45">
      <c r="A25" s="1351">
        <v>45973</v>
      </c>
      <c r="B25" s="692">
        <v>1</v>
      </c>
      <c r="C25" s="1155"/>
      <c r="D25" s="1156"/>
      <c r="E25" s="1156">
        <v>10</v>
      </c>
      <c r="F25" s="1157"/>
      <c r="G25" s="1139"/>
      <c r="H25" s="1140"/>
      <c r="I25" s="1164" t="s">
        <v>1097</v>
      </c>
      <c r="J25" s="1170"/>
      <c r="K25" s="286"/>
      <c r="L25" s="1160"/>
      <c r="M25" s="1137"/>
      <c r="N25" s="1137"/>
      <c r="O25" s="1157"/>
      <c r="P25" s="1160"/>
      <c r="Q25" s="1140"/>
      <c r="R25" s="1137"/>
      <c r="S25" s="1170"/>
      <c r="T25" s="286"/>
      <c r="U25" s="1160"/>
      <c r="V25" s="1137"/>
      <c r="W25" s="1137"/>
      <c r="X25" s="1157"/>
      <c r="Y25" s="1205"/>
      <c r="Z25" s="1152"/>
      <c r="AA25" s="1204"/>
      <c r="AB25" s="1170"/>
      <c r="AC25" s="286"/>
      <c r="AD25" s="1160"/>
      <c r="AE25" s="1137"/>
      <c r="AF25" s="1137"/>
      <c r="AG25" s="1287"/>
      <c r="AH25" s="1289"/>
      <c r="AI25" s="1290"/>
      <c r="AJ25" s="1283"/>
      <c r="AK25" s="1283"/>
      <c r="AL25" s="1153"/>
      <c r="AM25" s="1160"/>
      <c r="AN25" s="1137"/>
      <c r="AO25" s="1137"/>
      <c r="AP25" s="1287"/>
      <c r="AQ25" s="1289"/>
      <c r="AR25" s="1289"/>
      <c r="AS25" s="1283"/>
      <c r="AT25" s="1283"/>
    </row>
    <row r="26" spans="1:46" ht="30" customHeight="1" x14ac:dyDescent="0.45">
      <c r="A26" s="1352"/>
      <c r="B26" s="692">
        <v>2</v>
      </c>
      <c r="C26" s="1155"/>
      <c r="D26" s="1156"/>
      <c r="E26" s="1156">
        <v>10</v>
      </c>
      <c r="F26" s="1157"/>
      <c r="G26" s="1139"/>
      <c r="H26" s="1150"/>
      <c r="I26" s="1164" t="s">
        <v>1097</v>
      </c>
      <c r="J26" s="1170"/>
      <c r="K26" s="286"/>
      <c r="L26" s="1160"/>
      <c r="M26" s="1137">
        <v>90</v>
      </c>
      <c r="N26" s="1137"/>
      <c r="O26" s="1157"/>
      <c r="P26" s="1139"/>
      <c r="Q26" s="1150" t="s">
        <v>1150</v>
      </c>
      <c r="R26" s="1176"/>
      <c r="S26" s="1170"/>
      <c r="T26" s="286"/>
      <c r="U26" s="1160"/>
      <c r="V26" s="1156"/>
      <c r="W26" s="1137"/>
      <c r="X26" s="1157"/>
      <c r="Y26" s="1141"/>
      <c r="Z26" s="1150"/>
      <c r="AA26" s="1204"/>
      <c r="AB26" s="1170"/>
      <c r="AC26" s="286"/>
      <c r="AD26" s="1160"/>
      <c r="AE26" s="1156"/>
      <c r="AF26" s="1137"/>
      <c r="AG26" s="1287"/>
      <c r="AH26" s="1278"/>
      <c r="AI26" s="1283"/>
      <c r="AJ26" s="1283"/>
      <c r="AK26" s="1283"/>
      <c r="AL26" s="1153"/>
      <c r="AM26" s="1160"/>
      <c r="AN26" s="1156"/>
      <c r="AO26" s="1137"/>
      <c r="AP26" s="1287"/>
      <c r="AQ26" s="1282"/>
      <c r="AR26" s="1283"/>
      <c r="AS26" s="1283"/>
      <c r="AT26" s="1283"/>
    </row>
    <row r="27" spans="1:46" ht="30.75" customHeight="1" x14ac:dyDescent="0.45">
      <c r="A27" s="1351">
        <v>45974</v>
      </c>
      <c r="B27" s="717">
        <v>1</v>
      </c>
      <c r="C27" s="1155"/>
      <c r="D27" s="1156"/>
      <c r="E27" s="1156"/>
      <c r="F27" s="1157"/>
      <c r="G27" s="1139"/>
      <c r="H27" s="1140"/>
      <c r="I27" s="1164"/>
      <c r="J27" s="1170"/>
      <c r="K27" s="286"/>
      <c r="L27" s="1160"/>
      <c r="M27" s="1137"/>
      <c r="N27" s="1137"/>
      <c r="O27" s="1157"/>
      <c r="P27" s="1139"/>
      <c r="Q27" s="1140"/>
      <c r="R27" s="1150"/>
      <c r="S27" s="1170"/>
      <c r="T27" s="286"/>
      <c r="U27" s="1160"/>
      <c r="V27" s="1137"/>
      <c r="W27" s="1137">
        <v>19</v>
      </c>
      <c r="X27" s="1157"/>
      <c r="Y27" s="1139"/>
      <c r="Z27" s="1150"/>
      <c r="AA27" s="1204" t="s">
        <v>1097</v>
      </c>
      <c r="AB27" s="1170"/>
      <c r="AC27" s="286"/>
      <c r="AD27" s="1160"/>
      <c r="AE27" s="1137"/>
      <c r="AF27" s="1137"/>
      <c r="AG27" s="1287"/>
      <c r="AH27" s="1282"/>
      <c r="AI27" s="1290"/>
      <c r="AJ27" s="1283"/>
      <c r="AK27" s="1283"/>
      <c r="AL27" s="1153"/>
      <c r="AM27" s="1160"/>
      <c r="AN27" s="1137"/>
      <c r="AO27" s="1137"/>
      <c r="AP27" s="1287"/>
      <c r="AQ27" s="1290"/>
      <c r="AR27" s="1289"/>
      <c r="AS27" s="1283"/>
      <c r="AT27" s="1283"/>
    </row>
    <row r="28" spans="1:46" ht="30" customHeight="1" x14ac:dyDescent="0.45">
      <c r="A28" s="1352"/>
      <c r="B28" s="692">
        <v>2</v>
      </c>
      <c r="C28" s="1155"/>
      <c r="D28" s="1156"/>
      <c r="E28" s="1156"/>
      <c r="F28" s="1157"/>
      <c r="G28" s="1150"/>
      <c r="H28" s="1150"/>
      <c r="I28" s="1176"/>
      <c r="J28" s="1170"/>
      <c r="K28" s="286"/>
      <c r="L28" s="1160"/>
      <c r="M28" s="1137"/>
      <c r="N28" s="1137"/>
      <c r="O28" s="1157"/>
      <c r="P28" s="1150"/>
      <c r="Q28" s="1150"/>
      <c r="R28" s="1150"/>
      <c r="S28" s="1170"/>
      <c r="T28" s="286"/>
      <c r="U28" s="1160"/>
      <c r="V28" s="1137"/>
      <c r="W28" s="286">
        <v>16</v>
      </c>
      <c r="X28" s="1157"/>
      <c r="Y28" s="1150"/>
      <c r="Z28" s="1137"/>
      <c r="AA28" s="1204" t="s">
        <v>1097</v>
      </c>
      <c r="AB28" s="1170"/>
      <c r="AC28" s="286"/>
      <c r="AD28" s="1160"/>
      <c r="AE28" s="1137"/>
      <c r="AF28" s="1137"/>
      <c r="AG28" s="1287"/>
      <c r="AH28" s="1282"/>
      <c r="AI28" s="1290"/>
      <c r="AJ28" s="1290"/>
      <c r="AK28" s="1283"/>
      <c r="AL28" s="1153"/>
      <c r="AM28" s="1160"/>
      <c r="AN28" s="1137"/>
      <c r="AO28" s="1137"/>
      <c r="AP28" s="1287"/>
      <c r="AQ28" s="1290"/>
      <c r="AR28" s="1289"/>
      <c r="AS28" s="1283"/>
      <c r="AT28" s="1283"/>
    </row>
    <row r="29" spans="1:46" ht="30" customHeight="1" x14ac:dyDescent="0.45">
      <c r="A29" s="1351">
        <v>45975</v>
      </c>
      <c r="B29" s="692">
        <v>1</v>
      </c>
      <c r="C29" s="1155"/>
      <c r="D29" s="1156"/>
      <c r="E29" s="1156"/>
      <c r="F29" s="1157"/>
      <c r="G29" s="1150"/>
      <c r="H29" s="1140"/>
      <c r="I29" s="1176"/>
      <c r="J29" s="1170"/>
      <c r="K29" s="286"/>
      <c r="L29" s="1160"/>
      <c r="M29" s="1137"/>
      <c r="N29" s="1137"/>
      <c r="O29" s="1157"/>
      <c r="P29" s="1139"/>
      <c r="Q29" s="1150"/>
      <c r="R29" s="1150"/>
      <c r="S29" s="1170"/>
      <c r="T29" s="286"/>
      <c r="U29" s="1160"/>
      <c r="V29" s="1137"/>
      <c r="W29" s="1137"/>
      <c r="X29" s="1157"/>
      <c r="Y29" s="1150"/>
      <c r="Z29" s="1140"/>
      <c r="AA29" s="1165"/>
      <c r="AB29" s="1170"/>
      <c r="AC29" s="286"/>
      <c r="AD29" s="1160"/>
      <c r="AE29" s="1137"/>
      <c r="AF29" s="1137"/>
      <c r="AG29" s="1287"/>
      <c r="AH29" s="1282"/>
      <c r="AI29" s="1282"/>
      <c r="AJ29" s="1289"/>
      <c r="AK29" s="1283"/>
      <c r="AL29" s="1153"/>
      <c r="AM29" s="1160"/>
      <c r="AN29" s="1137"/>
      <c r="AO29" s="1137"/>
      <c r="AP29" s="1287"/>
      <c r="AQ29" s="1290"/>
      <c r="AR29" s="1282"/>
      <c r="AS29" s="1289"/>
      <c r="AT29" s="1283"/>
    </row>
    <row r="30" spans="1:46" ht="29.25" customHeight="1" x14ac:dyDescent="0.45">
      <c r="A30" s="1352"/>
      <c r="B30" s="717">
        <v>2</v>
      </c>
      <c r="C30" s="1155"/>
      <c r="D30" s="1156"/>
      <c r="E30" s="1156">
        <v>57</v>
      </c>
      <c r="F30" s="1157"/>
      <c r="G30" s="1150"/>
      <c r="H30" s="1140"/>
      <c r="I30" s="1165" t="s">
        <v>1097</v>
      </c>
      <c r="J30" s="1252" t="s">
        <v>1146</v>
      </c>
      <c r="K30" s="286"/>
      <c r="L30" s="1160"/>
      <c r="M30" s="1137"/>
      <c r="N30" s="1137"/>
      <c r="O30" s="1157">
        <v>16</v>
      </c>
      <c r="P30" s="1139"/>
      <c r="Q30" s="1150"/>
      <c r="R30" s="1150"/>
      <c r="S30" s="1252" t="s">
        <v>1146</v>
      </c>
      <c r="T30" s="286"/>
      <c r="U30" s="1160"/>
      <c r="V30" s="1137"/>
      <c r="W30" s="1137">
        <v>51</v>
      </c>
      <c r="X30" s="1157"/>
      <c r="Y30" s="1340"/>
      <c r="Z30" s="1341"/>
      <c r="AA30" s="1342" t="s">
        <v>1097</v>
      </c>
      <c r="AB30" s="1252" t="s">
        <v>1146</v>
      </c>
      <c r="AC30" s="286"/>
      <c r="AD30" s="1160"/>
      <c r="AE30" s="1137"/>
      <c r="AF30" s="1137"/>
      <c r="AG30" s="1287">
        <v>23</v>
      </c>
      <c r="AH30" s="1282"/>
      <c r="AI30" s="1283"/>
      <c r="AJ30" s="1289"/>
      <c r="AK30" s="1343" t="s">
        <v>1146</v>
      </c>
      <c r="AL30" s="1153"/>
      <c r="AM30" s="1160"/>
      <c r="AN30" s="1137"/>
      <c r="AO30" s="1137"/>
      <c r="AP30" s="1287">
        <v>24</v>
      </c>
      <c r="AQ30" s="1290"/>
      <c r="AR30" s="1282"/>
      <c r="AS30" s="1289"/>
      <c r="AT30" s="1344" t="s">
        <v>1146</v>
      </c>
    </row>
    <row r="31" spans="1:46" ht="29.25" customHeight="1" x14ac:dyDescent="0.45">
      <c r="A31" s="1351">
        <v>45976</v>
      </c>
      <c r="B31" s="692">
        <v>1</v>
      </c>
      <c r="C31" s="1155"/>
      <c r="D31" s="1156"/>
      <c r="E31" s="1156"/>
      <c r="F31" s="1157"/>
      <c r="G31" s="1139"/>
      <c r="H31" s="1171"/>
      <c r="I31" s="1241"/>
      <c r="J31" s="1170"/>
      <c r="K31" s="286"/>
      <c r="L31" s="1160"/>
      <c r="M31" s="1137"/>
      <c r="N31" s="1137"/>
      <c r="O31" s="1157"/>
      <c r="P31" s="1128"/>
      <c r="Q31" s="1137"/>
      <c r="R31" s="1137"/>
      <c r="S31" s="1170"/>
      <c r="T31" s="286"/>
      <c r="U31" s="1160"/>
      <c r="V31" s="1137"/>
      <c r="W31" s="1137"/>
      <c r="X31" s="1157"/>
      <c r="Y31" s="1172"/>
      <c r="Z31" s="1242"/>
      <c r="AA31" s="1240"/>
      <c r="AB31" s="1179"/>
      <c r="AC31" s="286"/>
      <c r="AD31" s="1160"/>
      <c r="AE31" s="1137"/>
      <c r="AF31" s="1137"/>
      <c r="AG31" s="1287"/>
      <c r="AH31" s="1282"/>
      <c r="AI31" s="1289"/>
      <c r="AJ31" s="1289"/>
      <c r="AK31" s="1283"/>
      <c r="AL31" s="1153"/>
      <c r="AM31" s="1160"/>
      <c r="AN31" s="1137"/>
      <c r="AO31" s="1137"/>
      <c r="AP31" s="1287"/>
      <c r="AQ31" s="1289"/>
      <c r="AR31" s="1282"/>
      <c r="AS31" s="1289"/>
      <c r="AT31" s="1290"/>
    </row>
    <row r="32" spans="1:46" ht="30.75" customHeight="1" x14ac:dyDescent="0.45">
      <c r="A32" s="1352"/>
      <c r="B32" s="692">
        <v>2</v>
      </c>
      <c r="C32" s="1245"/>
      <c r="D32" s="1183"/>
      <c r="E32" s="1156"/>
      <c r="F32" s="1183"/>
      <c r="G32" s="1139"/>
      <c r="H32" s="1171"/>
      <c r="I32" s="1241"/>
      <c r="J32" s="1170"/>
      <c r="K32" s="286"/>
      <c r="L32" s="1160"/>
      <c r="M32" s="1137"/>
      <c r="N32" s="1137"/>
      <c r="O32" s="1137"/>
      <c r="P32" s="1128"/>
      <c r="Q32" s="1171"/>
      <c r="R32" s="1128"/>
      <c r="S32" s="1170"/>
      <c r="T32" s="286"/>
      <c r="U32" s="1160"/>
      <c r="V32" s="1137"/>
      <c r="W32" s="1156"/>
      <c r="X32" s="1137"/>
      <c r="Y32" s="1237"/>
      <c r="Z32" s="1246"/>
      <c r="AA32" s="1243"/>
      <c r="AB32" s="1179"/>
      <c r="AC32" s="286"/>
      <c r="AD32" s="1160"/>
      <c r="AE32" s="1137"/>
      <c r="AF32" s="1156"/>
      <c r="AG32" s="1203"/>
      <c r="AH32" s="1282"/>
      <c r="AI32" s="1283"/>
      <c r="AJ32" s="1290"/>
      <c r="AK32" s="1283"/>
      <c r="AL32" s="1153"/>
      <c r="AM32" s="1160"/>
      <c r="AN32" s="1137"/>
      <c r="AO32" s="1137"/>
      <c r="AP32" s="1287"/>
      <c r="AQ32" s="1289"/>
      <c r="AR32" s="1282"/>
      <c r="AS32" s="1283"/>
      <c r="AT32" s="1290"/>
    </row>
    <row r="33" spans="1:46" ht="30.75" customHeight="1" x14ac:dyDescent="0.45">
      <c r="A33" s="1351">
        <v>45977</v>
      </c>
      <c r="B33" s="692">
        <v>1</v>
      </c>
      <c r="C33" s="1155"/>
      <c r="D33" s="1156"/>
      <c r="E33" s="1156"/>
      <c r="F33" s="1157"/>
      <c r="G33" s="1139"/>
      <c r="H33" s="1171"/>
      <c r="I33" s="1241"/>
      <c r="J33" s="1170"/>
      <c r="K33" s="286"/>
      <c r="L33" s="1160"/>
      <c r="M33" s="1137"/>
      <c r="N33" s="1137"/>
      <c r="O33" s="1157"/>
      <c r="P33" s="1128"/>
      <c r="Q33" s="1137"/>
      <c r="R33" s="1137"/>
      <c r="S33" s="1170"/>
      <c r="T33" s="286"/>
      <c r="U33" s="1160"/>
      <c r="V33" s="1137"/>
      <c r="W33" s="1137"/>
      <c r="X33" s="1157"/>
      <c r="Y33" s="1128"/>
      <c r="Z33" s="1161"/>
      <c r="AA33" s="1243"/>
      <c r="AB33" s="1170"/>
      <c r="AC33" s="286"/>
      <c r="AD33" s="1160"/>
      <c r="AE33" s="1137"/>
      <c r="AF33" s="1137"/>
      <c r="AG33" s="1287"/>
      <c r="AH33" s="1289"/>
      <c r="AI33" s="1290"/>
      <c r="AJ33" s="1290"/>
      <c r="AK33" s="1283"/>
      <c r="AL33" s="1153"/>
      <c r="AM33" s="1160"/>
      <c r="AN33" s="1137"/>
      <c r="AO33" s="1137"/>
      <c r="AP33" s="1287"/>
      <c r="AQ33" s="1289"/>
      <c r="AR33" s="1290"/>
      <c r="AS33" s="1289"/>
      <c r="AT33" s="1290"/>
    </row>
    <row r="34" spans="1:46" ht="30" customHeight="1" x14ac:dyDescent="0.45">
      <c r="A34" s="1352"/>
      <c r="B34" s="717">
        <v>2</v>
      </c>
      <c r="C34" s="1156"/>
      <c r="D34" s="1156"/>
      <c r="E34" s="1156">
        <v>54</v>
      </c>
      <c r="F34" s="1157"/>
      <c r="G34" s="1158"/>
      <c r="H34" s="1150"/>
      <c r="I34" s="1165" t="s">
        <v>1097</v>
      </c>
      <c r="J34" s="1170"/>
      <c r="K34" s="286"/>
      <c r="L34" s="1160"/>
      <c r="M34" s="1137"/>
      <c r="N34" s="1137"/>
      <c r="O34" s="1157"/>
      <c r="P34" s="1128"/>
      <c r="Q34" s="1150"/>
      <c r="R34" s="1137"/>
      <c r="S34" s="1170"/>
      <c r="T34" s="286"/>
      <c r="U34" s="1160"/>
      <c r="V34" s="1137"/>
      <c r="W34" s="1137">
        <v>20</v>
      </c>
      <c r="X34" s="1157"/>
      <c r="Y34" s="1152"/>
      <c r="Z34" s="1152"/>
      <c r="AA34" s="1165" t="s">
        <v>1097</v>
      </c>
      <c r="AB34" s="1170"/>
      <c r="AC34" s="286"/>
      <c r="AD34" s="1160"/>
      <c r="AE34" s="1137"/>
      <c r="AF34" s="1137">
        <v>10</v>
      </c>
      <c r="AG34" s="1287"/>
      <c r="AH34" s="1289"/>
      <c r="AI34" s="1289"/>
      <c r="AJ34" s="1290" t="s">
        <v>1097</v>
      </c>
      <c r="AK34" s="1283"/>
      <c r="AL34" s="1153"/>
      <c r="AM34" s="1160"/>
      <c r="AN34" s="1137">
        <v>21</v>
      </c>
      <c r="AO34" s="1137"/>
      <c r="AP34" s="1287"/>
      <c r="AQ34" s="1289"/>
      <c r="AR34" s="1290"/>
      <c r="AS34" s="1290" t="s">
        <v>1097</v>
      </c>
      <c r="AT34" s="1290"/>
    </row>
    <row r="35" spans="1:46" ht="29.25" customHeight="1" x14ac:dyDescent="0.45">
      <c r="A35" s="1351">
        <v>45978</v>
      </c>
      <c r="B35" s="692">
        <v>1</v>
      </c>
      <c r="C35" s="1156"/>
      <c r="D35" s="1156"/>
      <c r="E35" s="1203"/>
      <c r="F35" s="1157"/>
      <c r="G35" s="1205"/>
      <c r="H35" s="1128"/>
      <c r="I35" s="1165"/>
      <c r="J35" s="1170"/>
      <c r="K35" s="286"/>
      <c r="L35" s="1160"/>
      <c r="M35" s="1137"/>
      <c r="N35" s="1137"/>
      <c r="O35" s="1157"/>
      <c r="P35" s="1205"/>
      <c r="Q35" s="1150"/>
      <c r="R35" s="1150"/>
      <c r="S35" s="1170"/>
      <c r="T35" s="286"/>
      <c r="U35" s="1160"/>
      <c r="V35" s="1137"/>
      <c r="W35" s="1203">
        <v>16</v>
      </c>
      <c r="X35" s="1157"/>
      <c r="Y35" s="1205"/>
      <c r="Z35" s="1152"/>
      <c r="AA35" s="1165" t="s">
        <v>1097</v>
      </c>
      <c r="AB35" s="1170"/>
      <c r="AC35" s="286"/>
      <c r="AD35" s="1160"/>
      <c r="AE35" s="1137"/>
      <c r="AF35" s="1137"/>
      <c r="AG35" s="1287"/>
      <c r="AH35" s="1290"/>
      <c r="AI35" s="1289"/>
      <c r="AJ35" s="1283"/>
      <c r="AK35" s="1283"/>
      <c r="AL35" s="1153"/>
      <c r="AM35" s="1160"/>
      <c r="AN35" s="1137"/>
      <c r="AO35" s="1137"/>
      <c r="AP35" s="1287"/>
      <c r="AQ35" s="1289"/>
      <c r="AR35" s="1290"/>
      <c r="AS35" s="1290"/>
      <c r="AT35" s="1283"/>
    </row>
    <row r="36" spans="1:46" ht="46.95" customHeight="1" x14ac:dyDescent="0.45">
      <c r="A36" s="1352"/>
      <c r="B36" s="692">
        <v>2</v>
      </c>
      <c r="C36" s="1203"/>
      <c r="D36" s="1137"/>
      <c r="E36" s="1203">
        <v>10</v>
      </c>
      <c r="F36" s="1157"/>
      <c r="G36" s="1176"/>
      <c r="H36" s="1150"/>
      <c r="I36" s="1176" t="s">
        <v>1097</v>
      </c>
      <c r="J36" s="1170"/>
      <c r="K36" s="286"/>
      <c r="L36" s="1205"/>
      <c r="M36" s="1137"/>
      <c r="N36" s="1137"/>
      <c r="O36" s="1157"/>
      <c r="P36" s="1205"/>
      <c r="Q36" s="1150"/>
      <c r="R36" s="1152"/>
      <c r="S36" s="1170"/>
      <c r="T36" s="286"/>
      <c r="U36" s="1160"/>
      <c r="V36" s="1137"/>
      <c r="W36" s="1137"/>
      <c r="X36" s="1157"/>
      <c r="Y36" s="1205"/>
      <c r="Z36" s="1150"/>
      <c r="AA36" s="1165"/>
      <c r="AB36" s="1170"/>
      <c r="AC36" s="286"/>
      <c r="AD36" s="1160"/>
      <c r="AE36" s="1137"/>
      <c r="AF36" s="1203"/>
      <c r="AG36" s="1287"/>
      <c r="AH36" s="1290"/>
      <c r="AI36" s="1290"/>
      <c r="AJ36" s="1290"/>
      <c r="AK36" s="1283"/>
      <c r="AL36" s="1153"/>
      <c r="AM36" s="1160"/>
      <c r="AN36" s="1137"/>
      <c r="AO36" s="1137"/>
      <c r="AP36" s="1287"/>
      <c r="AQ36" s="1289"/>
      <c r="AR36" s="1290"/>
      <c r="AS36" s="1290"/>
      <c r="AT36" s="1283"/>
    </row>
    <row r="37" spans="1:46" ht="40.5" customHeight="1" x14ac:dyDescent="0.45">
      <c r="A37" s="1351">
        <v>45979</v>
      </c>
      <c r="B37" s="717">
        <v>1</v>
      </c>
      <c r="C37" s="1203"/>
      <c r="D37" s="1156"/>
      <c r="E37" s="1203"/>
      <c r="F37" s="1157"/>
      <c r="G37" s="1176"/>
      <c r="H37" s="1152"/>
      <c r="I37" s="1141"/>
      <c r="J37" s="1170"/>
      <c r="K37" s="286"/>
      <c r="L37" s="1160"/>
      <c r="M37" s="1137"/>
      <c r="N37" s="1137"/>
      <c r="O37" s="1157"/>
      <c r="P37" s="1128"/>
      <c r="Q37" s="1150"/>
      <c r="R37" s="1137"/>
      <c r="S37" s="1170"/>
      <c r="T37" s="286"/>
      <c r="U37" s="1160"/>
      <c r="V37" s="1137"/>
      <c r="W37" s="1137"/>
      <c r="X37" s="1157"/>
      <c r="Y37" s="1128"/>
      <c r="Z37" s="1152"/>
      <c r="AA37" s="1165"/>
      <c r="AB37" s="1170"/>
      <c r="AC37" s="286"/>
      <c r="AD37" s="1160"/>
      <c r="AE37" s="1137"/>
      <c r="AF37" s="1137"/>
      <c r="AG37" s="1287"/>
      <c r="AH37" s="1290"/>
      <c r="AI37" s="1289"/>
      <c r="AJ37" s="1290"/>
      <c r="AK37" s="1283"/>
      <c r="AL37" s="1153"/>
      <c r="AM37" s="1160"/>
      <c r="AN37" s="1137"/>
      <c r="AO37" s="1137"/>
      <c r="AP37" s="1287"/>
      <c r="AQ37" s="1289"/>
      <c r="AR37" s="1290"/>
      <c r="AS37" s="1289"/>
      <c r="AT37" s="1283"/>
    </row>
    <row r="38" spans="1:46" ht="40.5" customHeight="1" x14ac:dyDescent="0.45">
      <c r="A38" s="1352"/>
      <c r="B38" s="692">
        <v>2</v>
      </c>
      <c r="C38" s="1203">
        <v>45</v>
      </c>
      <c r="D38" s="1156">
        <v>185</v>
      </c>
      <c r="E38" s="1203">
        <v>15</v>
      </c>
      <c r="F38" s="1157"/>
      <c r="G38" s="1176" t="s">
        <v>1151</v>
      </c>
      <c r="H38" s="1152" t="s">
        <v>601</v>
      </c>
      <c r="I38" s="1141" t="s">
        <v>1085</v>
      </c>
      <c r="J38" s="1170"/>
      <c r="K38" s="286"/>
      <c r="L38" s="1160"/>
      <c r="M38" s="1137"/>
      <c r="N38" s="1137"/>
      <c r="O38" s="1157"/>
      <c r="P38" s="1149"/>
      <c r="Q38" s="1149"/>
      <c r="R38" s="1137"/>
      <c r="S38" s="1170"/>
      <c r="T38" s="286"/>
      <c r="U38" s="1160"/>
      <c r="V38" s="1137"/>
      <c r="W38" s="1137">
        <v>13</v>
      </c>
      <c r="X38" s="1157"/>
      <c r="Y38" s="1149"/>
      <c r="Z38" s="1152"/>
      <c r="AA38" s="1165" t="s">
        <v>1097</v>
      </c>
      <c r="AB38" s="1170"/>
      <c r="AC38" s="286"/>
      <c r="AD38" s="1160"/>
      <c r="AE38" s="1137"/>
      <c r="AF38" s="1137"/>
      <c r="AG38" s="1287"/>
      <c r="AH38" s="1290"/>
      <c r="AI38" s="1289"/>
      <c r="AJ38" s="1290"/>
      <c r="AK38" s="1283"/>
      <c r="AL38" s="1153"/>
      <c r="AM38" s="1160"/>
      <c r="AN38" s="1137"/>
      <c r="AO38" s="1137"/>
      <c r="AP38" s="1287"/>
      <c r="AQ38" s="1289"/>
      <c r="AR38" s="1290"/>
      <c r="AS38" s="1290"/>
      <c r="AT38" s="1283"/>
    </row>
    <row r="39" spans="1:46" ht="42" customHeight="1" x14ac:dyDescent="0.45">
      <c r="A39" s="1351">
        <v>45980</v>
      </c>
      <c r="B39" s="692">
        <v>1</v>
      </c>
      <c r="C39" s="1203"/>
      <c r="D39" s="1156"/>
      <c r="E39" s="1156">
        <v>21</v>
      </c>
      <c r="F39" s="1157"/>
      <c r="G39" s="1176"/>
      <c r="H39" s="1152"/>
      <c r="I39" s="1141" t="s">
        <v>1097</v>
      </c>
      <c r="J39" s="1170"/>
      <c r="K39" s="286"/>
      <c r="L39" s="1160"/>
      <c r="M39" s="1137"/>
      <c r="N39" s="1137"/>
      <c r="O39" s="1157"/>
      <c r="P39" s="1176"/>
      <c r="Q39" s="1150"/>
      <c r="R39" s="1137"/>
      <c r="S39" s="1170"/>
      <c r="T39" s="286"/>
      <c r="U39" s="1160"/>
      <c r="V39" s="1137"/>
      <c r="W39" s="1137">
        <v>12</v>
      </c>
      <c r="X39" s="1157"/>
      <c r="Y39" s="1128"/>
      <c r="Z39" s="1150"/>
      <c r="AA39" s="1165" t="s">
        <v>1097</v>
      </c>
      <c r="AB39" s="1170"/>
      <c r="AC39" s="286"/>
      <c r="AD39" s="1160"/>
      <c r="AE39" s="1137"/>
      <c r="AF39" s="1137"/>
      <c r="AG39" s="1287"/>
      <c r="AH39" s="1283"/>
      <c r="AI39" s="1282"/>
      <c r="AJ39" s="1290"/>
      <c r="AK39" s="1283"/>
      <c r="AL39" s="1153"/>
      <c r="AM39" s="1160"/>
      <c r="AN39" s="1137"/>
      <c r="AO39" s="1137"/>
      <c r="AP39" s="1287"/>
      <c r="AQ39" s="1289"/>
      <c r="AR39" s="1290"/>
      <c r="AS39" s="1290"/>
      <c r="AT39" s="1283"/>
    </row>
    <row r="40" spans="1:46" ht="43.5" customHeight="1" x14ac:dyDescent="0.45">
      <c r="A40" s="1352"/>
      <c r="B40" s="692">
        <v>2</v>
      </c>
      <c r="C40" s="1156"/>
      <c r="D40" s="1156"/>
      <c r="E40" s="1156">
        <v>42</v>
      </c>
      <c r="F40" s="1157"/>
      <c r="G40" s="1176"/>
      <c r="H40" s="1152"/>
      <c r="I40" s="1141" t="s">
        <v>1097</v>
      </c>
      <c r="J40" s="1170"/>
      <c r="K40" s="286"/>
      <c r="L40" s="1160"/>
      <c r="M40" s="1137"/>
      <c r="N40" s="1137"/>
      <c r="O40" s="1157"/>
      <c r="P40" s="1139"/>
      <c r="Q40" s="1140"/>
      <c r="R40" s="1176"/>
      <c r="S40" s="1170"/>
      <c r="T40" s="286"/>
      <c r="U40" s="1160"/>
      <c r="V40" s="1137"/>
      <c r="W40" s="1137">
        <v>17</v>
      </c>
      <c r="X40" s="1157"/>
      <c r="Y40" s="1149"/>
      <c r="Z40" s="1137"/>
      <c r="AA40" s="1165" t="s">
        <v>1097</v>
      </c>
      <c r="AB40" s="1170"/>
      <c r="AC40" s="286"/>
      <c r="AD40" s="1160"/>
      <c r="AE40" s="1137"/>
      <c r="AF40" s="1137"/>
      <c r="AG40" s="1287"/>
      <c r="AH40" s="1290"/>
      <c r="AI40" s="1283"/>
      <c r="AJ40" s="1290"/>
      <c r="AK40" s="1283"/>
      <c r="AL40" s="1153"/>
      <c r="AM40" s="1205"/>
      <c r="AN40" s="1137"/>
      <c r="AO40" s="1137"/>
      <c r="AP40" s="1287"/>
      <c r="AQ40" s="1289"/>
      <c r="AR40" s="1290"/>
      <c r="AS40" s="1283"/>
      <c r="AT40" s="1283"/>
    </row>
    <row r="41" spans="1:46" ht="39.65" customHeight="1" x14ac:dyDescent="0.45">
      <c r="A41" s="1351">
        <v>45981</v>
      </c>
      <c r="B41" s="692">
        <v>1</v>
      </c>
      <c r="C41" s="1155"/>
      <c r="D41" s="1156"/>
      <c r="E41" s="1156"/>
      <c r="F41" s="1157"/>
      <c r="G41" s="1139"/>
      <c r="H41" s="1150"/>
      <c r="I41" s="1141"/>
      <c r="J41" s="1170"/>
      <c r="K41" s="286"/>
      <c r="L41" s="1160"/>
      <c r="M41" s="1137"/>
      <c r="N41" s="1137"/>
      <c r="O41" s="1157"/>
      <c r="P41" s="1128"/>
      <c r="Q41" s="1137"/>
      <c r="R41" s="1176"/>
      <c r="S41" s="1170"/>
      <c r="T41" s="286"/>
      <c r="U41" s="1160"/>
      <c r="V41" s="1137"/>
      <c r="W41" s="1137"/>
      <c r="X41" s="1157"/>
      <c r="Y41" s="1128"/>
      <c r="Z41" s="1152"/>
      <c r="AA41" s="1165"/>
      <c r="AB41" s="1170"/>
      <c r="AC41" s="286"/>
      <c r="AD41" s="1160"/>
      <c r="AE41" s="1137"/>
      <c r="AF41" s="1137"/>
      <c r="AG41" s="1287"/>
      <c r="AH41" s="1290"/>
      <c r="AI41" s="1290"/>
      <c r="AJ41" s="1289"/>
      <c r="AK41" s="1283"/>
      <c r="AL41" s="1153"/>
      <c r="AM41" s="1160"/>
      <c r="AN41" s="1137"/>
      <c r="AO41" s="1137"/>
      <c r="AP41" s="1287"/>
      <c r="AQ41" s="1289"/>
      <c r="AR41" s="1290"/>
      <c r="AS41" s="1283"/>
      <c r="AT41" s="1283"/>
    </row>
    <row r="42" spans="1:46" ht="52.95" customHeight="1" x14ac:dyDescent="0.45">
      <c r="A42" s="1352"/>
      <c r="B42" s="692">
        <v>2</v>
      </c>
      <c r="C42" s="1156"/>
      <c r="D42" s="1156"/>
      <c r="E42" s="1156">
        <v>66</v>
      </c>
      <c r="F42" s="1157"/>
      <c r="G42" s="1139"/>
      <c r="H42" s="1150"/>
      <c r="I42" s="1176" t="s">
        <v>1097</v>
      </c>
      <c r="J42" s="1170"/>
      <c r="K42" s="286"/>
      <c r="L42" s="1160"/>
      <c r="M42" s="1137"/>
      <c r="N42" s="1137"/>
      <c r="O42" s="1157"/>
      <c r="P42" s="1128"/>
      <c r="Q42" s="1152"/>
      <c r="R42" s="1137"/>
      <c r="S42" s="1170"/>
      <c r="T42" s="286"/>
      <c r="U42" s="1160"/>
      <c r="V42" s="1137"/>
      <c r="W42" s="1137">
        <v>63</v>
      </c>
      <c r="X42" s="1157"/>
      <c r="Y42" s="1128"/>
      <c r="Z42" s="1152"/>
      <c r="AA42" s="1165" t="s">
        <v>1097</v>
      </c>
      <c r="AB42" s="1170"/>
      <c r="AC42" s="286"/>
      <c r="AD42" s="1160"/>
      <c r="AE42" s="1137"/>
      <c r="AF42" s="1137"/>
      <c r="AG42" s="1287"/>
      <c r="AH42" s="1290"/>
      <c r="AI42" s="1290"/>
      <c r="AJ42" s="1289"/>
      <c r="AK42" s="1283"/>
      <c r="AL42" s="1153"/>
      <c r="AM42" s="1160"/>
      <c r="AN42" s="1137"/>
      <c r="AO42" s="1137"/>
      <c r="AP42" s="1287"/>
      <c r="AQ42" s="1289"/>
      <c r="AR42" s="1290"/>
      <c r="AS42" s="1283"/>
      <c r="AT42" s="1283"/>
    </row>
    <row r="43" spans="1:46" ht="40.5" customHeight="1" x14ac:dyDescent="0.45">
      <c r="A43" s="1351">
        <v>45982</v>
      </c>
      <c r="B43" s="692">
        <v>1</v>
      </c>
      <c r="C43" s="1156"/>
      <c r="D43" s="1156"/>
      <c r="E43" s="1156"/>
      <c r="F43" s="1157"/>
      <c r="G43" s="1139"/>
      <c r="H43" s="1150"/>
      <c r="I43" s="1176"/>
      <c r="J43" s="1170"/>
      <c r="K43" s="286"/>
      <c r="L43" s="1160"/>
      <c r="M43" s="1137"/>
      <c r="N43" s="1137"/>
      <c r="O43" s="1157"/>
      <c r="P43" s="1128"/>
      <c r="Q43" s="1152"/>
      <c r="R43" s="1137"/>
      <c r="S43" s="1170"/>
      <c r="T43" s="286"/>
      <c r="U43" s="1160"/>
      <c r="V43" s="1137"/>
      <c r="W43" s="1137"/>
      <c r="X43" s="1157"/>
      <c r="Y43" s="1128"/>
      <c r="Z43" s="1152"/>
      <c r="AA43" s="1165"/>
      <c r="AB43" s="1170"/>
      <c r="AC43" s="286"/>
      <c r="AD43" s="1160"/>
      <c r="AE43" s="1137"/>
      <c r="AF43" s="1137"/>
      <c r="AG43" s="1287"/>
      <c r="AH43" s="1290"/>
      <c r="AI43" s="1290"/>
      <c r="AJ43" s="1289"/>
      <c r="AK43" s="1283"/>
      <c r="AL43" s="1153"/>
      <c r="AM43" s="1160"/>
      <c r="AN43" s="1137"/>
      <c r="AO43" s="1137"/>
      <c r="AP43" s="1287"/>
      <c r="AQ43" s="1289"/>
      <c r="AR43" s="1290"/>
      <c r="AS43" s="1283"/>
      <c r="AT43" s="1283"/>
    </row>
    <row r="44" spans="1:46" ht="45.75" customHeight="1" x14ac:dyDescent="0.45">
      <c r="A44" s="1352"/>
      <c r="B44" s="692">
        <v>2</v>
      </c>
      <c r="C44" s="1156"/>
      <c r="D44" s="1156"/>
      <c r="E44" s="1156">
        <v>27</v>
      </c>
      <c r="F44" s="1157"/>
      <c r="G44" s="1139"/>
      <c r="H44" s="1150"/>
      <c r="I44" s="1176" t="s">
        <v>1097</v>
      </c>
      <c r="J44" s="1170"/>
      <c r="K44" s="286"/>
      <c r="L44" s="1160"/>
      <c r="M44" s="1137"/>
      <c r="N44" s="1137"/>
      <c r="O44" s="1157"/>
      <c r="P44" s="1128"/>
      <c r="Q44" s="1152"/>
      <c r="R44" s="1137"/>
      <c r="S44" s="1170"/>
      <c r="T44" s="286"/>
      <c r="U44" s="1160"/>
      <c r="V44" s="1137"/>
      <c r="W44" s="1137"/>
      <c r="X44" s="1157"/>
      <c r="Y44" s="1128"/>
      <c r="Z44" s="1152"/>
      <c r="AA44" s="1165"/>
      <c r="AB44" s="1170"/>
      <c r="AC44" s="286"/>
      <c r="AD44" s="1160"/>
      <c r="AE44" s="1137">
        <v>83</v>
      </c>
      <c r="AF44" s="1137">
        <v>10</v>
      </c>
      <c r="AG44" s="1287"/>
      <c r="AH44" s="1290"/>
      <c r="AI44" s="1290" t="s">
        <v>1152</v>
      </c>
      <c r="AJ44" s="1289" t="s">
        <v>1153</v>
      </c>
      <c r="AK44" s="1283"/>
      <c r="AL44" s="1153"/>
      <c r="AM44" s="1160"/>
      <c r="AN44" s="1137"/>
      <c r="AO44" s="1137"/>
      <c r="AP44" s="1287"/>
      <c r="AQ44" s="1289"/>
      <c r="AR44" s="1290"/>
      <c r="AS44" s="1283"/>
      <c r="AT44" s="1283"/>
    </row>
    <row r="45" spans="1:46" ht="48.75" customHeight="1" x14ac:dyDescent="0.45">
      <c r="A45" s="1351">
        <v>45983</v>
      </c>
      <c r="B45" s="692">
        <v>1</v>
      </c>
      <c r="C45" s="1156"/>
      <c r="D45" s="1156"/>
      <c r="E45" s="1156"/>
      <c r="F45" s="1157"/>
      <c r="G45" s="1139"/>
      <c r="H45" s="1150"/>
      <c r="I45" s="1176"/>
      <c r="J45" s="1170"/>
      <c r="K45" s="286"/>
      <c r="L45" s="1160"/>
      <c r="M45" s="1137"/>
      <c r="N45" s="1137"/>
      <c r="O45" s="1157"/>
      <c r="P45" s="1128"/>
      <c r="Q45" s="1152"/>
      <c r="R45" s="1137"/>
      <c r="S45" s="1170"/>
      <c r="T45" s="286"/>
      <c r="U45" s="1160"/>
      <c r="V45" s="1137"/>
      <c r="W45" s="1137"/>
      <c r="X45" s="1157"/>
      <c r="Y45" s="1128"/>
      <c r="Z45" s="1152"/>
      <c r="AA45" s="1165"/>
      <c r="AB45" s="1170"/>
      <c r="AC45" s="286"/>
      <c r="AD45" s="1160"/>
      <c r="AE45" s="1137"/>
      <c r="AF45" s="1137"/>
      <c r="AG45" s="1287"/>
      <c r="AH45" s="1290"/>
      <c r="AI45" s="1290"/>
      <c r="AJ45" s="1289"/>
      <c r="AK45" s="1283"/>
      <c r="AL45" s="1153"/>
      <c r="AM45" s="1160"/>
      <c r="AN45" s="1137"/>
      <c r="AO45" s="1137"/>
      <c r="AP45" s="1287"/>
      <c r="AQ45" s="1289"/>
      <c r="AR45" s="1290"/>
      <c r="AS45" s="1283"/>
      <c r="AT45" s="1283"/>
    </row>
    <row r="46" spans="1:46" ht="48.65" customHeight="1" x14ac:dyDescent="0.45">
      <c r="A46" s="1352"/>
      <c r="B46" s="692">
        <v>2</v>
      </c>
      <c r="C46" s="1156"/>
      <c r="D46" s="1156"/>
      <c r="E46" s="1156">
        <v>57</v>
      </c>
      <c r="F46" s="1157"/>
      <c r="G46" s="1139"/>
      <c r="H46" s="1150"/>
      <c r="I46" s="1176" t="s">
        <v>1097</v>
      </c>
      <c r="J46" s="1170"/>
      <c r="K46" s="286"/>
      <c r="L46" s="1160"/>
      <c r="M46" s="1137"/>
      <c r="N46" s="1137"/>
      <c r="O46" s="1157"/>
      <c r="P46" s="1128"/>
      <c r="Q46" s="1152"/>
      <c r="R46" s="1137"/>
      <c r="S46" s="1170"/>
      <c r="T46" s="286"/>
      <c r="U46" s="1160"/>
      <c r="V46" s="1137"/>
      <c r="W46" s="1137">
        <v>43</v>
      </c>
      <c r="X46" s="1157"/>
      <c r="Y46" s="1128"/>
      <c r="Z46" s="1152"/>
      <c r="AA46" s="1165" t="s">
        <v>1097</v>
      </c>
      <c r="AB46" s="1170"/>
      <c r="AC46" s="286"/>
      <c r="AD46" s="1160"/>
      <c r="AE46" s="1137"/>
      <c r="AF46" s="1137"/>
      <c r="AG46" s="1287"/>
      <c r="AH46" s="1290"/>
      <c r="AI46" s="1290"/>
      <c r="AJ46" s="1289"/>
      <c r="AK46" s="1283"/>
      <c r="AL46" s="1153"/>
      <c r="AM46" s="1160"/>
      <c r="AN46" s="1137"/>
      <c r="AO46" s="1137"/>
      <c r="AP46" s="1287"/>
      <c r="AQ46" s="1289"/>
      <c r="AR46" s="1290"/>
      <c r="AS46" s="1283"/>
      <c r="AT46" s="1283"/>
    </row>
    <row r="47" spans="1:46" ht="43.5" customHeight="1" x14ac:dyDescent="0.45">
      <c r="A47" s="1351">
        <v>45984</v>
      </c>
      <c r="B47" s="692">
        <v>1</v>
      </c>
      <c r="C47" s="1156"/>
      <c r="D47" s="1156"/>
      <c r="E47" s="1156"/>
      <c r="F47" s="1157"/>
      <c r="G47" s="1139"/>
      <c r="H47" s="1150"/>
      <c r="I47" s="1176"/>
      <c r="J47" s="1170"/>
      <c r="K47" s="286"/>
      <c r="L47" s="1160"/>
      <c r="M47" s="1137"/>
      <c r="N47" s="1137"/>
      <c r="O47" s="1157"/>
      <c r="P47" s="1128"/>
      <c r="Q47" s="1152"/>
      <c r="R47" s="1137"/>
      <c r="S47" s="1170"/>
      <c r="T47" s="286"/>
      <c r="U47" s="1160"/>
      <c r="V47" s="1137"/>
      <c r="W47" s="1137"/>
      <c r="X47" s="1157"/>
      <c r="Y47" s="1128"/>
      <c r="Z47" s="1152"/>
      <c r="AA47" s="1165"/>
      <c r="AB47" s="1170"/>
      <c r="AC47" s="286"/>
      <c r="AD47" s="1160"/>
      <c r="AE47" s="1137"/>
      <c r="AF47" s="1137"/>
      <c r="AG47" s="1287"/>
      <c r="AH47" s="1290"/>
      <c r="AI47" s="1290"/>
      <c r="AJ47" s="1289"/>
      <c r="AK47" s="1283"/>
      <c r="AL47" s="1153"/>
      <c r="AM47" s="1160"/>
      <c r="AN47" s="1137"/>
      <c r="AO47" s="1137"/>
      <c r="AP47" s="1287"/>
      <c r="AQ47" s="1289"/>
      <c r="AR47" s="1290"/>
      <c r="AS47" s="1283"/>
      <c r="AT47" s="1283"/>
    </row>
    <row r="48" spans="1:46" ht="34.950000000000003" customHeight="1" x14ac:dyDescent="0.45">
      <c r="A48" s="1352"/>
      <c r="B48" s="692">
        <v>2</v>
      </c>
      <c r="C48" s="1156"/>
      <c r="D48" s="1156"/>
      <c r="E48" s="1156"/>
      <c r="F48" s="1157"/>
      <c r="G48" s="1139"/>
      <c r="H48" s="1150"/>
      <c r="I48" s="1176"/>
      <c r="J48" s="1170"/>
      <c r="K48" s="286"/>
      <c r="L48" s="1160"/>
      <c r="M48" s="1137"/>
      <c r="N48" s="1137"/>
      <c r="O48" s="1157"/>
      <c r="P48" s="1128"/>
      <c r="Q48" s="1152"/>
      <c r="R48" s="1137"/>
      <c r="S48" s="1170"/>
      <c r="T48" s="286"/>
      <c r="U48" s="1160">
        <v>160</v>
      </c>
      <c r="V48" s="1137">
        <v>332</v>
      </c>
      <c r="W48" s="1137"/>
      <c r="X48" s="1157"/>
      <c r="Y48" s="1128" t="s">
        <v>45</v>
      </c>
      <c r="Z48" s="1152" t="s">
        <v>1154</v>
      </c>
      <c r="AA48" s="1165"/>
      <c r="AB48" s="1170"/>
      <c r="AC48" s="286"/>
      <c r="AD48" s="1160"/>
      <c r="AE48" s="1137"/>
      <c r="AF48" s="1137">
        <v>23</v>
      </c>
      <c r="AG48" s="1287"/>
      <c r="AH48" s="1290"/>
      <c r="AI48" s="1290"/>
      <c r="AJ48" s="1289" t="s">
        <v>1085</v>
      </c>
      <c r="AK48" s="1283"/>
      <c r="AL48" s="1153"/>
      <c r="AM48" s="1160"/>
      <c r="AN48" s="1137"/>
      <c r="AO48" s="1137"/>
      <c r="AP48" s="1287"/>
      <c r="AQ48" s="1289"/>
      <c r="AR48" s="1290"/>
      <c r="AS48" s="1283"/>
      <c r="AT48" s="1283"/>
    </row>
    <row r="49" spans="1:46" ht="43.2" customHeight="1" x14ac:dyDescent="0.45">
      <c r="A49" s="1351">
        <v>45985</v>
      </c>
      <c r="B49" s="692">
        <v>1</v>
      </c>
      <c r="C49" s="1156"/>
      <c r="D49" s="1156"/>
      <c r="E49" s="1156">
        <v>29</v>
      </c>
      <c r="F49" s="1157"/>
      <c r="G49" s="1139"/>
      <c r="H49" s="1150"/>
      <c r="I49" s="1176" t="s">
        <v>1097</v>
      </c>
      <c r="J49" s="1170"/>
      <c r="K49" s="286"/>
      <c r="L49" s="1160"/>
      <c r="M49" s="1137"/>
      <c r="N49" s="1137"/>
      <c r="O49" s="1157"/>
      <c r="P49" s="1128"/>
      <c r="Q49" s="1152"/>
      <c r="R49" s="1137"/>
      <c r="S49" s="1170"/>
      <c r="T49" s="286"/>
      <c r="U49" s="1160"/>
      <c r="V49" s="1137"/>
      <c r="W49" s="1137"/>
      <c r="X49" s="1157"/>
      <c r="Y49" s="1128"/>
      <c r="Z49" s="1152"/>
      <c r="AA49" s="1165"/>
      <c r="AB49" s="1170"/>
      <c r="AC49" s="286"/>
      <c r="AD49" s="1160"/>
      <c r="AE49" s="1137"/>
      <c r="AF49" s="1137"/>
      <c r="AG49" s="1287"/>
      <c r="AH49" s="1290"/>
      <c r="AI49" s="1290"/>
      <c r="AJ49" s="1289"/>
      <c r="AK49" s="1283"/>
      <c r="AL49" s="1153"/>
      <c r="AM49" s="1160"/>
      <c r="AN49" s="1137"/>
      <c r="AO49" s="1137"/>
      <c r="AP49" s="1287"/>
      <c r="AQ49" s="1289"/>
      <c r="AR49" s="1290"/>
      <c r="AS49" s="1283"/>
      <c r="AT49" s="1283"/>
    </row>
    <row r="50" spans="1:46" ht="51.65" customHeight="1" x14ac:dyDescent="0.45">
      <c r="A50" s="1352"/>
      <c r="B50" s="692">
        <v>2</v>
      </c>
      <c r="C50" s="1156"/>
      <c r="D50" s="1156"/>
      <c r="E50" s="1156"/>
      <c r="F50" s="1157"/>
      <c r="G50" s="1139"/>
      <c r="H50" s="1150"/>
      <c r="I50" s="1176"/>
      <c r="J50" s="1170"/>
      <c r="K50" s="286"/>
      <c r="L50" s="1160"/>
      <c r="M50" s="1137"/>
      <c r="N50" s="1137"/>
      <c r="O50" s="1157"/>
      <c r="P50" s="1128"/>
      <c r="Q50" s="1152"/>
      <c r="R50" s="1137"/>
      <c r="S50" s="1170"/>
      <c r="T50" s="286"/>
      <c r="U50" s="1160"/>
      <c r="V50" s="1137"/>
      <c r="W50" s="1137"/>
      <c r="X50" s="1157"/>
      <c r="Y50" s="1128"/>
      <c r="Z50" s="1152">
        <v>15</v>
      </c>
      <c r="AA50" s="1165"/>
      <c r="AB50" s="1170" t="s">
        <v>1146</v>
      </c>
      <c r="AC50" s="286"/>
      <c r="AD50" s="1160"/>
      <c r="AE50" s="1137"/>
      <c r="AF50" s="1137"/>
      <c r="AG50" s="1287"/>
      <c r="AH50" s="1290"/>
      <c r="AI50" s="1290"/>
      <c r="AJ50" s="1289"/>
      <c r="AK50" s="1283"/>
      <c r="AL50" s="1153"/>
      <c r="AM50" s="1160"/>
      <c r="AN50" s="1137"/>
      <c r="AO50" s="1137"/>
      <c r="AP50" s="1287"/>
      <c r="AQ50" s="1289"/>
      <c r="AR50" s="1290"/>
      <c r="AS50" s="1283"/>
      <c r="AT50" s="1283"/>
    </row>
    <row r="51" spans="1:46" ht="34.950000000000003" customHeight="1" x14ac:dyDescent="0.45">
      <c r="A51" s="1351">
        <v>45986</v>
      </c>
      <c r="B51" s="692">
        <v>1</v>
      </c>
      <c r="C51" s="1156"/>
      <c r="D51" s="1156"/>
      <c r="E51" s="1156"/>
      <c r="F51" s="1157">
        <v>137</v>
      </c>
      <c r="G51" s="1139"/>
      <c r="H51" s="1150"/>
      <c r="I51" s="1176"/>
      <c r="J51" s="1170" t="s">
        <v>1126</v>
      </c>
      <c r="K51" s="286"/>
      <c r="L51" s="1160"/>
      <c r="M51" s="1137"/>
      <c r="N51" s="1137"/>
      <c r="O51" s="1157">
        <v>128</v>
      </c>
      <c r="P51" s="1128"/>
      <c r="Q51" s="1152"/>
      <c r="R51" s="1137"/>
      <c r="S51" s="1170" t="s">
        <v>1126</v>
      </c>
      <c r="T51" s="286"/>
      <c r="U51" s="1160"/>
      <c r="V51" s="1137"/>
      <c r="W51" s="1137"/>
      <c r="X51" s="1157">
        <v>133</v>
      </c>
      <c r="Y51" s="1128"/>
      <c r="Z51" s="1152"/>
      <c r="AA51" s="1165"/>
      <c r="AB51" s="1170" t="s">
        <v>1126</v>
      </c>
      <c r="AC51" s="286"/>
      <c r="AD51" s="1160"/>
      <c r="AE51" s="1137"/>
      <c r="AF51" s="1137"/>
      <c r="AG51" s="1287">
        <v>146</v>
      </c>
      <c r="AH51" s="1290"/>
      <c r="AI51" s="1290"/>
      <c r="AJ51" s="1289"/>
      <c r="AK51" s="1283" t="s">
        <v>1126</v>
      </c>
      <c r="AL51" s="1153"/>
      <c r="AM51" s="1160"/>
      <c r="AN51" s="1137"/>
      <c r="AO51" s="1137"/>
      <c r="AP51" s="1287">
        <v>139</v>
      </c>
      <c r="AQ51" s="1289"/>
      <c r="AR51" s="1290"/>
      <c r="AS51" s="1283"/>
      <c r="AT51" s="1283" t="s">
        <v>1126</v>
      </c>
    </row>
    <row r="52" spans="1:46" ht="49.2" customHeight="1" x14ac:dyDescent="0.45">
      <c r="A52" s="1352"/>
      <c r="B52" s="692">
        <v>2</v>
      </c>
      <c r="C52" s="1156"/>
      <c r="D52" s="1156"/>
      <c r="E52" s="1156"/>
      <c r="F52" s="1157"/>
      <c r="G52" s="1139"/>
      <c r="H52" s="1150"/>
      <c r="I52" s="1176"/>
      <c r="J52" s="1170"/>
      <c r="K52" s="286"/>
      <c r="L52" s="1160"/>
      <c r="M52" s="1137"/>
      <c r="N52" s="1137"/>
      <c r="O52" s="1157"/>
      <c r="P52" s="1128"/>
      <c r="Q52" s="1152"/>
      <c r="R52" s="1137"/>
      <c r="S52" s="1170"/>
      <c r="T52" s="286"/>
      <c r="U52" s="1160"/>
      <c r="V52" s="1137"/>
      <c r="W52" s="1137"/>
      <c r="X52" s="1157"/>
      <c r="Y52" s="1128"/>
      <c r="Z52" s="1152"/>
      <c r="AA52" s="1165"/>
      <c r="AB52" s="1170"/>
      <c r="AC52" s="286"/>
      <c r="AD52" s="1160"/>
      <c r="AE52" s="1137"/>
      <c r="AF52" s="1137"/>
      <c r="AG52" s="1287"/>
      <c r="AH52" s="1290"/>
      <c r="AI52" s="1290"/>
      <c r="AJ52" s="1289"/>
      <c r="AK52" s="1283"/>
      <c r="AL52" s="1153"/>
      <c r="AM52" s="1160"/>
      <c r="AN52" s="1137"/>
      <c r="AO52" s="1137"/>
      <c r="AP52" s="1287"/>
      <c r="AQ52" s="1289"/>
      <c r="AR52" s="1290"/>
      <c r="AS52" s="1283"/>
      <c r="AT52" s="1283"/>
    </row>
    <row r="53" spans="1:46" ht="48" customHeight="1" x14ac:dyDescent="0.45">
      <c r="A53" s="1351">
        <v>45987</v>
      </c>
      <c r="B53" s="692">
        <v>1</v>
      </c>
      <c r="C53" s="1156"/>
      <c r="D53" s="1156"/>
      <c r="E53" s="1156">
        <v>42</v>
      </c>
      <c r="F53" s="1157"/>
      <c r="G53" s="1139"/>
      <c r="H53" s="1150"/>
      <c r="I53" s="1176" t="s">
        <v>1097</v>
      </c>
      <c r="J53" s="1170"/>
      <c r="K53" s="286"/>
      <c r="L53" s="1160"/>
      <c r="M53" s="1137"/>
      <c r="N53" s="1137"/>
      <c r="O53" s="1157"/>
      <c r="P53" s="1128"/>
      <c r="Q53" s="1152"/>
      <c r="R53" s="1137"/>
      <c r="S53" s="1170"/>
      <c r="T53" s="286"/>
      <c r="U53" s="1160"/>
      <c r="V53" s="1137"/>
      <c r="W53" s="1137">
        <v>20</v>
      </c>
      <c r="X53" s="1157"/>
      <c r="Y53" s="1128"/>
      <c r="Z53" s="1152"/>
      <c r="AA53" s="1165" t="s">
        <v>1097</v>
      </c>
      <c r="AB53" s="1170"/>
      <c r="AC53" s="286"/>
      <c r="AD53" s="1160"/>
      <c r="AE53" s="1137"/>
      <c r="AF53" s="1137">
        <v>13</v>
      </c>
      <c r="AG53" s="1287"/>
      <c r="AH53" s="1290"/>
      <c r="AI53" s="1290"/>
      <c r="AJ53" s="1289" t="s">
        <v>842</v>
      </c>
      <c r="AK53" s="1283"/>
      <c r="AL53" s="1153"/>
      <c r="AM53" s="1160"/>
      <c r="AN53" s="1137"/>
      <c r="AO53" s="1137"/>
      <c r="AP53" s="1287"/>
      <c r="AQ53" s="1289"/>
      <c r="AR53" s="1290"/>
      <c r="AS53" s="1283"/>
      <c r="AT53" s="1283"/>
    </row>
    <row r="54" spans="1:46" ht="45.65" customHeight="1" x14ac:dyDescent="0.45">
      <c r="A54" s="1352"/>
      <c r="B54" s="725">
        <v>2</v>
      </c>
      <c r="C54" s="1156"/>
      <c r="D54" s="1156"/>
      <c r="E54" s="1156"/>
      <c r="F54" s="1157"/>
      <c r="G54" s="1140"/>
      <c r="H54" s="1150"/>
      <c r="I54" s="1141"/>
      <c r="J54" s="1170"/>
      <c r="K54" s="286"/>
      <c r="L54" s="1160"/>
      <c r="M54" s="1137"/>
      <c r="N54" s="1137"/>
      <c r="O54" s="1157"/>
      <c r="P54" s="1140"/>
      <c r="Q54" s="1150"/>
      <c r="R54" s="1140"/>
      <c r="S54" s="1170"/>
      <c r="T54" s="286"/>
      <c r="U54" s="1160"/>
      <c r="V54" s="1137"/>
      <c r="W54" s="1137"/>
      <c r="X54" s="1157"/>
      <c r="Y54" s="1150"/>
      <c r="Z54" s="1150"/>
      <c r="AA54" s="1165"/>
      <c r="AB54" s="1170"/>
      <c r="AC54" s="286"/>
      <c r="AD54" s="1160"/>
      <c r="AE54" s="1137"/>
      <c r="AF54" s="1137"/>
      <c r="AG54" s="1203"/>
      <c r="AH54" s="1289"/>
      <c r="AI54" s="1283"/>
      <c r="AJ54" s="1290"/>
      <c r="AK54" s="1283"/>
      <c r="AL54" s="1153"/>
      <c r="AM54" s="1160"/>
      <c r="AN54" s="1184"/>
      <c r="AO54" s="1161"/>
      <c r="AP54" s="1203"/>
      <c r="AQ54" s="1290"/>
      <c r="AR54" s="1283"/>
      <c r="AS54" s="1283"/>
      <c r="AT54" s="1283"/>
    </row>
    <row r="55" spans="1:46" ht="39.65" customHeight="1" x14ac:dyDescent="0.45">
      <c r="A55" s="1351">
        <v>45988</v>
      </c>
      <c r="B55" s="692">
        <v>1</v>
      </c>
      <c r="C55" s="1155"/>
      <c r="D55" s="1156"/>
      <c r="E55" s="1156">
        <v>13</v>
      </c>
      <c r="F55" s="1157"/>
      <c r="G55" s="1140"/>
      <c r="H55" s="1140"/>
      <c r="I55" s="1141" t="s">
        <v>1097</v>
      </c>
      <c r="J55" s="1148"/>
      <c r="K55" s="286"/>
      <c r="L55" s="1160"/>
      <c r="M55" s="1137"/>
      <c r="N55" s="1137"/>
      <c r="O55" s="1148"/>
      <c r="P55" s="1128"/>
      <c r="Q55" s="1150"/>
      <c r="R55" s="1137"/>
      <c r="S55" s="1148"/>
      <c r="T55" s="286"/>
      <c r="U55" s="1160"/>
      <c r="V55" s="1137"/>
      <c r="W55" s="1137">
        <v>53</v>
      </c>
      <c r="X55" s="1148"/>
      <c r="Y55" s="1128"/>
      <c r="Z55" s="1140"/>
      <c r="AA55" s="1165" t="s">
        <v>97</v>
      </c>
      <c r="AB55" s="1148"/>
      <c r="AC55" s="286"/>
      <c r="AD55" s="1160"/>
      <c r="AE55" s="1137"/>
      <c r="AF55" s="1137"/>
      <c r="AG55" s="1203"/>
      <c r="AH55" s="1289"/>
      <c r="AI55" s="1283"/>
      <c r="AJ55" s="1290"/>
      <c r="AK55" s="1289"/>
      <c r="AL55" s="1153"/>
      <c r="AM55" s="1160"/>
      <c r="AN55" s="1184"/>
      <c r="AO55" s="1137"/>
      <c r="AP55" s="1203"/>
      <c r="AQ55" s="1289"/>
      <c r="AR55" s="1283"/>
      <c r="AS55" s="1283"/>
      <c r="AT55" s="1283"/>
    </row>
    <row r="56" spans="1:46" ht="47.25" customHeight="1" x14ac:dyDescent="0.45">
      <c r="A56" s="1352"/>
      <c r="B56" s="725">
        <v>2</v>
      </c>
      <c r="C56" s="1155"/>
      <c r="D56" s="1156"/>
      <c r="E56" s="1156"/>
      <c r="F56" s="1157"/>
      <c r="G56" s="1150"/>
      <c r="H56" s="1150"/>
      <c r="I56" s="1141"/>
      <c r="J56" s="1170"/>
      <c r="K56" s="286"/>
      <c r="L56" s="1160">
        <v>83</v>
      </c>
      <c r="M56" s="1137"/>
      <c r="N56" s="1137"/>
      <c r="O56" s="1157"/>
      <c r="P56" s="1150" t="s">
        <v>1156</v>
      </c>
      <c r="Q56" s="1140"/>
      <c r="R56" s="1150"/>
      <c r="S56" s="1170"/>
      <c r="T56" s="286"/>
      <c r="U56" s="1160"/>
      <c r="V56" s="1137"/>
      <c r="W56" s="1137"/>
      <c r="X56" s="1157"/>
      <c r="Y56" s="1149"/>
      <c r="Z56" s="1140"/>
      <c r="AA56" s="1165"/>
      <c r="AB56" s="1170"/>
      <c r="AC56" s="286"/>
      <c r="AD56" s="1160"/>
      <c r="AE56" s="1137"/>
      <c r="AF56" s="1137"/>
      <c r="AG56" s="1287"/>
      <c r="AH56" s="1289"/>
      <c r="AI56" s="1282"/>
      <c r="AJ56" s="1283"/>
      <c r="AK56" s="1283"/>
      <c r="AL56" s="1153"/>
      <c r="AM56" s="1160"/>
      <c r="AN56" s="1184"/>
      <c r="AO56" s="1137"/>
      <c r="AP56" s="1203"/>
      <c r="AQ56" s="1283"/>
      <c r="AR56" s="1283"/>
      <c r="AS56" s="1289"/>
      <c r="AT56" s="1283"/>
    </row>
    <row r="57" spans="1:46" ht="47.25" customHeight="1" x14ac:dyDescent="0.45">
      <c r="A57" s="1351">
        <v>45989</v>
      </c>
      <c r="B57" s="725">
        <v>1</v>
      </c>
      <c r="C57" s="1155"/>
      <c r="D57" s="1156"/>
      <c r="E57" s="1156">
        <v>10</v>
      </c>
      <c r="F57" s="1157"/>
      <c r="G57" s="1150"/>
      <c r="H57" s="1150"/>
      <c r="I57" s="1141" t="s">
        <v>388</v>
      </c>
      <c r="J57" s="1170"/>
      <c r="K57" s="286"/>
      <c r="L57" s="1160"/>
      <c r="M57" s="1137"/>
      <c r="N57" s="1137"/>
      <c r="O57" s="1157"/>
      <c r="P57" s="1150"/>
      <c r="Q57" s="1140"/>
      <c r="R57" s="1150"/>
      <c r="S57" s="1170"/>
      <c r="T57" s="286"/>
      <c r="U57" s="1160"/>
      <c r="V57" s="1137"/>
      <c r="W57" s="1137"/>
      <c r="X57" s="1157"/>
      <c r="Y57" s="1149"/>
      <c r="Z57" s="1140"/>
      <c r="AA57" s="1165"/>
      <c r="AB57" s="1170"/>
      <c r="AC57" s="286"/>
      <c r="AD57" s="1160">
        <v>15</v>
      </c>
      <c r="AE57" s="1137"/>
      <c r="AF57" s="1137"/>
      <c r="AG57" s="1287"/>
      <c r="AH57" s="1289" t="s">
        <v>113</v>
      </c>
      <c r="AI57" s="1282"/>
      <c r="AJ57" s="1283"/>
      <c r="AK57" s="1283"/>
      <c r="AL57" s="1153"/>
      <c r="AM57" s="1160"/>
      <c r="AN57" s="1184"/>
      <c r="AO57" s="1137"/>
      <c r="AP57" s="1203"/>
      <c r="AQ57" s="1283"/>
      <c r="AR57" s="1283"/>
      <c r="AS57" s="1289"/>
      <c r="AT57" s="1283"/>
    </row>
    <row r="58" spans="1:46" ht="47.25" customHeight="1" x14ac:dyDescent="0.45">
      <c r="A58" s="1352"/>
      <c r="B58" s="725">
        <v>2</v>
      </c>
      <c r="C58" s="1155"/>
      <c r="D58" s="1156"/>
      <c r="E58" s="1156">
        <v>12</v>
      </c>
      <c r="F58" s="1157"/>
      <c r="G58" s="1150"/>
      <c r="H58" s="1150"/>
      <c r="I58" s="1141" t="s">
        <v>1097</v>
      </c>
      <c r="J58" s="1170"/>
      <c r="K58" s="286"/>
      <c r="L58" s="1160"/>
      <c r="M58" s="1137"/>
      <c r="N58" s="1137"/>
      <c r="O58" s="1157"/>
      <c r="P58" s="1150"/>
      <c r="Q58" s="1140"/>
      <c r="R58" s="1150"/>
      <c r="S58" s="1170"/>
      <c r="T58" s="286"/>
      <c r="U58" s="1160"/>
      <c r="V58" s="1137"/>
      <c r="W58" s="1137"/>
      <c r="X58" s="1157"/>
      <c r="Y58" s="1149"/>
      <c r="Z58" s="1140"/>
      <c r="AA58" s="1165"/>
      <c r="AB58" s="1170"/>
      <c r="AC58" s="286"/>
      <c r="AD58" s="1160"/>
      <c r="AE58" s="1137"/>
      <c r="AF58" s="1137"/>
      <c r="AG58" s="1287"/>
      <c r="AH58" s="1289"/>
      <c r="AI58" s="1282"/>
      <c r="AJ58" s="1283"/>
      <c r="AK58" s="1283"/>
      <c r="AL58" s="1153"/>
      <c r="AM58" s="1160">
        <v>238</v>
      </c>
      <c r="AN58" s="1184"/>
      <c r="AO58" s="1137"/>
      <c r="AP58" s="1203"/>
      <c r="AQ58" s="1283" t="s">
        <v>45</v>
      </c>
      <c r="AR58" s="1283"/>
      <c r="AS58" s="1289"/>
      <c r="AT58" s="1283"/>
    </row>
    <row r="59" spans="1:46" ht="47.25" customHeight="1" x14ac:dyDescent="0.45">
      <c r="A59" s="1351">
        <v>45990</v>
      </c>
      <c r="B59" s="725">
        <v>1</v>
      </c>
      <c r="C59" s="1155"/>
      <c r="D59" s="1156"/>
      <c r="E59" s="1156">
        <v>58</v>
      </c>
      <c r="F59" s="1157"/>
      <c r="G59" s="1150"/>
      <c r="H59" s="1150"/>
      <c r="I59" s="1141" t="s">
        <v>1097</v>
      </c>
      <c r="J59" s="1170"/>
      <c r="K59" s="286"/>
      <c r="L59" s="1160"/>
      <c r="M59" s="1137"/>
      <c r="N59" s="1137"/>
      <c r="O59" s="1157"/>
      <c r="P59" s="1150"/>
      <c r="Q59" s="1140"/>
      <c r="R59" s="1150"/>
      <c r="S59" s="1170"/>
      <c r="T59" s="286"/>
      <c r="U59" s="1160"/>
      <c r="V59" s="1137"/>
      <c r="W59" s="1137">
        <v>59</v>
      </c>
      <c r="X59" s="1157"/>
      <c r="Y59" s="1149"/>
      <c r="Z59" s="1140"/>
      <c r="AA59" s="1165" t="s">
        <v>1097</v>
      </c>
      <c r="AB59" s="1170"/>
      <c r="AC59" s="286"/>
      <c r="AD59" s="1160"/>
      <c r="AE59" s="1137"/>
      <c r="AF59" s="1137"/>
      <c r="AG59" s="1287"/>
      <c r="AH59" s="1289"/>
      <c r="AI59" s="1282"/>
      <c r="AJ59" s="1283"/>
      <c r="AK59" s="1283"/>
      <c r="AL59" s="1153"/>
      <c r="AM59" s="1160"/>
      <c r="AN59" s="1184">
        <v>28</v>
      </c>
      <c r="AO59" s="1137"/>
      <c r="AP59" s="1203"/>
      <c r="AQ59" s="1283"/>
      <c r="AR59" s="1283" t="s">
        <v>1155</v>
      </c>
      <c r="AS59" s="1289"/>
      <c r="AT59" s="1283"/>
    </row>
    <row r="60" spans="1:46" ht="47.25" customHeight="1" x14ac:dyDescent="0.45">
      <c r="A60" s="1352"/>
      <c r="B60" s="725">
        <v>2</v>
      </c>
      <c r="C60" s="1155"/>
      <c r="D60" s="1156"/>
      <c r="E60" s="1156"/>
      <c r="F60" s="1157"/>
      <c r="G60" s="1150"/>
      <c r="H60" s="1150"/>
      <c r="I60" s="1141"/>
      <c r="J60" s="1170"/>
      <c r="K60" s="286"/>
      <c r="L60" s="1160"/>
      <c r="M60" s="1137"/>
      <c r="N60" s="1137"/>
      <c r="O60" s="1157"/>
      <c r="P60" s="1150"/>
      <c r="Q60" s="1140"/>
      <c r="R60" s="1150"/>
      <c r="S60" s="1170"/>
      <c r="T60" s="286"/>
      <c r="U60" s="1160"/>
      <c r="V60" s="1137">
        <v>40</v>
      </c>
      <c r="W60" s="1137">
        <v>10</v>
      </c>
      <c r="X60" s="1157"/>
      <c r="Y60" s="1149"/>
      <c r="Z60" s="1140" t="s">
        <v>1157</v>
      </c>
      <c r="AA60" s="1165" t="s">
        <v>1097</v>
      </c>
      <c r="AB60" s="1170"/>
      <c r="AC60" s="286"/>
      <c r="AD60" s="1160"/>
      <c r="AE60" s="1137"/>
      <c r="AF60" s="1137"/>
      <c r="AG60" s="1287"/>
      <c r="AH60" s="1289"/>
      <c r="AI60" s="1282"/>
      <c r="AJ60" s="1283"/>
      <c r="AK60" s="1283"/>
      <c r="AL60" s="1153"/>
      <c r="AM60" s="1160"/>
      <c r="AN60" s="1184"/>
      <c r="AO60" s="1137">
        <v>12</v>
      </c>
      <c r="AP60" s="1203"/>
      <c r="AQ60" s="1283"/>
      <c r="AR60" s="1283"/>
      <c r="AS60" s="1289" t="s">
        <v>1097</v>
      </c>
      <c r="AT60" s="1283"/>
    </row>
    <row r="61" spans="1:46" ht="47.25" customHeight="1" x14ac:dyDescent="0.45">
      <c r="A61" s="1351">
        <v>45991</v>
      </c>
      <c r="B61" s="725">
        <v>1</v>
      </c>
      <c r="C61" s="1155"/>
      <c r="D61" s="1156"/>
      <c r="E61" s="1156"/>
      <c r="F61" s="1157"/>
      <c r="G61" s="1150"/>
      <c r="H61" s="1150"/>
      <c r="I61" s="1141"/>
      <c r="J61" s="1170"/>
      <c r="K61" s="286"/>
      <c r="L61" s="1160"/>
      <c r="M61" s="1137"/>
      <c r="N61" s="1137"/>
      <c r="O61" s="1157"/>
      <c r="P61" s="1150"/>
      <c r="Q61" s="1140"/>
      <c r="R61" s="1150"/>
      <c r="S61" s="1170"/>
      <c r="T61" s="286"/>
      <c r="U61" s="1160"/>
      <c r="V61" s="1137"/>
      <c r="W61" s="1137">
        <v>38</v>
      </c>
      <c r="X61" s="1157"/>
      <c r="Y61" s="1149"/>
      <c r="Z61" s="1140"/>
      <c r="AA61" s="1165" t="s">
        <v>1097</v>
      </c>
      <c r="AB61" s="1170"/>
      <c r="AC61" s="286"/>
      <c r="AD61" s="1160"/>
      <c r="AE61" s="1137"/>
      <c r="AF61" s="1137"/>
      <c r="AG61" s="1287"/>
      <c r="AH61" s="1289"/>
      <c r="AI61" s="1282"/>
      <c r="AJ61" s="1283"/>
      <c r="AK61" s="1283"/>
      <c r="AL61" s="1153"/>
      <c r="AM61" s="1160"/>
      <c r="AN61" s="1184"/>
      <c r="AO61" s="1137"/>
      <c r="AP61" s="1203"/>
      <c r="AQ61" s="1283"/>
      <c r="AR61" s="1283"/>
      <c r="AS61" s="1289"/>
      <c r="AT61" s="1283"/>
    </row>
    <row r="62" spans="1:46" ht="47.25" customHeight="1" x14ac:dyDescent="0.45">
      <c r="A62" s="1352"/>
      <c r="B62" s="692">
        <v>2</v>
      </c>
      <c r="C62" s="1155">
        <v>133</v>
      </c>
      <c r="D62" s="1156">
        <v>132</v>
      </c>
      <c r="E62" s="1156">
        <v>18</v>
      </c>
      <c r="F62" s="1157"/>
      <c r="G62" s="1150" t="s">
        <v>1158</v>
      </c>
      <c r="H62" s="1150" t="s">
        <v>664</v>
      </c>
      <c r="I62" s="1141" t="s">
        <v>1097</v>
      </c>
      <c r="J62" s="1170"/>
      <c r="K62" s="286"/>
      <c r="L62" s="1160"/>
      <c r="M62" s="1137"/>
      <c r="N62" s="1137"/>
      <c r="O62" s="1157"/>
      <c r="P62" s="1150"/>
      <c r="Q62" s="1140"/>
      <c r="R62" s="1150"/>
      <c r="S62" s="1170"/>
      <c r="T62" s="286"/>
      <c r="U62" s="1160"/>
      <c r="V62" s="1137"/>
      <c r="W62" s="1137"/>
      <c r="X62" s="1157"/>
      <c r="Y62" s="1149"/>
      <c r="Z62" s="1140"/>
      <c r="AA62" s="1165"/>
      <c r="AB62" s="1170"/>
      <c r="AC62" s="286"/>
      <c r="AD62" s="1160"/>
      <c r="AE62" s="1137"/>
      <c r="AF62" s="1137"/>
      <c r="AG62" s="1287"/>
      <c r="AH62" s="1289"/>
      <c r="AI62" s="1282"/>
      <c r="AJ62" s="1283"/>
      <c r="AK62" s="1283"/>
      <c r="AL62" s="1153"/>
      <c r="AM62" s="1160"/>
      <c r="AN62" s="1184"/>
      <c r="AO62" s="1137"/>
      <c r="AP62" s="1203"/>
      <c r="AQ62" s="1283"/>
      <c r="AR62" s="1283"/>
      <c r="AS62" s="1289"/>
      <c r="AT62" s="1283"/>
    </row>
    <row r="63" spans="1:46" ht="18" x14ac:dyDescent="0.45">
      <c r="A63" s="255" t="s">
        <v>225</v>
      </c>
      <c r="B63" s="354"/>
      <c r="C63" s="757">
        <f>SUM(C3:C62)</f>
        <v>4494</v>
      </c>
      <c r="D63" s="354">
        <f>SUM(D3:D62)</f>
        <v>410</v>
      </c>
      <c r="E63" s="757">
        <f>SUM(E3:E62)</f>
        <v>704</v>
      </c>
      <c r="F63" s="354">
        <f>SUM(F3:F62)</f>
        <v>137</v>
      </c>
      <c r="G63" s="255"/>
      <c r="H63" s="255"/>
      <c r="I63" s="255"/>
      <c r="J63" s="255"/>
      <c r="K63" s="255"/>
      <c r="L63" s="354">
        <f>SUM(L3:L62)</f>
        <v>83</v>
      </c>
      <c r="M63" s="354">
        <f>SUM(M3:M62)</f>
        <v>323</v>
      </c>
      <c r="N63" s="354">
        <f>SUM(N3:N62)</f>
        <v>0</v>
      </c>
      <c r="O63" s="354">
        <f>SUM(O3:O62)</f>
        <v>144</v>
      </c>
      <c r="P63" s="255"/>
      <c r="Q63" s="255"/>
      <c r="R63" s="255"/>
      <c r="S63" s="255"/>
      <c r="T63" s="255"/>
      <c r="U63" s="354">
        <f>SUM(U3:U62)</f>
        <v>160</v>
      </c>
      <c r="V63" s="354">
        <f>SUM(V3:V62)</f>
        <v>372</v>
      </c>
      <c r="W63" s="354">
        <f>SUM(W3:W62)</f>
        <v>686</v>
      </c>
      <c r="X63" s="354">
        <f>SUM(X3:X62)</f>
        <v>133</v>
      </c>
      <c r="Y63" s="255"/>
      <c r="Z63" s="255"/>
      <c r="AA63" s="255"/>
      <c r="AB63" s="255"/>
      <c r="AC63" s="255"/>
      <c r="AD63" s="354">
        <f>SUM(AD3:AD62)</f>
        <v>15</v>
      </c>
      <c r="AE63" s="354">
        <f>SUM(AE3:AE62)</f>
        <v>83</v>
      </c>
      <c r="AF63" s="354">
        <f>SUM(AF3:AF62)</f>
        <v>79</v>
      </c>
      <c r="AG63" s="354">
        <f>SUM(AG3:AG62)</f>
        <v>169</v>
      </c>
      <c r="AH63" s="255"/>
      <c r="AI63" s="255"/>
      <c r="AJ63" s="255"/>
      <c r="AK63" s="255"/>
      <c r="AL63" s="255"/>
      <c r="AM63" s="354">
        <f>SUM(AM3:AM62)</f>
        <v>323</v>
      </c>
      <c r="AN63" s="354">
        <f>SUM(AN3:AN62)</f>
        <v>49</v>
      </c>
      <c r="AO63" s="354">
        <f>SUM(AO3:AO62)</f>
        <v>49</v>
      </c>
      <c r="AP63" s="354">
        <f>SUM(AP3:AP62)</f>
        <v>372</v>
      </c>
      <c r="AQ63" s="255"/>
      <c r="AR63" s="255"/>
      <c r="AS63" s="255"/>
      <c r="AT63" s="255"/>
    </row>
    <row r="71" spans="2:10" ht="14.6" thickBot="1" x14ac:dyDescent="0.4"/>
    <row r="72" spans="2:10" ht="18.45" thickBot="1" x14ac:dyDescent="0.5">
      <c r="B72" s="354"/>
      <c r="C72" s="1349" t="s">
        <v>199</v>
      </c>
      <c r="D72" s="1350"/>
      <c r="E72" s="1347" t="s">
        <v>200</v>
      </c>
      <c r="F72" s="1348"/>
      <c r="G72" s="1349" t="s">
        <v>201</v>
      </c>
      <c r="H72" s="1350"/>
      <c r="I72" s="1349" t="s">
        <v>204</v>
      </c>
      <c r="J72" s="1350"/>
    </row>
    <row r="73" spans="2:10" ht="18.45" thickBot="1" x14ac:dyDescent="0.5">
      <c r="B73" s="354"/>
      <c r="C73" s="552" t="s">
        <v>222</v>
      </c>
      <c r="D73" s="553" t="s">
        <v>223</v>
      </c>
      <c r="E73" s="554" t="s">
        <v>222</v>
      </c>
      <c r="F73" s="555" t="s">
        <v>223</v>
      </c>
      <c r="G73" s="552" t="s">
        <v>222</v>
      </c>
      <c r="H73" s="553" t="s">
        <v>223</v>
      </c>
      <c r="I73" s="552" t="s">
        <v>222</v>
      </c>
      <c r="J73" s="553" t="s">
        <v>223</v>
      </c>
    </row>
    <row r="74" spans="2:10" ht="18" x14ac:dyDescent="0.4">
      <c r="B74" s="541" t="s">
        <v>218</v>
      </c>
      <c r="C74" s="542">
        <f>C63</f>
        <v>4494</v>
      </c>
      <c r="D74" s="543">
        <f>C74/60</f>
        <v>74.900000000000006</v>
      </c>
      <c r="E74" s="542">
        <f>D63</f>
        <v>410</v>
      </c>
      <c r="F74" s="544">
        <f>E74/60</f>
        <v>6.833333333333333</v>
      </c>
      <c r="G74" s="542">
        <f>E63</f>
        <v>704</v>
      </c>
      <c r="H74" s="543">
        <f>G74/60</f>
        <v>11.733333333333333</v>
      </c>
      <c r="I74" s="542">
        <f>F63</f>
        <v>137</v>
      </c>
      <c r="J74" s="543">
        <f>I74/60</f>
        <v>2.2833333333333332</v>
      </c>
    </row>
    <row r="75" spans="2:10" ht="18" x14ac:dyDescent="0.4">
      <c r="B75" s="541" t="s">
        <v>219</v>
      </c>
      <c r="C75" s="545">
        <f>L63</f>
        <v>83</v>
      </c>
      <c r="D75" s="546">
        <f>C75/60</f>
        <v>1.3833333333333333</v>
      </c>
      <c r="E75" s="545">
        <f>M63</f>
        <v>323</v>
      </c>
      <c r="F75" s="547">
        <f>E75/60</f>
        <v>5.3833333333333337</v>
      </c>
      <c r="G75" s="545">
        <f>N63</f>
        <v>0</v>
      </c>
      <c r="H75" s="546">
        <f>G75/60</f>
        <v>0</v>
      </c>
      <c r="I75" s="545">
        <f>O63</f>
        <v>144</v>
      </c>
      <c r="J75" s="546">
        <f>I75/60</f>
        <v>2.4</v>
      </c>
    </row>
    <row r="76" spans="2:10" ht="18" x14ac:dyDescent="0.4">
      <c r="B76" s="541" t="s">
        <v>220</v>
      </c>
      <c r="C76" s="545">
        <f>U63</f>
        <v>160</v>
      </c>
      <c r="D76" s="546">
        <f>C76/60</f>
        <v>2.6666666666666665</v>
      </c>
      <c r="E76" s="545">
        <f>V63</f>
        <v>372</v>
      </c>
      <c r="F76" s="547">
        <f>E76/60</f>
        <v>6.2</v>
      </c>
      <c r="G76" s="545">
        <f>W63</f>
        <v>686</v>
      </c>
      <c r="H76" s="546">
        <f>G76/60</f>
        <v>11.433333333333334</v>
      </c>
      <c r="I76" s="545">
        <f>X63</f>
        <v>133</v>
      </c>
      <c r="J76" s="546">
        <f>I76/60</f>
        <v>2.2166666666666668</v>
      </c>
    </row>
    <row r="77" spans="2:10" ht="18.45" thickBot="1" x14ac:dyDescent="0.45">
      <c r="B77" s="541" t="s">
        <v>221</v>
      </c>
      <c r="C77" s="548">
        <f>AD63</f>
        <v>15</v>
      </c>
      <c r="D77" s="549">
        <f>C77/60</f>
        <v>0.25</v>
      </c>
      <c r="E77" s="548">
        <f>AE63</f>
        <v>83</v>
      </c>
      <c r="F77" s="550">
        <f>E77/60</f>
        <v>1.3833333333333333</v>
      </c>
      <c r="G77" s="548">
        <f>AF63</f>
        <v>79</v>
      </c>
      <c r="H77" s="549">
        <f>G77/60</f>
        <v>1.3166666666666667</v>
      </c>
      <c r="I77" s="548">
        <f>AG63</f>
        <v>169</v>
      </c>
      <c r="J77" s="549">
        <f>I77/60</f>
        <v>2.8166666666666669</v>
      </c>
    </row>
    <row r="78" spans="2:10" ht="18.45" thickBot="1" x14ac:dyDescent="0.45">
      <c r="B78" s="541" t="s">
        <v>488</v>
      </c>
      <c r="C78" s="643">
        <f>AM63</f>
        <v>323</v>
      </c>
      <c r="D78" s="642">
        <f>C78/60</f>
        <v>5.3833333333333337</v>
      </c>
      <c r="E78" s="643">
        <f>AN63</f>
        <v>49</v>
      </c>
      <c r="F78" s="644">
        <f>E78/60</f>
        <v>0.81666666666666665</v>
      </c>
      <c r="G78" s="643">
        <f>AO63</f>
        <v>49</v>
      </c>
      <c r="H78" s="642">
        <f>G78/60</f>
        <v>0.81666666666666665</v>
      </c>
      <c r="I78" s="643">
        <f>AP63</f>
        <v>372</v>
      </c>
      <c r="J78" s="642">
        <f>I78/60</f>
        <v>6.2</v>
      </c>
    </row>
    <row r="79" spans="2:10" ht="18.45" thickBot="1" x14ac:dyDescent="0.5">
      <c r="B79" s="354"/>
      <c r="C79" s="255"/>
      <c r="D79" s="255"/>
      <c r="E79" s="255"/>
      <c r="F79" s="255"/>
      <c r="G79" s="255"/>
      <c r="H79" s="255"/>
      <c r="I79" s="255"/>
      <c r="J79" s="255"/>
    </row>
    <row r="80" spans="2:10" ht="18.45" thickBot="1" x14ac:dyDescent="0.5">
      <c r="B80" s="551" t="s">
        <v>217</v>
      </c>
      <c r="C80" s="556"/>
      <c r="D80" s="557">
        <f>SUM(D74:D78)</f>
        <v>84.583333333333357</v>
      </c>
      <c r="E80" s="556"/>
      <c r="F80" s="557">
        <f>SUM(F74:F78)</f>
        <v>20.616666666666667</v>
      </c>
      <c r="G80" s="556"/>
      <c r="H80" s="557">
        <f>SUM(H74:H78)</f>
        <v>25.299999999999997</v>
      </c>
      <c r="I80" s="556"/>
      <c r="J80" s="558">
        <f>AVERAGE(J74:J78)</f>
        <v>3.1833333333333336</v>
      </c>
    </row>
  </sheetData>
  <mergeCells count="44">
    <mergeCell ref="G72:H72"/>
    <mergeCell ref="I72:J72"/>
    <mergeCell ref="A55:A56"/>
    <mergeCell ref="A57:A58"/>
    <mergeCell ref="A59:A60"/>
    <mergeCell ref="A61:A62"/>
    <mergeCell ref="C72:D72"/>
    <mergeCell ref="E72:F72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P1"/>
    <mergeCell ref="AQ1:AT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U82"/>
  <sheetViews>
    <sheetView zoomScale="55" zoomScaleNormal="55" workbookViewId="0">
      <pane xSplit="3" ySplit="2" topLeftCell="D51" activePane="bottomRight" state="frozen"/>
      <selection pane="topRight" activeCell="D1" sqref="D1"/>
      <selection pane="bottomLeft" activeCell="A3" sqref="A3"/>
      <selection pane="bottomRight" activeCell="N76" sqref="N76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2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9.382812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6" style="423" bestFit="1" customWidth="1"/>
    <col min="17" max="17" width="42.15234375" style="423" bestFit="1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7.15234375" style="423" customWidth="1"/>
    <col min="27" max="27" width="36.15234375" style="423" bestFit="1" customWidth="1"/>
    <col min="28" max="28" width="27" style="423" customWidth="1"/>
    <col min="29" max="33" width="10.69140625" style="423" customWidth="1"/>
    <col min="34" max="34" width="31.3046875" style="423" customWidth="1"/>
    <col min="35" max="35" width="23.304687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32.3046875" style="423" customWidth="1"/>
    <col min="44" max="44" width="26.53515625" style="423" customWidth="1"/>
    <col min="45" max="45" width="31.152343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8" t="s">
        <v>199</v>
      </c>
      <c r="AI2" s="656" t="s">
        <v>200</v>
      </c>
      <c r="AJ2" s="656" t="s">
        <v>201</v>
      </c>
      <c r="AK2" s="656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8" t="s">
        <v>199</v>
      </c>
      <c r="AR2" s="656" t="s">
        <v>200</v>
      </c>
      <c r="AS2" s="656" t="s">
        <v>201</v>
      </c>
      <c r="AT2" s="656" t="s">
        <v>204</v>
      </c>
    </row>
    <row r="3" spans="1:46" ht="30" customHeight="1" x14ac:dyDescent="0.45">
      <c r="A3" s="1351">
        <v>45992</v>
      </c>
      <c r="B3" s="676">
        <v>1</v>
      </c>
      <c r="C3" s="1135"/>
      <c r="D3" s="1136"/>
      <c r="E3" s="1137"/>
      <c r="F3" s="1138"/>
      <c r="G3" s="1139"/>
      <c r="H3" s="1140"/>
      <c r="I3" s="1141"/>
      <c r="J3" s="1142"/>
      <c r="K3" s="286"/>
      <c r="L3" s="1143"/>
      <c r="M3" s="1144"/>
      <c r="N3" s="1144"/>
      <c r="O3" s="1145"/>
      <c r="P3" s="1146"/>
      <c r="Q3" s="1147"/>
      <c r="R3" s="1147"/>
      <c r="S3" s="1145"/>
      <c r="T3" s="286"/>
      <c r="U3" s="1143"/>
      <c r="V3" s="1144"/>
      <c r="W3" s="1137">
        <v>5</v>
      </c>
      <c r="X3" s="1148"/>
      <c r="Y3" s="1149"/>
      <c r="Z3" s="1146"/>
      <c r="AA3" s="1150" t="s">
        <v>152</v>
      </c>
      <c r="AB3" s="1151"/>
      <c r="AC3" s="286"/>
      <c r="AD3" s="1143"/>
      <c r="AE3" s="1144"/>
      <c r="AF3" s="1137"/>
      <c r="AG3" s="1286"/>
      <c r="AH3" s="1289"/>
      <c r="AI3" s="1289"/>
      <c r="AJ3" s="1290"/>
      <c r="AK3" s="1289"/>
      <c r="AL3" s="1153"/>
      <c r="AM3" s="1143"/>
      <c r="AN3" s="1144"/>
      <c r="AO3" s="1137"/>
      <c r="AP3" s="1286"/>
      <c r="AQ3" s="1289"/>
      <c r="AR3" s="1290"/>
      <c r="AS3" s="1290"/>
      <c r="AT3" s="1289"/>
    </row>
    <row r="4" spans="1:46" ht="30" customHeight="1" x14ac:dyDescent="0.45">
      <c r="A4" s="1352"/>
      <c r="B4" s="692">
        <v>2</v>
      </c>
      <c r="C4" s="1155"/>
      <c r="D4" s="1156"/>
      <c r="E4" s="1156"/>
      <c r="F4" s="1157"/>
      <c r="G4" s="1158"/>
      <c r="H4" s="1140"/>
      <c r="I4" s="1141"/>
      <c r="J4" s="1159"/>
      <c r="K4" s="286"/>
      <c r="L4" s="1160"/>
      <c r="M4" s="1137"/>
      <c r="N4" s="1137"/>
      <c r="O4" s="1148"/>
      <c r="P4" s="1128"/>
      <c r="Q4" s="1140"/>
      <c r="R4" s="1161"/>
      <c r="S4" s="1148"/>
      <c r="T4" s="286"/>
      <c r="U4" s="1160"/>
      <c r="V4" s="1152"/>
      <c r="W4" s="1137">
        <v>10</v>
      </c>
      <c r="X4" s="1148"/>
      <c r="Y4" s="1158"/>
      <c r="Z4" s="1150"/>
      <c r="AA4" s="1150" t="s">
        <v>152</v>
      </c>
      <c r="AB4" s="1162"/>
      <c r="AC4" s="286"/>
      <c r="AD4" s="1160"/>
      <c r="AE4" s="1137"/>
      <c r="AF4" s="1137"/>
      <c r="AG4" s="1203"/>
      <c r="AH4" s="1289"/>
      <c r="AI4" s="1283"/>
      <c r="AJ4" s="1290"/>
      <c r="AK4" s="1289"/>
      <c r="AL4" s="1153"/>
      <c r="AM4" s="1160"/>
      <c r="AN4" s="1137"/>
      <c r="AO4" s="1137"/>
      <c r="AP4" s="1203"/>
      <c r="AQ4" s="1289"/>
      <c r="AR4" s="1283"/>
      <c r="AS4" s="1289"/>
      <c r="AT4" s="1289"/>
    </row>
    <row r="5" spans="1:46" ht="30" customHeight="1" x14ac:dyDescent="0.45">
      <c r="A5" s="1351">
        <v>45993</v>
      </c>
      <c r="B5" s="692">
        <v>1</v>
      </c>
      <c r="C5" s="1155"/>
      <c r="D5" s="1156"/>
      <c r="E5" s="1156"/>
      <c r="F5" s="1157"/>
      <c r="G5" s="1163"/>
      <c r="H5" s="1164"/>
      <c r="I5" s="1141"/>
      <c r="J5" s="1159"/>
      <c r="K5" s="286"/>
      <c r="L5" s="1160"/>
      <c r="M5" s="1137"/>
      <c r="N5" s="1137"/>
      <c r="O5" s="1148"/>
      <c r="P5" s="1128"/>
      <c r="Q5" s="1137"/>
      <c r="R5" s="1137"/>
      <c r="S5" s="1148"/>
      <c r="T5" s="286"/>
      <c r="U5" s="1160"/>
      <c r="V5" s="1137"/>
      <c r="W5" s="1137">
        <v>20</v>
      </c>
      <c r="X5" s="1148"/>
      <c r="Y5" s="1149"/>
      <c r="Z5" s="1140"/>
      <c r="AA5" s="1165" t="s">
        <v>152</v>
      </c>
      <c r="AB5" s="1166"/>
      <c r="AC5" s="286"/>
      <c r="AD5" s="1160"/>
      <c r="AE5" s="1137"/>
      <c r="AF5" s="1137"/>
      <c r="AG5" s="1203"/>
      <c r="AH5" s="1289"/>
      <c r="AI5" s="1289"/>
      <c r="AJ5" s="1290"/>
      <c r="AK5" s="1289"/>
      <c r="AL5" s="1153"/>
      <c r="AM5" s="1160"/>
      <c r="AN5" s="1137"/>
      <c r="AO5" s="1137"/>
      <c r="AP5" s="1203"/>
      <c r="AQ5" s="1289"/>
      <c r="AR5" s="1289"/>
      <c r="AS5" s="1290"/>
      <c r="AT5" s="1289"/>
    </row>
    <row r="6" spans="1:46" ht="30" customHeight="1" x14ac:dyDescent="0.45">
      <c r="A6" s="1352"/>
      <c r="B6" s="692">
        <v>2</v>
      </c>
      <c r="C6" s="1155"/>
      <c r="D6" s="1156"/>
      <c r="E6" s="1156"/>
      <c r="F6" s="1157"/>
      <c r="G6" s="1139"/>
      <c r="H6" s="1150"/>
      <c r="I6" s="1141"/>
      <c r="J6" s="1170"/>
      <c r="K6" s="286"/>
      <c r="L6" s="1160"/>
      <c r="M6" s="1137"/>
      <c r="N6" s="1137"/>
      <c r="O6" s="1148"/>
      <c r="P6" s="1128"/>
      <c r="Q6" s="1140"/>
      <c r="R6" s="1137"/>
      <c r="S6" s="1170"/>
      <c r="T6" s="286"/>
      <c r="U6" s="1160"/>
      <c r="V6" s="1137"/>
      <c r="W6" s="1137">
        <v>5</v>
      </c>
      <c r="X6" s="1148"/>
      <c r="Y6" s="1149"/>
      <c r="Z6" s="1140"/>
      <c r="AA6" s="1165" t="s">
        <v>152</v>
      </c>
      <c r="AB6" s="1170"/>
      <c r="AC6" s="286"/>
      <c r="AD6" s="1160"/>
      <c r="AE6" s="1137"/>
      <c r="AF6" s="1137"/>
      <c r="AG6" s="1203"/>
      <c r="AH6" s="1289"/>
      <c r="AI6" s="1289"/>
      <c r="AJ6" s="1283"/>
      <c r="AK6" s="1283"/>
      <c r="AL6" s="1153"/>
      <c r="AM6" s="1160"/>
      <c r="AN6" s="1137"/>
      <c r="AO6" s="1137"/>
      <c r="AP6" s="1203"/>
      <c r="AQ6" s="1290"/>
      <c r="AR6" s="1289"/>
      <c r="AS6" s="1290"/>
      <c r="AT6" s="1289"/>
    </row>
    <row r="7" spans="1:46" ht="29.25" customHeight="1" x14ac:dyDescent="0.45">
      <c r="A7" s="1351">
        <v>45994</v>
      </c>
      <c r="B7" s="692">
        <v>1</v>
      </c>
      <c r="C7" s="1155"/>
      <c r="D7" s="1156"/>
      <c r="E7" s="1156">
        <v>20</v>
      </c>
      <c r="F7" s="1157"/>
      <c r="G7" s="1139"/>
      <c r="H7" s="1150"/>
      <c r="I7" s="1141" t="s">
        <v>152</v>
      </c>
      <c r="J7" s="1170"/>
      <c r="K7" s="286"/>
      <c r="L7" s="1160"/>
      <c r="M7" s="1128"/>
      <c r="N7" s="1137"/>
      <c r="O7" s="1148"/>
      <c r="P7" s="1128"/>
      <c r="Q7" s="972"/>
      <c r="R7" s="1137"/>
      <c r="S7" s="1169"/>
      <c r="T7" s="286"/>
      <c r="U7" s="1160"/>
      <c r="V7" s="1137">
        <v>67</v>
      </c>
      <c r="W7" s="1137">
        <v>32</v>
      </c>
      <c r="X7" s="1148"/>
      <c r="Y7" s="1149"/>
      <c r="Z7" s="1140" t="s">
        <v>1160</v>
      </c>
      <c r="AA7" s="1165" t="s">
        <v>1159</v>
      </c>
      <c r="AB7" s="1169"/>
      <c r="AC7" s="286"/>
      <c r="AD7" s="1160"/>
      <c r="AE7" s="1137"/>
      <c r="AF7" s="1137"/>
      <c r="AG7" s="1203"/>
      <c r="AH7" s="1289"/>
      <c r="AI7" s="1291"/>
      <c r="AJ7" s="1283"/>
      <c r="AK7" s="1289"/>
      <c r="AL7" s="1153"/>
      <c r="AM7" s="1160"/>
      <c r="AN7" s="1137"/>
      <c r="AO7" s="1137">
        <v>12</v>
      </c>
      <c r="AP7" s="1203"/>
      <c r="AQ7" s="1289"/>
      <c r="AR7" s="1289"/>
      <c r="AS7" s="1291" t="s">
        <v>388</v>
      </c>
      <c r="AT7" s="1283"/>
    </row>
    <row r="8" spans="1:46" ht="30" customHeight="1" x14ac:dyDescent="0.45">
      <c r="A8" s="1352"/>
      <c r="B8" s="692">
        <v>2</v>
      </c>
      <c r="C8" s="1254"/>
      <c r="D8" s="1177"/>
      <c r="E8" s="1177">
        <v>30</v>
      </c>
      <c r="F8" s="1199"/>
      <c r="G8" s="1195"/>
      <c r="H8" s="1196"/>
      <c r="I8" s="1197" t="s">
        <v>152</v>
      </c>
      <c r="J8" s="1194"/>
      <c r="K8" s="286"/>
      <c r="L8" s="1160"/>
      <c r="M8" s="1137">
        <v>148</v>
      </c>
      <c r="N8" s="1137"/>
      <c r="O8" s="1148"/>
      <c r="P8" s="1128"/>
      <c r="Q8" s="1137" t="s">
        <v>112</v>
      </c>
      <c r="R8" s="1152"/>
      <c r="S8" s="1169"/>
      <c r="T8" s="286"/>
      <c r="U8" s="1178"/>
      <c r="V8" s="1175"/>
      <c r="W8" s="1128">
        <v>36</v>
      </c>
      <c r="X8" s="1148"/>
      <c r="Y8" s="1149"/>
      <c r="Z8" s="1172"/>
      <c r="AA8" s="1152" t="s">
        <v>1159</v>
      </c>
      <c r="AB8" s="1170"/>
      <c r="AC8" s="286"/>
      <c r="AD8" s="1160"/>
      <c r="AE8" s="1137"/>
      <c r="AF8" s="1137"/>
      <c r="AG8" s="1203"/>
      <c r="AH8" s="1289"/>
      <c r="AI8" s="1290"/>
      <c r="AJ8" s="1283"/>
      <c r="AK8" s="1283"/>
      <c r="AL8" s="1153"/>
      <c r="AM8" s="1160"/>
      <c r="AN8" s="1137"/>
      <c r="AO8" s="1137"/>
      <c r="AP8" s="1203"/>
      <c r="AQ8" s="1289"/>
      <c r="AR8" s="1290"/>
      <c r="AS8" s="1289"/>
      <c r="AT8" s="1283"/>
    </row>
    <row r="9" spans="1:46" ht="30" customHeight="1" x14ac:dyDescent="0.45">
      <c r="A9" s="1351">
        <v>45995</v>
      </c>
      <c r="B9" s="692">
        <v>1</v>
      </c>
      <c r="C9" s="1336"/>
      <c r="D9" s="1337"/>
      <c r="E9" s="1337"/>
      <c r="F9" s="1156"/>
      <c r="G9" s="1338"/>
      <c r="H9" s="1337"/>
      <c r="I9" s="1337"/>
      <c r="J9" s="971"/>
      <c r="K9" s="1257"/>
      <c r="L9" s="1339"/>
      <c r="M9" s="1321"/>
      <c r="N9" s="1321"/>
      <c r="O9" s="1156"/>
      <c r="P9" s="1322"/>
      <c r="Q9" s="1321"/>
      <c r="R9" s="1321"/>
      <c r="S9" s="985"/>
      <c r="T9" s="286"/>
      <c r="U9" s="1178"/>
      <c r="V9" s="1128"/>
      <c r="W9" s="1137">
        <v>14</v>
      </c>
      <c r="X9" s="1148"/>
      <c r="Y9" s="1149"/>
      <c r="Z9" s="1137"/>
      <c r="AA9" s="1149" t="s">
        <v>388</v>
      </c>
      <c r="AB9" s="971"/>
      <c r="AC9" s="286"/>
      <c r="AD9" s="1299"/>
      <c r="AE9" s="1182"/>
      <c r="AF9" s="1183">
        <v>5</v>
      </c>
      <c r="AG9" s="1287"/>
      <c r="AH9" s="1283"/>
      <c r="AI9" s="1282"/>
      <c r="AJ9" s="1278" t="s">
        <v>336</v>
      </c>
      <c r="AK9" s="971"/>
      <c r="AL9" s="286"/>
      <c r="AM9" s="1160"/>
      <c r="AN9" s="1137"/>
      <c r="AO9" s="1137">
        <v>10</v>
      </c>
      <c r="AP9" s="1203"/>
      <c r="AQ9" s="1289"/>
      <c r="AR9" s="1289"/>
      <c r="AS9" s="1290" t="s">
        <v>388</v>
      </c>
      <c r="AT9" s="971"/>
    </row>
    <row r="10" spans="1:46" ht="29.25" customHeight="1" x14ac:dyDescent="0.45">
      <c r="A10" s="1352"/>
      <c r="B10" s="692">
        <v>2</v>
      </c>
      <c r="C10" s="1269"/>
      <c r="D10" s="1270"/>
      <c r="E10" s="1216">
        <v>5</v>
      </c>
      <c r="F10" s="1217"/>
      <c r="G10" s="1276"/>
      <c r="H10" s="1277"/>
      <c r="I10" s="1278" t="s">
        <v>388</v>
      </c>
      <c r="J10" s="1279"/>
      <c r="K10" s="286"/>
      <c r="L10" s="1160"/>
      <c r="M10" s="1137"/>
      <c r="N10" s="1137">
        <v>32</v>
      </c>
      <c r="O10" s="1148"/>
      <c r="P10" s="1128"/>
      <c r="Q10" s="1137"/>
      <c r="R10" s="1152" t="s">
        <v>1162</v>
      </c>
      <c r="S10" s="1170"/>
      <c r="T10" s="286"/>
      <c r="U10" s="1160"/>
      <c r="V10" s="1137"/>
      <c r="W10" s="1137">
        <v>6</v>
      </c>
      <c r="X10" s="1148"/>
      <c r="Y10" s="1149"/>
      <c r="Z10" s="1149"/>
      <c r="AA10" s="1149" t="s">
        <v>388</v>
      </c>
      <c r="AB10" s="1170"/>
      <c r="AC10" s="286"/>
      <c r="AD10" s="1160"/>
      <c r="AE10" s="1137"/>
      <c r="AF10" s="1137"/>
      <c r="AG10" s="1203"/>
      <c r="AH10" s="1290"/>
      <c r="AI10" s="1290"/>
      <c r="AJ10" s="1283"/>
      <c r="AK10" s="1283"/>
      <c r="AL10" s="1153"/>
      <c r="AM10" s="1160">
        <v>400</v>
      </c>
      <c r="AN10" s="1137">
        <v>4</v>
      </c>
      <c r="AO10" s="1137"/>
      <c r="AP10" s="1203"/>
      <c r="AQ10" s="1289" t="s">
        <v>45</v>
      </c>
      <c r="AR10" s="1289" t="s">
        <v>1161</v>
      </c>
      <c r="AS10" s="1289"/>
      <c r="AT10" s="1283"/>
    </row>
    <row r="11" spans="1:46" ht="29.25" customHeight="1" x14ac:dyDescent="0.45">
      <c r="A11" s="1351">
        <v>45996</v>
      </c>
      <c r="B11" s="692">
        <v>1</v>
      </c>
      <c r="C11" s="1258"/>
      <c r="D11" s="1259"/>
      <c r="E11" s="1260"/>
      <c r="F11" s="1261"/>
      <c r="G11" s="1280"/>
      <c r="H11" s="1277"/>
      <c r="I11" s="1277"/>
      <c r="J11" s="1281"/>
      <c r="K11" s="1262"/>
      <c r="L11" s="1263"/>
      <c r="M11" s="1264"/>
      <c r="N11" s="1264"/>
      <c r="O11" s="1265"/>
      <c r="P11" s="1266"/>
      <c r="Q11" s="1264"/>
      <c r="R11" s="1267"/>
      <c r="S11" s="1265"/>
      <c r="T11" s="1262"/>
      <c r="U11" s="1263"/>
      <c r="V11" s="1264"/>
      <c r="W11" s="1264">
        <v>8</v>
      </c>
      <c r="X11" s="1264"/>
      <c r="Y11" s="1265"/>
      <c r="Z11" s="1264"/>
      <c r="AA11" s="1268" t="s">
        <v>842</v>
      </c>
      <c r="AB11" s="1265"/>
      <c r="AC11" s="1262"/>
      <c r="AD11" s="1263"/>
      <c r="AE11" s="1264"/>
      <c r="AF11" s="1264"/>
      <c r="AG11" s="1288"/>
      <c r="AH11" s="1292"/>
      <c r="AI11" s="1292"/>
      <c r="AJ11" s="1277"/>
      <c r="AK11" s="1292"/>
      <c r="AL11" s="1153"/>
      <c r="AM11" s="1263"/>
      <c r="AN11" s="1264"/>
      <c r="AO11" s="1264"/>
      <c r="AP11" s="1288"/>
      <c r="AQ11" s="1292"/>
      <c r="AR11" s="1292"/>
      <c r="AS11" s="1292"/>
      <c r="AT11" s="1296"/>
    </row>
    <row r="12" spans="1:46" ht="30" customHeight="1" x14ac:dyDescent="0.45">
      <c r="A12" s="1352"/>
      <c r="B12" s="692">
        <v>2</v>
      </c>
      <c r="C12" s="1155"/>
      <c r="D12" s="1191"/>
      <c r="E12" s="1156"/>
      <c r="F12" s="1157"/>
      <c r="G12" s="1276"/>
      <c r="H12" s="1282"/>
      <c r="I12" s="1278"/>
      <c r="J12" s="1279"/>
      <c r="K12" s="286"/>
      <c r="L12" s="1222">
        <v>720</v>
      </c>
      <c r="M12" s="1161"/>
      <c r="N12" s="1161"/>
      <c r="O12" s="1217"/>
      <c r="P12" s="1323" t="s">
        <v>45</v>
      </c>
      <c r="Q12" s="1161"/>
      <c r="R12" s="1165"/>
      <c r="S12" s="1221"/>
      <c r="T12" s="286"/>
      <c r="U12" s="1160"/>
      <c r="V12" s="1137"/>
      <c r="W12" s="1257"/>
      <c r="X12" s="1257"/>
      <c r="Y12" s="1149"/>
      <c r="Z12" s="1150"/>
      <c r="AA12" s="1165"/>
      <c r="AB12" s="1170"/>
      <c r="AC12" s="286"/>
      <c r="AD12" s="1160"/>
      <c r="AE12" s="1137"/>
      <c r="AF12" s="1137"/>
      <c r="AG12" s="1203"/>
      <c r="AH12" s="1289"/>
      <c r="AI12" s="1290"/>
      <c r="AJ12" s="1283"/>
      <c r="AK12" s="1283"/>
      <c r="AL12" s="1153"/>
      <c r="AM12" s="1160"/>
      <c r="AN12" s="1137">
        <v>9</v>
      </c>
      <c r="AO12" s="1137"/>
      <c r="AP12" s="1203"/>
      <c r="AQ12" s="1289"/>
      <c r="AR12" s="1289" t="s">
        <v>1161</v>
      </c>
      <c r="AS12" s="1290"/>
      <c r="AT12" s="1283"/>
    </row>
    <row r="13" spans="1:46" ht="30.75" customHeight="1" x14ac:dyDescent="0.45">
      <c r="A13" s="1351">
        <v>45997</v>
      </c>
      <c r="B13" s="692">
        <v>1</v>
      </c>
      <c r="C13" s="1155"/>
      <c r="D13" s="1156"/>
      <c r="E13" s="1156"/>
      <c r="F13" s="1157"/>
      <c r="G13" s="1276"/>
      <c r="H13" s="1282"/>
      <c r="I13" s="1278"/>
      <c r="J13" s="1279"/>
      <c r="K13" s="286"/>
      <c r="L13" s="1160">
        <v>720</v>
      </c>
      <c r="M13" s="1137"/>
      <c r="N13" s="1137"/>
      <c r="O13" s="1157"/>
      <c r="P13" s="1128" t="s">
        <v>45</v>
      </c>
      <c r="Q13" s="1137"/>
      <c r="R13" s="1137"/>
      <c r="S13" s="1170"/>
      <c r="T13" s="286"/>
      <c r="U13" s="1160"/>
      <c r="V13" s="1137"/>
      <c r="W13" s="1137"/>
      <c r="X13" s="1157"/>
      <c r="Y13" s="1149"/>
      <c r="Z13" s="1152"/>
      <c r="AA13" s="1165"/>
      <c r="AB13" s="1170"/>
      <c r="AC13" s="286"/>
      <c r="AD13" s="1160"/>
      <c r="AE13" s="1137"/>
      <c r="AF13" s="1137"/>
      <c r="AG13" s="1287"/>
      <c r="AH13" s="1289"/>
      <c r="AI13" s="1289"/>
      <c r="AJ13" s="1290"/>
      <c r="AK13" s="1283"/>
      <c r="AL13" s="1153"/>
      <c r="AM13" s="1160"/>
      <c r="AN13" s="1137"/>
      <c r="AO13" s="1137"/>
      <c r="AP13" s="1294"/>
      <c r="AQ13" s="1289"/>
      <c r="AR13" s="1289"/>
      <c r="AS13" s="1283"/>
      <c r="AT13" s="1283"/>
    </row>
    <row r="14" spans="1:46" ht="30" customHeight="1" x14ac:dyDescent="0.45">
      <c r="A14" s="1352"/>
      <c r="B14" s="692">
        <v>2</v>
      </c>
      <c r="C14" s="1155"/>
      <c r="D14" s="1156"/>
      <c r="E14" s="1156"/>
      <c r="F14" s="1157"/>
      <c r="G14" s="1276"/>
      <c r="H14" s="1283"/>
      <c r="I14" s="1278"/>
      <c r="J14" s="1279"/>
      <c r="K14" s="286"/>
      <c r="L14" s="1160">
        <v>720</v>
      </c>
      <c r="M14" s="1137"/>
      <c r="N14" s="1137"/>
      <c r="O14" s="1157"/>
      <c r="P14" s="1149" t="s">
        <v>45</v>
      </c>
      <c r="Q14" s="1137"/>
      <c r="R14" s="1137"/>
      <c r="S14" s="1170"/>
      <c r="T14" s="286"/>
      <c r="U14" s="1160">
        <v>109</v>
      </c>
      <c r="V14" s="1137"/>
      <c r="W14" s="1137"/>
      <c r="X14" s="1157"/>
      <c r="Y14" s="1149" t="s">
        <v>82</v>
      </c>
      <c r="Z14" s="1152"/>
      <c r="AA14" s="1165"/>
      <c r="AB14" s="1170"/>
      <c r="AC14" s="286"/>
      <c r="AD14" s="1160"/>
      <c r="AE14" s="1137"/>
      <c r="AF14" s="1137"/>
      <c r="AG14" s="1287"/>
      <c r="AH14" s="1289"/>
      <c r="AI14" s="1289"/>
      <c r="AJ14" s="1290"/>
      <c r="AK14" s="1283"/>
      <c r="AL14" s="1153"/>
      <c r="AM14" s="1160"/>
      <c r="AN14" s="1137"/>
      <c r="AO14" s="1192"/>
      <c r="AP14" s="1294"/>
      <c r="AQ14" s="1290"/>
      <c r="AR14" s="1289"/>
      <c r="AS14" s="1290"/>
      <c r="AT14" s="1283"/>
    </row>
    <row r="15" spans="1:46" ht="30" customHeight="1" x14ac:dyDescent="0.45">
      <c r="A15" s="1351">
        <v>45998</v>
      </c>
      <c r="B15" s="692">
        <v>1</v>
      </c>
      <c r="C15" s="1155"/>
      <c r="D15" s="1177"/>
      <c r="E15" s="1168"/>
      <c r="F15" s="1194"/>
      <c r="G15" s="1276"/>
      <c r="H15" s="1283"/>
      <c r="I15" s="1278"/>
      <c r="J15" s="1279"/>
      <c r="K15" s="286"/>
      <c r="L15" s="1198">
        <v>720</v>
      </c>
      <c r="M15" s="1168"/>
      <c r="N15" s="1168"/>
      <c r="O15" s="1199"/>
      <c r="P15" s="1200" t="s">
        <v>45</v>
      </c>
      <c r="Q15" s="1196"/>
      <c r="R15" s="1150"/>
      <c r="S15" s="1170"/>
      <c r="T15" s="286"/>
      <c r="U15" s="1160"/>
      <c r="V15" s="1137"/>
      <c r="W15" s="1137"/>
      <c r="X15" s="1157"/>
      <c r="Y15" s="1158"/>
      <c r="Z15" s="1150"/>
      <c r="AA15" s="1165"/>
      <c r="AB15" s="1170"/>
      <c r="AC15" s="286"/>
      <c r="AD15" s="1160"/>
      <c r="AE15" s="1137"/>
      <c r="AF15" s="286"/>
      <c r="AG15" s="1287"/>
      <c r="AH15" s="1282"/>
      <c r="AI15" s="1283"/>
      <c r="AJ15" s="1290"/>
      <c r="AK15" s="1283"/>
      <c r="AL15" s="1153"/>
      <c r="AM15" s="1160"/>
      <c r="AN15" s="1137"/>
      <c r="AO15" s="1201"/>
      <c r="AP15" s="1294"/>
      <c r="AQ15" s="1283"/>
      <c r="AR15" s="1283"/>
      <c r="AS15" s="1283"/>
      <c r="AT15" s="1283"/>
    </row>
    <row r="16" spans="1:46" ht="36.75" customHeight="1" x14ac:dyDescent="0.35">
      <c r="A16" s="1352"/>
      <c r="B16" s="692">
        <v>2</v>
      </c>
      <c r="C16" s="1181"/>
      <c r="D16" s="1223"/>
      <c r="E16" s="1224"/>
      <c r="F16" s="1225"/>
      <c r="G16" s="1284"/>
      <c r="H16" s="1277"/>
      <c r="I16" s="1278"/>
      <c r="J16" s="1279"/>
      <c r="K16" s="1230"/>
      <c r="L16" s="1231">
        <v>236</v>
      </c>
      <c r="M16" s="1232"/>
      <c r="N16" s="1232"/>
      <c r="O16" s="1225"/>
      <c r="P16" s="1226" t="s">
        <v>45</v>
      </c>
      <c r="Q16" s="1234"/>
      <c r="R16" s="1235"/>
      <c r="S16" s="1170"/>
      <c r="T16" s="286"/>
      <c r="U16" s="1160"/>
      <c r="V16" s="1137"/>
      <c r="W16" s="1137"/>
      <c r="X16" s="1157"/>
      <c r="Y16" s="1236"/>
      <c r="Z16" s="1187"/>
      <c r="AA16" s="1285"/>
      <c r="AB16" s="1170"/>
      <c r="AC16" s="286"/>
      <c r="AD16" s="1160"/>
      <c r="AE16" s="1137"/>
      <c r="AF16" s="1137"/>
      <c r="AG16" s="1287"/>
      <c r="AH16" s="1282"/>
      <c r="AI16" s="1289"/>
      <c r="AJ16" s="1289"/>
      <c r="AK16" s="1290"/>
      <c r="AL16" s="1179"/>
      <c r="AM16" s="1160"/>
      <c r="AN16" s="1137"/>
      <c r="AO16" s="1137"/>
      <c r="AP16" s="1295"/>
      <c r="AQ16" s="1297"/>
      <c r="AR16" s="1277"/>
      <c r="AS16" s="1297"/>
      <c r="AT16" s="1283"/>
    </row>
    <row r="17" spans="1:46" ht="30.75" customHeight="1" x14ac:dyDescent="0.45">
      <c r="A17" s="1351">
        <v>45999</v>
      </c>
      <c r="B17" s="717">
        <v>1</v>
      </c>
      <c r="C17" s="1155"/>
      <c r="D17" s="1215"/>
      <c r="E17" s="1216"/>
      <c r="F17" s="1217"/>
      <c r="G17" s="1284"/>
      <c r="H17" s="1180"/>
      <c r="I17" s="1278"/>
      <c r="J17" s="1279"/>
      <c r="K17" s="286"/>
      <c r="L17" s="1222"/>
      <c r="M17" s="1161"/>
      <c r="N17" s="1161"/>
      <c r="O17" s="1217"/>
      <c r="P17" s="1218"/>
      <c r="Q17" s="1219"/>
      <c r="R17" s="1150"/>
      <c r="S17" s="1170"/>
      <c r="T17" s="286"/>
      <c r="U17" s="1160"/>
      <c r="V17" s="1137"/>
      <c r="W17" s="1137"/>
      <c r="X17" s="1157"/>
      <c r="Y17" s="1158"/>
      <c r="Z17" s="1180"/>
      <c r="AA17" s="1204"/>
      <c r="AB17" s="1170"/>
      <c r="AC17" s="286"/>
      <c r="AD17" s="1160"/>
      <c r="AE17" s="1137"/>
      <c r="AF17" s="1137"/>
      <c r="AG17" s="1287"/>
      <c r="AH17" s="1282"/>
      <c r="AI17" s="1282"/>
      <c r="AJ17" s="1283"/>
      <c r="AK17" s="1283"/>
      <c r="AL17" s="1153"/>
      <c r="AM17" s="1160"/>
      <c r="AN17" s="1137"/>
      <c r="AO17" s="1192"/>
      <c r="AP17" s="1295"/>
      <c r="AQ17" s="1282"/>
      <c r="AR17" s="1283"/>
      <c r="AS17" s="1290"/>
      <c r="AT17" s="1283"/>
    </row>
    <row r="18" spans="1:46" ht="30.75" customHeight="1" x14ac:dyDescent="0.45">
      <c r="A18" s="1352"/>
      <c r="B18" s="692">
        <v>2</v>
      </c>
      <c r="C18" s="1155">
        <v>260</v>
      </c>
      <c r="D18" s="1156"/>
      <c r="E18" s="1156"/>
      <c r="F18" s="1157"/>
      <c r="G18" s="1209" t="s">
        <v>1077</v>
      </c>
      <c r="H18" s="1275"/>
      <c r="I18" s="1220"/>
      <c r="J18" s="1221"/>
      <c r="K18" s="286"/>
      <c r="L18" s="1160"/>
      <c r="M18" s="1137"/>
      <c r="N18" s="1137"/>
      <c r="O18" s="1157"/>
      <c r="P18" s="1158"/>
      <c r="Q18" s="1150"/>
      <c r="R18" s="1141"/>
      <c r="S18" s="1170"/>
      <c r="T18" s="286"/>
      <c r="U18" s="1160"/>
      <c r="V18" s="1137"/>
      <c r="W18" s="1156"/>
      <c r="X18" s="1157"/>
      <c r="Y18" s="1158"/>
      <c r="Z18" s="1150"/>
      <c r="AA18" s="1165"/>
      <c r="AB18" s="1170"/>
      <c r="AC18" s="286"/>
      <c r="AD18" s="1160"/>
      <c r="AE18" s="1137"/>
      <c r="AF18" s="1137">
        <v>74</v>
      </c>
      <c r="AG18" s="1287"/>
      <c r="AH18" s="1283"/>
      <c r="AI18" s="1283"/>
      <c r="AJ18" s="1282" t="s">
        <v>113</v>
      </c>
      <c r="AK18" s="1170"/>
      <c r="AL18" s="1153"/>
      <c r="AM18" s="1160"/>
      <c r="AN18" s="1137"/>
      <c r="AO18" s="1192"/>
      <c r="AP18" s="1294"/>
      <c r="AQ18" s="1283"/>
      <c r="AR18" s="1277"/>
      <c r="AS18" s="1277"/>
      <c r="AT18" s="1283"/>
    </row>
    <row r="19" spans="1:46" ht="30" customHeight="1" x14ac:dyDescent="0.45">
      <c r="A19" s="1351">
        <v>46000</v>
      </c>
      <c r="B19" s="692">
        <v>1</v>
      </c>
      <c r="C19" s="286"/>
      <c r="D19" s="1156"/>
      <c r="E19" s="1156"/>
      <c r="F19" s="1157"/>
      <c r="G19" s="1205"/>
      <c r="H19" s="1137"/>
      <c r="I19" s="1164"/>
      <c r="J19" s="1170"/>
      <c r="K19" s="286"/>
      <c r="L19" s="1160"/>
      <c r="M19" s="1137"/>
      <c r="N19" s="1137"/>
      <c r="O19" s="1157"/>
      <c r="P19" s="1160"/>
      <c r="Q19" s="1137"/>
      <c r="R19" s="1137"/>
      <c r="S19" s="1170"/>
      <c r="T19" s="286"/>
      <c r="U19" s="1160"/>
      <c r="V19" s="1137"/>
      <c r="W19" s="1137"/>
      <c r="X19" s="1157"/>
      <c r="Y19" s="1160"/>
      <c r="Z19" s="1152"/>
      <c r="AA19" s="1204"/>
      <c r="AB19" s="1170"/>
      <c r="AC19" s="286"/>
      <c r="AD19" s="1160"/>
      <c r="AE19" s="1137"/>
      <c r="AF19" s="1137"/>
      <c r="AG19" s="1287"/>
      <c r="AH19" s="1289"/>
      <c r="AI19" s="1289"/>
      <c r="AJ19" s="1290"/>
      <c r="AK19" s="1283"/>
      <c r="AL19" s="1153"/>
      <c r="AM19" s="1160"/>
      <c r="AN19" s="1137"/>
      <c r="AO19" s="1137"/>
      <c r="AP19" s="1287"/>
      <c r="AQ19" s="1289"/>
      <c r="AR19" s="1289"/>
      <c r="AS19" s="1283"/>
      <c r="AT19" s="1283"/>
    </row>
    <row r="20" spans="1:46" ht="30.75" customHeight="1" x14ac:dyDescent="0.45">
      <c r="A20" s="1352"/>
      <c r="B20" s="692">
        <v>2</v>
      </c>
      <c r="C20" s="1155"/>
      <c r="D20" s="1156"/>
      <c r="E20" s="1156"/>
      <c r="F20" s="1157">
        <v>43</v>
      </c>
      <c r="G20" s="1205"/>
      <c r="H20" s="1152"/>
      <c r="I20" s="1164"/>
      <c r="J20" s="1170" t="s">
        <v>1163</v>
      </c>
      <c r="K20" s="286"/>
      <c r="L20" s="1160"/>
      <c r="M20" s="1137"/>
      <c r="N20" s="1137"/>
      <c r="O20" s="1157">
        <v>4</v>
      </c>
      <c r="P20" s="1205"/>
      <c r="Q20" s="1152"/>
      <c r="R20" s="1141"/>
      <c r="S20" s="1170" t="s">
        <v>1163</v>
      </c>
      <c r="T20" s="286"/>
      <c r="U20" s="1160"/>
      <c r="V20" s="1137"/>
      <c r="W20" s="1137"/>
      <c r="X20" s="1157">
        <v>26</v>
      </c>
      <c r="Y20" s="1205"/>
      <c r="Z20" s="1152"/>
      <c r="AA20" s="1150"/>
      <c r="AB20" s="1170" t="s">
        <v>1163</v>
      </c>
      <c r="AC20" s="286"/>
      <c r="AD20" s="1160"/>
      <c r="AE20" s="1137"/>
      <c r="AF20" s="1137"/>
      <c r="AG20" s="1287"/>
      <c r="AH20" s="1290"/>
      <c r="AI20" s="1290"/>
      <c r="AJ20" s="1278"/>
      <c r="AK20" s="1283"/>
      <c r="AL20" s="1153"/>
      <c r="AM20" s="1160"/>
      <c r="AN20" s="1137"/>
      <c r="AO20" s="1137"/>
      <c r="AP20" s="1287">
        <v>32</v>
      </c>
      <c r="AQ20" s="1290"/>
      <c r="AR20" s="1290"/>
      <c r="AS20" s="1278"/>
      <c r="AT20" s="1283" t="s">
        <v>1163</v>
      </c>
    </row>
    <row r="21" spans="1:46" ht="29.25" customHeight="1" x14ac:dyDescent="0.45">
      <c r="A21" s="1351">
        <v>46001</v>
      </c>
      <c r="B21" s="692">
        <v>1</v>
      </c>
      <c r="C21" s="1155"/>
      <c r="D21" s="1156"/>
      <c r="E21" s="1156"/>
      <c r="F21" s="1157"/>
      <c r="G21" s="1210"/>
      <c r="H21" s="1140"/>
      <c r="I21" s="1164"/>
      <c r="J21" s="1211"/>
      <c r="K21" s="286"/>
      <c r="L21" s="1160"/>
      <c r="M21" s="1137"/>
      <c r="N21" s="1137"/>
      <c r="O21" s="1157"/>
      <c r="P21" s="1160"/>
      <c r="Q21" s="1152"/>
      <c r="R21" s="1137"/>
      <c r="S21" s="1211"/>
      <c r="T21" s="286"/>
      <c r="U21" s="1160"/>
      <c r="V21" s="1137"/>
      <c r="W21" s="1137"/>
      <c r="X21" s="1157"/>
      <c r="Y21" s="1205"/>
      <c r="Z21" s="1137"/>
      <c r="AA21" s="1204"/>
      <c r="AB21" s="1211"/>
      <c r="AC21" s="286"/>
      <c r="AD21" s="1160"/>
      <c r="AE21" s="1137"/>
      <c r="AF21" s="1137"/>
      <c r="AG21" s="1287"/>
      <c r="AH21" s="1289"/>
      <c r="AI21" s="1289"/>
      <c r="AJ21" s="1290"/>
      <c r="AK21" s="1293"/>
      <c r="AL21" s="1153"/>
      <c r="AM21" s="1160">
        <v>16</v>
      </c>
      <c r="AN21" s="1137"/>
      <c r="AO21" s="1137"/>
      <c r="AP21" s="1287"/>
      <c r="AQ21" s="1289"/>
      <c r="AR21" s="1290" t="s">
        <v>1161</v>
      </c>
      <c r="AS21" s="1290"/>
      <c r="AT21" s="1283"/>
    </row>
    <row r="22" spans="1:46" ht="30.75" customHeight="1" x14ac:dyDescent="0.45">
      <c r="A22" s="1352"/>
      <c r="B22" s="692">
        <v>2</v>
      </c>
      <c r="C22" s="1155"/>
      <c r="D22" s="1156"/>
      <c r="E22" s="1156"/>
      <c r="F22" s="1157"/>
      <c r="G22" s="1209"/>
      <c r="H22" s="1150"/>
      <c r="I22" s="1141"/>
      <c r="J22" s="1170"/>
      <c r="K22" s="286"/>
      <c r="L22" s="1160"/>
      <c r="M22" s="1137"/>
      <c r="N22" s="1137"/>
      <c r="O22" s="1157"/>
      <c r="P22" s="1149"/>
      <c r="Q22" s="1150"/>
      <c r="R22" s="1137"/>
      <c r="S22" s="1170"/>
      <c r="T22" s="286"/>
      <c r="U22" s="1160">
        <v>128</v>
      </c>
      <c r="V22" s="1137"/>
      <c r="W22" s="1137"/>
      <c r="X22" s="1157"/>
      <c r="Y22" s="1205" t="s">
        <v>1165</v>
      </c>
      <c r="Z22" s="1150"/>
      <c r="AA22" s="1165"/>
      <c r="AB22" s="1170"/>
      <c r="AC22" s="286"/>
      <c r="AD22" s="1160"/>
      <c r="AE22" s="1137"/>
      <c r="AF22" s="1137"/>
      <c r="AG22" s="1287"/>
      <c r="AH22" s="1289"/>
      <c r="AI22" s="1289"/>
      <c r="AJ22" s="1283"/>
      <c r="AK22" s="1283"/>
      <c r="AL22" s="1153"/>
      <c r="AM22" s="1160"/>
      <c r="AN22" s="1137">
        <v>215</v>
      </c>
      <c r="AO22" s="1137"/>
      <c r="AP22" s="1287"/>
      <c r="AQ22" s="1289"/>
      <c r="AR22" s="1283" t="s">
        <v>1164</v>
      </c>
      <c r="AS22" s="1289"/>
      <c r="AT22" s="1283"/>
    </row>
    <row r="23" spans="1:46" ht="29.25" customHeight="1" x14ac:dyDescent="0.45">
      <c r="A23" s="1351">
        <v>46002</v>
      </c>
      <c r="B23" s="717">
        <v>1</v>
      </c>
      <c r="C23" s="1155"/>
      <c r="D23" s="1156"/>
      <c r="E23" s="1156"/>
      <c r="F23" s="1157"/>
      <c r="G23" s="1209"/>
      <c r="H23" s="1140"/>
      <c r="I23" s="1164"/>
      <c r="J23" s="1170"/>
      <c r="K23" s="286"/>
      <c r="L23" s="1160"/>
      <c r="M23" s="1137"/>
      <c r="N23" s="1137"/>
      <c r="O23" s="1157"/>
      <c r="P23" s="1139"/>
      <c r="Q23" s="1140"/>
      <c r="R23" s="1150"/>
      <c r="S23" s="1170"/>
      <c r="T23" s="286"/>
      <c r="U23" s="1160"/>
      <c r="V23" s="1137"/>
      <c r="W23" s="1137"/>
      <c r="X23" s="1157"/>
      <c r="Y23" s="1205"/>
      <c r="Z23" s="1141"/>
      <c r="AA23" s="1204"/>
      <c r="AB23" s="1170"/>
      <c r="AC23" s="286"/>
      <c r="AD23" s="1160"/>
      <c r="AE23" s="1137"/>
      <c r="AF23" s="1128"/>
      <c r="AG23" s="1287"/>
      <c r="AH23" s="1289"/>
      <c r="AI23" s="1282"/>
      <c r="AJ23" s="1282"/>
      <c r="AK23" s="1283"/>
      <c r="AL23" s="1153"/>
      <c r="AM23" s="1160"/>
      <c r="AN23" s="1137">
        <v>15</v>
      </c>
      <c r="AO23" s="1137"/>
      <c r="AP23" s="1287"/>
      <c r="AQ23" s="1289"/>
      <c r="AR23" s="1290" t="s">
        <v>1161</v>
      </c>
      <c r="AS23" s="1283"/>
      <c r="AT23" s="1283"/>
    </row>
    <row r="24" spans="1:46" ht="30.75" customHeight="1" x14ac:dyDescent="0.45">
      <c r="A24" s="1352"/>
      <c r="B24" s="692">
        <v>2</v>
      </c>
      <c r="C24" s="1155"/>
      <c r="D24" s="1156"/>
      <c r="E24" s="1156"/>
      <c r="F24" s="1157"/>
      <c r="G24" s="1209"/>
      <c r="H24" s="1150"/>
      <c r="I24" s="1164"/>
      <c r="J24" s="1170"/>
      <c r="K24" s="286"/>
      <c r="L24" s="1160"/>
      <c r="M24" s="1137"/>
      <c r="N24" s="1137"/>
      <c r="O24" s="1157"/>
      <c r="P24" s="1139"/>
      <c r="Q24" s="1140"/>
      <c r="R24" s="1150"/>
      <c r="S24" s="1170"/>
      <c r="T24" s="1206"/>
      <c r="U24" s="1128"/>
      <c r="V24" s="1207"/>
      <c r="W24" s="1204" t="s">
        <v>1166</v>
      </c>
      <c r="X24" s="1157"/>
      <c r="Y24" s="1141"/>
      <c r="Z24" s="1140"/>
      <c r="AA24" s="1204" t="s">
        <v>325</v>
      </c>
      <c r="AB24" s="1170"/>
      <c r="AC24" s="286"/>
      <c r="AD24" s="1160"/>
      <c r="AE24" s="1137"/>
      <c r="AF24" s="1128"/>
      <c r="AG24" s="1287"/>
      <c r="AH24" s="1278"/>
      <c r="AI24" s="1282"/>
      <c r="AJ24" s="1283"/>
      <c r="AK24" s="1283"/>
      <c r="AL24" s="1153"/>
      <c r="AM24" s="1160"/>
      <c r="AN24" s="1137">
        <v>28</v>
      </c>
      <c r="AO24" s="1137"/>
      <c r="AP24" s="1287"/>
      <c r="AQ24" s="1282"/>
      <c r="AR24" s="1290" t="s">
        <v>1161</v>
      </c>
      <c r="AS24" s="1283"/>
      <c r="AT24" s="1283"/>
    </row>
    <row r="25" spans="1:46" ht="30" customHeight="1" x14ac:dyDescent="0.45">
      <c r="A25" s="1351">
        <v>46003</v>
      </c>
      <c r="B25" s="692">
        <v>1</v>
      </c>
      <c r="C25" s="1155"/>
      <c r="D25" s="1156"/>
      <c r="E25" s="1156"/>
      <c r="F25" s="1157"/>
      <c r="G25" s="1139"/>
      <c r="H25" s="1140"/>
      <c r="I25" s="1164"/>
      <c r="J25" s="1170"/>
      <c r="K25" s="286"/>
      <c r="L25" s="1160"/>
      <c r="M25" s="1137"/>
      <c r="N25" s="1137"/>
      <c r="O25" s="1157"/>
      <c r="P25" s="1160"/>
      <c r="Q25" s="1140"/>
      <c r="R25" s="1137"/>
      <c r="S25" s="1170"/>
      <c r="T25" s="286"/>
      <c r="U25" s="1160"/>
      <c r="V25" s="1137"/>
      <c r="W25" s="1137"/>
      <c r="X25" s="1157"/>
      <c r="Y25" s="1205"/>
      <c r="Z25" s="1152"/>
      <c r="AA25" s="1204"/>
      <c r="AB25" s="1170"/>
      <c r="AC25" s="286"/>
      <c r="AD25" s="1160"/>
      <c r="AE25" s="1137"/>
      <c r="AF25" s="1137"/>
      <c r="AG25" s="1287"/>
      <c r="AH25" s="1289"/>
      <c r="AI25" s="1290"/>
      <c r="AJ25" s="1283"/>
      <c r="AK25" s="1283"/>
      <c r="AL25" s="1153"/>
      <c r="AM25" s="1160"/>
      <c r="AN25" s="1137">
        <v>22</v>
      </c>
      <c r="AO25" s="1137"/>
      <c r="AP25" s="1287"/>
      <c r="AQ25" s="1289"/>
      <c r="AR25" s="1290" t="s">
        <v>1161</v>
      </c>
      <c r="AS25" s="1283"/>
      <c r="AT25" s="1283"/>
    </row>
    <row r="26" spans="1:46" ht="30" customHeight="1" x14ac:dyDescent="0.45">
      <c r="A26" s="1352"/>
      <c r="B26" s="692">
        <v>2</v>
      </c>
      <c r="C26" s="1155"/>
      <c r="D26" s="1156"/>
      <c r="E26" s="1156"/>
      <c r="F26" s="1157"/>
      <c r="G26" s="1139"/>
      <c r="H26" s="1150"/>
      <c r="I26" s="1164"/>
      <c r="J26" s="1170"/>
      <c r="K26" s="286"/>
      <c r="L26" s="1160"/>
      <c r="M26" s="1137"/>
      <c r="N26" s="1137"/>
      <c r="O26" s="1157"/>
      <c r="P26" s="1139"/>
      <c r="Q26" s="1150"/>
      <c r="R26" s="1176"/>
      <c r="S26" s="1170"/>
      <c r="T26" s="286"/>
      <c r="U26" s="1160"/>
      <c r="V26" s="1156"/>
      <c r="W26" s="1137"/>
      <c r="X26" s="1157"/>
      <c r="Y26" s="1141"/>
      <c r="Z26" s="1150"/>
      <c r="AA26" s="1204"/>
      <c r="AB26" s="1170"/>
      <c r="AC26" s="286"/>
      <c r="AD26" s="1160"/>
      <c r="AE26" s="1156"/>
      <c r="AF26" s="1137"/>
      <c r="AG26" s="1287"/>
      <c r="AH26" s="1278"/>
      <c r="AI26" s="1283"/>
      <c r="AJ26" s="1283"/>
      <c r="AK26" s="1283"/>
      <c r="AL26" s="1153"/>
      <c r="AM26" s="1160"/>
      <c r="AN26" s="1156">
        <v>70</v>
      </c>
      <c r="AO26" s="1137"/>
      <c r="AP26" s="1287"/>
      <c r="AQ26" s="1282"/>
      <c r="AR26" s="1283" t="s">
        <v>513</v>
      </c>
      <c r="AS26" s="1283"/>
      <c r="AT26" s="1283"/>
    </row>
    <row r="27" spans="1:46" ht="30.75" customHeight="1" x14ac:dyDescent="0.45">
      <c r="A27" s="1351">
        <v>46004</v>
      </c>
      <c r="B27" s="717">
        <v>1</v>
      </c>
      <c r="C27" s="1155"/>
      <c r="D27" s="1156"/>
      <c r="E27" s="1156"/>
      <c r="F27" s="1157"/>
      <c r="G27" s="1139"/>
      <c r="H27" s="1140"/>
      <c r="I27" s="1164"/>
      <c r="J27" s="1170"/>
      <c r="K27" s="286"/>
      <c r="L27" s="1160"/>
      <c r="M27" s="1137"/>
      <c r="N27" s="1137"/>
      <c r="O27" s="1157"/>
      <c r="P27" s="1139"/>
      <c r="Q27" s="1140"/>
      <c r="R27" s="1150"/>
      <c r="S27" s="1170"/>
      <c r="T27" s="286"/>
      <c r="U27" s="1160"/>
      <c r="V27" s="1137"/>
      <c r="W27" s="1137"/>
      <c r="X27" s="1157"/>
      <c r="Y27" s="1139"/>
      <c r="Z27" s="1150"/>
      <c r="AA27" s="1204"/>
      <c r="AB27" s="1170"/>
      <c r="AC27" s="286"/>
      <c r="AD27" s="1160"/>
      <c r="AE27" s="1137"/>
      <c r="AF27" s="1137"/>
      <c r="AG27" s="1287"/>
      <c r="AH27" s="1282"/>
      <c r="AI27" s="1290"/>
      <c r="AJ27" s="1283"/>
      <c r="AK27" s="1283"/>
      <c r="AL27" s="1153"/>
      <c r="AM27" s="1160"/>
      <c r="AN27" s="1137"/>
      <c r="AO27" s="1137"/>
      <c r="AP27" s="1287"/>
      <c r="AQ27" s="1290"/>
      <c r="AR27" s="1289"/>
      <c r="AS27" s="1283"/>
      <c r="AT27" s="1283"/>
    </row>
    <row r="28" spans="1:46" ht="30" customHeight="1" x14ac:dyDescent="0.45">
      <c r="A28" s="1352"/>
      <c r="B28" s="692">
        <v>2</v>
      </c>
      <c r="C28" s="1155"/>
      <c r="D28" s="1156"/>
      <c r="E28" s="1156"/>
      <c r="F28" s="1157"/>
      <c r="G28" s="1150"/>
      <c r="H28" s="1150"/>
      <c r="I28" s="1176"/>
      <c r="J28" s="1170"/>
      <c r="K28" s="286"/>
      <c r="L28" s="1160"/>
      <c r="M28" s="1137"/>
      <c r="N28" s="1137"/>
      <c r="O28" s="1157"/>
      <c r="P28" s="1150"/>
      <c r="Q28" s="1150"/>
      <c r="R28" s="1150"/>
      <c r="S28" s="1170"/>
      <c r="T28" s="286"/>
      <c r="U28" s="1160"/>
      <c r="V28" s="1137"/>
      <c r="W28" s="286"/>
      <c r="X28" s="1157"/>
      <c r="Y28" s="1150"/>
      <c r="Z28" s="1137"/>
      <c r="AA28" s="1204"/>
      <c r="AB28" s="1170"/>
      <c r="AC28" s="286"/>
      <c r="AD28" s="1160">
        <v>93</v>
      </c>
      <c r="AE28" s="1137"/>
      <c r="AF28" s="1137"/>
      <c r="AG28" s="1287"/>
      <c r="AH28" s="1282" t="s">
        <v>1167</v>
      </c>
      <c r="AI28" s="1290"/>
      <c r="AJ28" s="1290"/>
      <c r="AK28" s="1283"/>
      <c r="AL28" s="1153"/>
      <c r="AM28" s="1160"/>
      <c r="AN28" s="1137"/>
      <c r="AO28" s="1137"/>
      <c r="AP28" s="1287"/>
      <c r="AQ28" s="1290"/>
      <c r="AR28" s="1289"/>
      <c r="AS28" s="1283"/>
      <c r="AT28" s="1283"/>
    </row>
    <row r="29" spans="1:46" ht="30" customHeight="1" x14ac:dyDescent="0.45">
      <c r="A29" s="1351">
        <v>46005</v>
      </c>
      <c r="B29" s="692">
        <v>1</v>
      </c>
      <c r="C29" s="1155"/>
      <c r="D29" s="1156"/>
      <c r="E29" s="1156"/>
      <c r="F29" s="1157"/>
      <c r="G29" s="1150"/>
      <c r="H29" s="1140"/>
      <c r="I29" s="1176"/>
      <c r="J29" s="1170"/>
      <c r="K29" s="286"/>
      <c r="L29" s="1160"/>
      <c r="M29" s="1137"/>
      <c r="N29" s="1137"/>
      <c r="O29" s="1157"/>
      <c r="P29" s="1139"/>
      <c r="Q29" s="1150"/>
      <c r="R29" s="1150"/>
      <c r="S29" s="1170"/>
      <c r="T29" s="286"/>
      <c r="U29" s="1160"/>
      <c r="V29" s="1137"/>
      <c r="W29" s="1137"/>
      <c r="X29" s="1157"/>
      <c r="Y29" s="1150"/>
      <c r="Z29" s="1140"/>
      <c r="AA29" s="1165"/>
      <c r="AB29" s="1170"/>
      <c r="AC29" s="286"/>
      <c r="AD29" s="1160"/>
      <c r="AE29" s="1137"/>
      <c r="AF29" s="1137"/>
      <c r="AG29" s="1287"/>
      <c r="AH29" s="1282"/>
      <c r="AI29" s="1282"/>
      <c r="AJ29" s="1289"/>
      <c r="AK29" s="1283"/>
      <c r="AL29" s="1153"/>
      <c r="AM29" s="1160"/>
      <c r="AN29" s="1137"/>
      <c r="AO29" s="1137"/>
      <c r="AP29" s="1287"/>
      <c r="AQ29" s="1290"/>
      <c r="AR29" s="1282"/>
      <c r="AS29" s="1289"/>
      <c r="AT29" s="1283"/>
    </row>
    <row r="30" spans="1:46" ht="29.25" customHeight="1" x14ac:dyDescent="0.45">
      <c r="A30" s="1352"/>
      <c r="B30" s="717">
        <v>2</v>
      </c>
      <c r="C30" s="1155"/>
      <c r="D30" s="1156"/>
      <c r="E30" s="1156"/>
      <c r="F30" s="1157"/>
      <c r="G30" s="1150"/>
      <c r="H30" s="1140"/>
      <c r="I30" s="1165"/>
      <c r="J30" s="1252"/>
      <c r="K30" s="286"/>
      <c r="L30" s="1160"/>
      <c r="M30" s="1137"/>
      <c r="N30" s="1137"/>
      <c r="O30" s="1157"/>
      <c r="P30" s="1139"/>
      <c r="Q30" s="1150"/>
      <c r="R30" s="1150"/>
      <c r="S30" s="1252"/>
      <c r="T30" s="286"/>
      <c r="U30" s="1160"/>
      <c r="V30" s="1137"/>
      <c r="W30" s="1137"/>
      <c r="X30" s="1157"/>
      <c r="Y30" s="1340"/>
      <c r="Z30" s="1341"/>
      <c r="AA30" s="1342"/>
      <c r="AB30" s="1252"/>
      <c r="AC30" s="286"/>
      <c r="AD30" s="1160"/>
      <c r="AE30" s="1137"/>
      <c r="AF30" s="1137">
        <v>23</v>
      </c>
      <c r="AG30" s="1287"/>
      <c r="AH30" s="1282"/>
      <c r="AI30" s="1283"/>
      <c r="AJ30" s="1289" t="s">
        <v>331</v>
      </c>
      <c r="AK30" s="1343"/>
      <c r="AL30" s="1153"/>
      <c r="AM30" s="1160"/>
      <c r="AN30" s="1137"/>
      <c r="AO30" s="1137"/>
      <c r="AP30" s="1287"/>
      <c r="AQ30" s="1290"/>
      <c r="AR30" s="1282"/>
      <c r="AS30" s="1289"/>
      <c r="AT30" s="1344"/>
    </row>
    <row r="31" spans="1:46" ht="29.25" customHeight="1" x14ac:dyDescent="0.45">
      <c r="A31" s="1351">
        <v>46006</v>
      </c>
      <c r="B31" s="692">
        <v>1</v>
      </c>
      <c r="C31" s="1155"/>
      <c r="D31" s="1156"/>
      <c r="E31" s="1156"/>
      <c r="F31" s="1157"/>
      <c r="G31" s="1139"/>
      <c r="H31" s="1171"/>
      <c r="I31" s="1241"/>
      <c r="J31" s="1170"/>
      <c r="K31" s="286"/>
      <c r="L31" s="1160"/>
      <c r="M31" s="1137"/>
      <c r="N31" s="1137"/>
      <c r="O31" s="1157"/>
      <c r="P31" s="1128"/>
      <c r="Q31" s="1137"/>
      <c r="R31" s="1137"/>
      <c r="S31" s="1170"/>
      <c r="T31" s="286"/>
      <c r="U31" s="1160"/>
      <c r="V31" s="1137"/>
      <c r="W31" s="1137">
        <v>20</v>
      </c>
      <c r="X31" s="1157"/>
      <c r="Y31" s="1172"/>
      <c r="Z31" s="1242"/>
      <c r="AA31" s="1240" t="s">
        <v>325</v>
      </c>
      <c r="AB31" s="1179"/>
      <c r="AC31" s="286"/>
      <c r="AD31" s="1160"/>
      <c r="AE31" s="1137"/>
      <c r="AF31" s="1137"/>
      <c r="AG31" s="1287"/>
      <c r="AH31" s="1282"/>
      <c r="AI31" s="1289"/>
      <c r="AJ31" s="1289"/>
      <c r="AK31" s="1283"/>
      <c r="AL31" s="1153"/>
      <c r="AM31" s="1160"/>
      <c r="AN31" s="1137"/>
      <c r="AO31" s="1137"/>
      <c r="AP31" s="1287"/>
      <c r="AQ31" s="1289"/>
      <c r="AR31" s="1282"/>
      <c r="AS31" s="1289"/>
      <c r="AT31" s="1290"/>
    </row>
    <row r="32" spans="1:46" ht="30.75" customHeight="1" x14ac:dyDescent="0.45">
      <c r="A32" s="1352"/>
      <c r="B32" s="692">
        <v>2</v>
      </c>
      <c r="C32" s="1245"/>
      <c r="D32" s="1183"/>
      <c r="E32" s="1156"/>
      <c r="F32" s="1183"/>
      <c r="G32" s="1139"/>
      <c r="H32" s="1171"/>
      <c r="I32" s="1241"/>
      <c r="J32" s="1170"/>
      <c r="K32" s="286"/>
      <c r="L32" s="1160"/>
      <c r="M32" s="1137"/>
      <c r="N32" s="1137"/>
      <c r="O32" s="1137"/>
      <c r="P32" s="1128"/>
      <c r="Q32" s="1171"/>
      <c r="R32" s="1128"/>
      <c r="S32" s="1170"/>
      <c r="T32" s="286"/>
      <c r="U32" s="1160"/>
      <c r="V32" s="1137"/>
      <c r="W32" s="1156"/>
      <c r="X32" s="1137"/>
      <c r="Y32" s="1237"/>
      <c r="Z32" s="1246"/>
      <c r="AA32" s="1243"/>
      <c r="AB32" s="1179"/>
      <c r="AC32" s="286"/>
      <c r="AD32" s="1160"/>
      <c r="AE32" s="1137"/>
      <c r="AF32" s="1156"/>
      <c r="AG32" s="1203"/>
      <c r="AH32" s="1282"/>
      <c r="AI32" s="1283"/>
      <c r="AJ32" s="1290"/>
      <c r="AK32" s="1283"/>
      <c r="AL32" s="1153"/>
      <c r="AM32" s="1160"/>
      <c r="AN32" s="1137"/>
      <c r="AO32" s="1137"/>
      <c r="AP32" s="1287"/>
      <c r="AQ32" s="1289"/>
      <c r="AR32" s="1282"/>
      <c r="AS32" s="1283"/>
      <c r="AT32" s="1290"/>
    </row>
    <row r="33" spans="1:47" ht="30.75" customHeight="1" x14ac:dyDescent="0.45">
      <c r="A33" s="1351">
        <v>46007</v>
      </c>
      <c r="B33" s="692">
        <v>1</v>
      </c>
      <c r="C33" s="1155"/>
      <c r="D33" s="1156"/>
      <c r="E33" s="1156"/>
      <c r="F33" s="1157"/>
      <c r="G33" s="1139"/>
      <c r="H33" s="1171"/>
      <c r="I33" s="1241"/>
      <c r="J33" s="1170"/>
      <c r="K33" s="286"/>
      <c r="L33" s="1160"/>
      <c r="M33" s="1137"/>
      <c r="N33" s="1137"/>
      <c r="O33" s="1157"/>
      <c r="P33" s="1128"/>
      <c r="Q33" s="1137"/>
      <c r="R33" s="1137"/>
      <c r="S33" s="1170"/>
      <c r="T33" s="286"/>
      <c r="U33" s="1160"/>
      <c r="V33" s="1137"/>
      <c r="W33" s="1137"/>
      <c r="X33" s="1157"/>
      <c r="Y33" s="1128"/>
      <c r="Z33" s="1161"/>
      <c r="AA33" s="1243"/>
      <c r="AB33" s="1170"/>
      <c r="AC33" s="286"/>
      <c r="AD33" s="1160"/>
      <c r="AE33" s="1137"/>
      <c r="AF33" s="1137"/>
      <c r="AG33" s="1287"/>
      <c r="AH33" s="1289"/>
      <c r="AI33" s="1290"/>
      <c r="AJ33" s="1290"/>
      <c r="AK33" s="1283"/>
      <c r="AL33" s="1153"/>
      <c r="AM33" s="1160"/>
      <c r="AN33" s="1137"/>
      <c r="AO33" s="1137"/>
      <c r="AP33" s="1287"/>
      <c r="AQ33" s="1289"/>
      <c r="AR33" s="1290"/>
      <c r="AS33" s="1289"/>
      <c r="AT33" s="1290"/>
    </row>
    <row r="34" spans="1:47" ht="30" customHeight="1" x14ac:dyDescent="0.45">
      <c r="A34" s="1352"/>
      <c r="B34" s="717">
        <v>2</v>
      </c>
      <c r="C34" s="1156"/>
      <c r="D34" s="1156"/>
      <c r="E34" s="1156">
        <v>45</v>
      </c>
      <c r="F34" s="1157"/>
      <c r="G34" s="1158"/>
      <c r="H34" s="1150"/>
      <c r="I34" s="1165" t="s">
        <v>152</v>
      </c>
      <c r="J34" s="1170"/>
      <c r="K34" s="286"/>
      <c r="L34" s="1160"/>
      <c r="M34" s="1137"/>
      <c r="N34" s="1137"/>
      <c r="O34" s="1157"/>
      <c r="P34" s="1128"/>
      <c r="Q34" s="1150"/>
      <c r="R34" s="1137"/>
      <c r="S34" s="1170"/>
      <c r="T34" s="286"/>
      <c r="U34" s="1160"/>
      <c r="V34" s="1137"/>
      <c r="W34" s="1137"/>
      <c r="X34" s="1157"/>
      <c r="Y34" s="1152"/>
      <c r="Z34" s="1152"/>
      <c r="AA34" s="1165"/>
      <c r="AB34" s="1170"/>
      <c r="AC34" s="286"/>
      <c r="AD34" s="1160"/>
      <c r="AE34" s="1137"/>
      <c r="AF34" s="1137"/>
      <c r="AG34" s="1287"/>
      <c r="AH34" s="1289"/>
      <c r="AI34" s="1289"/>
      <c r="AJ34" s="1290"/>
      <c r="AK34" s="1283"/>
      <c r="AL34" s="1153"/>
      <c r="AM34" s="1160"/>
      <c r="AN34" s="1137"/>
      <c r="AO34" s="1137"/>
      <c r="AP34" s="1287"/>
      <c r="AQ34" s="1289"/>
      <c r="AR34" s="1290"/>
      <c r="AS34" s="1290"/>
      <c r="AT34" s="1290"/>
    </row>
    <row r="35" spans="1:47" ht="29.25" customHeight="1" x14ac:dyDescent="0.45">
      <c r="A35" s="1351">
        <v>46008</v>
      </c>
      <c r="B35" s="692">
        <v>1</v>
      </c>
      <c r="C35" s="1156"/>
      <c r="D35" s="1156"/>
      <c r="E35" s="1203"/>
      <c r="F35" s="1157"/>
      <c r="G35" s="1205"/>
      <c r="H35" s="1128"/>
      <c r="I35" s="1165"/>
      <c r="J35" s="1170"/>
      <c r="K35" s="286"/>
      <c r="L35" s="1160"/>
      <c r="M35" s="1137"/>
      <c r="N35" s="1137"/>
      <c r="O35" s="1157"/>
      <c r="P35" s="1205"/>
      <c r="Q35" s="1150"/>
      <c r="R35" s="1150"/>
      <c r="S35" s="1170"/>
      <c r="T35" s="286"/>
      <c r="U35" s="1160">
        <v>268</v>
      </c>
      <c r="V35" s="1137"/>
      <c r="W35" s="1203"/>
      <c r="X35" s="1157"/>
      <c r="Y35" s="1205" t="s">
        <v>1170</v>
      </c>
      <c r="Z35" s="1152"/>
      <c r="AA35" s="1165"/>
      <c r="AB35" s="1170"/>
      <c r="AC35" s="286"/>
      <c r="AD35" s="1160"/>
      <c r="AE35" s="1137"/>
      <c r="AF35" s="1137"/>
      <c r="AG35" s="1287"/>
      <c r="AH35" s="1290"/>
      <c r="AI35" s="1289"/>
      <c r="AJ35" s="1283"/>
      <c r="AK35" s="1283"/>
      <c r="AL35" s="1153"/>
      <c r="AM35" s="1160"/>
      <c r="AN35" s="1137"/>
      <c r="AO35" s="1137"/>
      <c r="AP35" s="1287"/>
      <c r="AQ35" s="1289"/>
      <c r="AR35" s="1290"/>
      <c r="AS35" s="1290"/>
      <c r="AT35" s="1283"/>
    </row>
    <row r="36" spans="1:47" ht="46.95" customHeight="1" x14ac:dyDescent="0.45">
      <c r="A36" s="1352"/>
      <c r="B36" s="692">
        <v>2</v>
      </c>
      <c r="C36" s="1203"/>
      <c r="D36" s="1137"/>
      <c r="E36" s="1203"/>
      <c r="F36" s="1157"/>
      <c r="G36" s="1176"/>
      <c r="H36" s="1150"/>
      <c r="I36" s="1176"/>
      <c r="J36" s="1170"/>
      <c r="K36" s="286"/>
      <c r="L36" s="1205"/>
      <c r="M36" s="1137"/>
      <c r="N36" s="1137"/>
      <c r="O36" s="1157"/>
      <c r="P36" s="1205"/>
      <c r="Q36" s="1150"/>
      <c r="R36" s="1152"/>
      <c r="S36" s="1170"/>
      <c r="T36" s="286"/>
      <c r="U36" s="1160"/>
      <c r="V36" s="1137"/>
      <c r="W36" s="1137"/>
      <c r="X36" s="1157"/>
      <c r="Y36" s="1205"/>
      <c r="Z36" s="1150"/>
      <c r="AA36" s="1165"/>
      <c r="AB36" s="1170"/>
      <c r="AC36" s="286"/>
      <c r="AD36" s="1160"/>
      <c r="AE36" s="1137"/>
      <c r="AF36" s="1203"/>
      <c r="AG36" s="1287"/>
      <c r="AH36" s="1290"/>
      <c r="AI36" s="1290"/>
      <c r="AJ36" s="1290"/>
      <c r="AK36" s="1283"/>
      <c r="AL36" s="1153"/>
      <c r="AM36" s="1160"/>
      <c r="AN36" s="1137"/>
      <c r="AO36" s="1137"/>
      <c r="AP36" s="1287"/>
      <c r="AQ36" s="1289"/>
      <c r="AR36" s="1290"/>
      <c r="AS36" s="1290"/>
      <c r="AT36" s="1283"/>
    </row>
    <row r="37" spans="1:47" ht="40.5" customHeight="1" x14ac:dyDescent="0.45">
      <c r="A37" s="1351">
        <v>46009</v>
      </c>
      <c r="B37" s="717">
        <v>1</v>
      </c>
      <c r="C37" s="1203"/>
      <c r="D37" s="1156"/>
      <c r="E37" s="1203"/>
      <c r="F37" s="1157"/>
      <c r="G37" s="1176"/>
      <c r="H37" s="1152"/>
      <c r="I37" s="1141"/>
      <c r="J37" s="1170"/>
      <c r="K37" s="286"/>
      <c r="L37" s="1160"/>
      <c r="M37" s="1137"/>
      <c r="N37" s="1137"/>
      <c r="O37" s="1157"/>
      <c r="P37" s="1128"/>
      <c r="Q37" s="1150"/>
      <c r="R37" s="1137"/>
      <c r="S37" s="1170"/>
      <c r="T37" s="286"/>
      <c r="U37" s="1160"/>
      <c r="V37" s="1137"/>
      <c r="W37" s="1137"/>
      <c r="X37" s="1157"/>
      <c r="Y37" s="1128"/>
      <c r="Z37" s="1152"/>
      <c r="AA37" s="1165"/>
      <c r="AB37" s="1170"/>
      <c r="AC37" s="286"/>
      <c r="AD37" s="1160"/>
      <c r="AE37" s="1137"/>
      <c r="AF37" s="1137"/>
      <c r="AG37" s="1287"/>
      <c r="AH37" s="1290"/>
      <c r="AI37" s="1289"/>
      <c r="AJ37" s="1290"/>
      <c r="AK37" s="1283"/>
      <c r="AL37" s="1153"/>
      <c r="AM37" s="1160"/>
      <c r="AN37" s="1137"/>
      <c r="AO37" s="1137"/>
      <c r="AP37" s="1287"/>
      <c r="AQ37" s="1289"/>
      <c r="AR37" s="1290"/>
      <c r="AS37" s="1289"/>
      <c r="AT37" s="1283"/>
    </row>
    <row r="38" spans="1:47" ht="40.5" customHeight="1" x14ac:dyDescent="0.45">
      <c r="A38" s="1352"/>
      <c r="B38" s="692">
        <v>2</v>
      </c>
      <c r="C38" s="1203"/>
      <c r="D38" s="1156"/>
      <c r="E38" s="1203"/>
      <c r="F38" s="1157"/>
      <c r="G38" s="1176"/>
      <c r="H38" s="1152"/>
      <c r="I38" s="1141"/>
      <c r="J38" s="1170"/>
      <c r="K38" s="286"/>
      <c r="L38" s="1160">
        <v>688</v>
      </c>
      <c r="M38" s="1137"/>
      <c r="N38" s="1137"/>
      <c r="O38" s="1157"/>
      <c r="P38" s="1128" t="s">
        <v>45</v>
      </c>
      <c r="Q38" s="1149"/>
      <c r="R38" s="1137"/>
      <c r="S38" s="1170"/>
      <c r="T38" s="286"/>
      <c r="U38" s="1160"/>
      <c r="V38" s="1137"/>
      <c r="W38" s="1137"/>
      <c r="X38" s="1157"/>
      <c r="Y38" s="1149"/>
      <c r="Z38" s="1152"/>
      <c r="AA38" s="1165"/>
      <c r="AB38" s="1170"/>
      <c r="AC38" s="286"/>
      <c r="AD38" s="1160"/>
      <c r="AE38" s="1137"/>
      <c r="AF38" s="1137"/>
      <c r="AG38" s="1287"/>
      <c r="AH38" s="1290"/>
      <c r="AI38" s="1289"/>
      <c r="AJ38" s="1290"/>
      <c r="AK38" s="1283"/>
      <c r="AL38" s="1153"/>
      <c r="AM38" s="1160"/>
      <c r="AN38" s="1137"/>
      <c r="AO38" s="1137"/>
      <c r="AP38" s="1287"/>
      <c r="AQ38" s="1289"/>
      <c r="AR38" s="1290"/>
      <c r="AS38" s="1290"/>
      <c r="AT38" s="1283"/>
    </row>
    <row r="39" spans="1:47" ht="42" customHeight="1" x14ac:dyDescent="0.45">
      <c r="A39" s="1351">
        <v>46010</v>
      </c>
      <c r="B39" s="692">
        <v>1</v>
      </c>
      <c r="C39" s="1203"/>
      <c r="D39" s="1156"/>
      <c r="E39" s="1156"/>
      <c r="F39" s="1157"/>
      <c r="G39" s="1176"/>
      <c r="H39" s="1152"/>
      <c r="I39" s="1141"/>
      <c r="J39" s="1170"/>
      <c r="K39" s="286"/>
      <c r="L39" s="1160">
        <v>720</v>
      </c>
      <c r="M39" s="1137"/>
      <c r="N39" s="1137"/>
      <c r="O39" s="1157"/>
      <c r="P39" s="1128" t="s">
        <v>45</v>
      </c>
      <c r="Q39" s="1150"/>
      <c r="R39" s="1137"/>
      <c r="S39" s="1170"/>
      <c r="T39" s="286"/>
      <c r="U39" s="1160"/>
      <c r="V39" s="1137"/>
      <c r="W39" s="1137"/>
      <c r="X39" s="1157"/>
      <c r="Y39" s="1128"/>
      <c r="Z39" s="1150"/>
      <c r="AA39" s="1165"/>
      <c r="AB39" s="1170"/>
      <c r="AC39" s="286"/>
      <c r="AD39" s="1160"/>
      <c r="AE39" s="1137"/>
      <c r="AF39" s="1137"/>
      <c r="AG39" s="1287"/>
      <c r="AH39" s="1283"/>
      <c r="AI39" s="1282"/>
      <c r="AJ39" s="1290"/>
      <c r="AK39" s="1283"/>
      <c r="AL39" s="1153"/>
      <c r="AM39" s="1160"/>
      <c r="AN39" s="1137"/>
      <c r="AO39" s="1137"/>
      <c r="AP39" s="1287"/>
      <c r="AQ39" s="1289"/>
      <c r="AR39" s="1290"/>
      <c r="AS39" s="1290"/>
      <c r="AT39" s="1283"/>
    </row>
    <row r="40" spans="1:47" ht="43.5" customHeight="1" x14ac:dyDescent="0.45">
      <c r="A40" s="1352"/>
      <c r="B40" s="692">
        <v>2</v>
      </c>
      <c r="C40" s="1156"/>
      <c r="D40" s="1156"/>
      <c r="E40" s="1156"/>
      <c r="F40" s="1157"/>
      <c r="G40" s="1176"/>
      <c r="H40" s="1152"/>
      <c r="I40" s="1141"/>
      <c r="J40" s="1170"/>
      <c r="K40" s="286"/>
      <c r="L40" s="1160">
        <v>12</v>
      </c>
      <c r="M40" s="1137"/>
      <c r="N40" s="1137"/>
      <c r="O40" s="1157"/>
      <c r="P40" s="1128" t="s">
        <v>45</v>
      </c>
      <c r="Q40" s="1140"/>
      <c r="R40" s="1176"/>
      <c r="S40" s="1170"/>
      <c r="T40" s="286"/>
      <c r="U40" s="1160"/>
      <c r="V40" s="1137"/>
      <c r="W40" s="1137"/>
      <c r="X40" s="1157"/>
      <c r="Y40" s="1149"/>
      <c r="Z40" s="1137"/>
      <c r="AA40" s="1165"/>
      <c r="AB40" s="1170"/>
      <c r="AC40" s="286"/>
      <c r="AD40" s="1160"/>
      <c r="AE40" s="1137"/>
      <c r="AF40" s="1137"/>
      <c r="AG40" s="1287"/>
      <c r="AH40" s="1290"/>
      <c r="AI40" s="1283"/>
      <c r="AJ40" s="1290"/>
      <c r="AK40" s="1283"/>
      <c r="AL40" s="1153"/>
      <c r="AM40" s="1205"/>
      <c r="AN40" s="1137"/>
      <c r="AO40" s="1137"/>
      <c r="AP40" s="1287"/>
      <c r="AQ40" s="1289"/>
      <c r="AR40" s="1290"/>
      <c r="AS40" s="1283"/>
      <c r="AT40" s="1283"/>
    </row>
    <row r="41" spans="1:47" ht="39.65" customHeight="1" x14ac:dyDescent="0.45">
      <c r="A41" s="1351">
        <v>46011</v>
      </c>
      <c r="B41" s="692">
        <v>1</v>
      </c>
      <c r="C41" s="1155"/>
      <c r="D41" s="1156"/>
      <c r="E41" s="1156"/>
      <c r="F41" s="1157"/>
      <c r="G41" s="1139"/>
      <c r="H41" s="1150"/>
      <c r="I41" s="1141"/>
      <c r="J41" s="1170"/>
      <c r="K41" s="286"/>
      <c r="L41" s="1137">
        <v>476</v>
      </c>
      <c r="M41" s="1137"/>
      <c r="N41" s="1137"/>
      <c r="O41" s="1157"/>
      <c r="P41" s="1128" t="s">
        <v>45</v>
      </c>
      <c r="Q41" s="1137"/>
      <c r="R41" s="1176"/>
      <c r="S41" s="1170"/>
      <c r="T41" s="286"/>
      <c r="U41" s="1160"/>
      <c r="V41" s="1137"/>
      <c r="W41" s="1137"/>
      <c r="X41" s="1157"/>
      <c r="Y41" s="1128"/>
      <c r="Z41" s="1152"/>
      <c r="AA41" s="1165"/>
      <c r="AB41" s="1170"/>
      <c r="AC41" s="286"/>
      <c r="AD41" s="1160"/>
      <c r="AE41" s="1137"/>
      <c r="AF41" s="1137"/>
      <c r="AG41" s="1287"/>
      <c r="AH41" s="1290"/>
      <c r="AI41" s="1290"/>
      <c r="AJ41" s="1289"/>
      <c r="AK41" s="1283"/>
      <c r="AL41" s="1153"/>
      <c r="AM41" s="1160"/>
      <c r="AN41" s="1137"/>
      <c r="AO41" s="1137"/>
      <c r="AP41" s="1287"/>
      <c r="AQ41" s="1289"/>
      <c r="AR41" s="1290"/>
      <c r="AS41" s="1283"/>
      <c r="AT41" s="1283"/>
    </row>
    <row r="42" spans="1:47" ht="52.95" customHeight="1" x14ac:dyDescent="0.45">
      <c r="A42" s="1352"/>
      <c r="B42" s="692">
        <v>2</v>
      </c>
      <c r="C42" s="1156"/>
      <c r="D42" s="1156"/>
      <c r="E42" s="1156"/>
      <c r="F42" s="1157"/>
      <c r="G42" s="1139"/>
      <c r="H42" s="1150"/>
      <c r="I42" s="1176"/>
      <c r="J42" s="1170"/>
      <c r="K42" s="286"/>
      <c r="L42" s="1160">
        <v>20</v>
      </c>
      <c r="M42" s="1137"/>
      <c r="N42" s="1137"/>
      <c r="O42" s="1157"/>
      <c r="P42" s="1128" t="s">
        <v>1169</v>
      </c>
      <c r="Q42" s="1152"/>
      <c r="R42" s="1137"/>
      <c r="S42" s="1170"/>
      <c r="T42" s="286"/>
      <c r="U42" s="1160"/>
      <c r="V42" s="1137">
        <v>77</v>
      </c>
      <c r="W42" s="1137"/>
      <c r="X42" s="1157"/>
      <c r="Y42" s="1128"/>
      <c r="Z42" s="1150" t="s">
        <v>1155</v>
      </c>
      <c r="AA42" s="1165"/>
      <c r="AB42" s="1170"/>
      <c r="AC42" s="286"/>
      <c r="AD42" s="1160"/>
      <c r="AE42" s="1137"/>
      <c r="AF42" s="1137"/>
      <c r="AG42" s="1287"/>
      <c r="AH42" s="1290"/>
      <c r="AI42" s="1290"/>
      <c r="AJ42" s="1289"/>
      <c r="AK42" s="1283"/>
      <c r="AL42" s="1153"/>
      <c r="AM42" s="1160"/>
      <c r="AN42" s="1137"/>
      <c r="AO42" s="1137"/>
      <c r="AP42" s="1287"/>
      <c r="AQ42" s="1289"/>
      <c r="AR42" s="1290"/>
      <c r="AS42" s="1283"/>
      <c r="AT42" s="1283"/>
    </row>
    <row r="43" spans="1:47" ht="40.5" customHeight="1" x14ac:dyDescent="0.45">
      <c r="A43" s="1351">
        <v>46012</v>
      </c>
      <c r="B43" s="692">
        <v>1</v>
      </c>
      <c r="C43" s="1156"/>
      <c r="D43" s="1156">
        <v>12</v>
      </c>
      <c r="E43" s="1156"/>
      <c r="F43" s="1157"/>
      <c r="G43" s="1139"/>
      <c r="H43" s="1150" t="s">
        <v>1155</v>
      </c>
      <c r="I43" s="1176"/>
      <c r="J43" s="1170"/>
      <c r="K43" s="286"/>
      <c r="L43" s="1160"/>
      <c r="M43" s="1137"/>
      <c r="N43" s="1137"/>
      <c r="O43" s="1157"/>
      <c r="P43" s="1128"/>
      <c r="Q43" s="1152"/>
      <c r="R43" s="1137"/>
      <c r="S43" s="1170"/>
      <c r="T43" s="286"/>
      <c r="U43" s="1160"/>
      <c r="V43" s="1137"/>
      <c r="W43" s="1137"/>
      <c r="X43" s="1157"/>
      <c r="Y43" s="1128"/>
      <c r="Z43" s="1152"/>
      <c r="AA43" s="1165"/>
      <c r="AB43" s="1170"/>
      <c r="AC43" s="286"/>
      <c r="AD43" s="1160"/>
      <c r="AE43" s="1137"/>
      <c r="AF43" s="1137"/>
      <c r="AG43" s="1287"/>
      <c r="AH43" s="1290"/>
      <c r="AI43" s="1290"/>
      <c r="AJ43" s="1289"/>
      <c r="AK43" s="1283"/>
      <c r="AL43" s="1153"/>
      <c r="AM43" s="1160"/>
      <c r="AN43" s="1137"/>
      <c r="AO43" s="1137"/>
      <c r="AP43" s="1287"/>
      <c r="AQ43" s="1289"/>
      <c r="AR43" s="1290"/>
      <c r="AS43" s="1283"/>
      <c r="AT43" s="1283"/>
      <c r="AU43" s="1345"/>
    </row>
    <row r="44" spans="1:47" ht="45.75" customHeight="1" x14ac:dyDescent="0.45">
      <c r="A44" s="1352"/>
      <c r="B44" s="692">
        <v>2</v>
      </c>
      <c r="C44" s="1156"/>
      <c r="D44" s="1156">
        <v>215</v>
      </c>
      <c r="E44" s="1156"/>
      <c r="F44" s="1157"/>
      <c r="G44" s="1139"/>
      <c r="H44" s="1150" t="s">
        <v>1155</v>
      </c>
      <c r="I44" s="1176"/>
      <c r="J44" s="1170"/>
      <c r="K44" s="286"/>
      <c r="L44" s="1160"/>
      <c r="M44" s="1137"/>
      <c r="N44" s="1137"/>
      <c r="O44" s="1157"/>
      <c r="P44" s="1128"/>
      <c r="Q44" s="1152"/>
      <c r="R44" s="1137"/>
      <c r="S44" s="1170"/>
      <c r="T44" s="286"/>
      <c r="U44" s="1160"/>
      <c r="V44" s="1137"/>
      <c r="W44" s="1137"/>
      <c r="X44" s="1157"/>
      <c r="Y44" s="1128"/>
      <c r="Z44" s="1152"/>
      <c r="AA44" s="1165"/>
      <c r="AB44" s="1170"/>
      <c r="AC44" s="286"/>
      <c r="AD44" s="1160"/>
      <c r="AE44" s="1137"/>
      <c r="AF44" s="1137"/>
      <c r="AG44" s="1287"/>
      <c r="AH44" s="1290"/>
      <c r="AI44" s="1290"/>
      <c r="AJ44" s="1289"/>
      <c r="AK44" s="1283"/>
      <c r="AL44" s="1153"/>
      <c r="AM44" s="1160"/>
      <c r="AN44" s="1137"/>
      <c r="AO44" s="1137"/>
      <c r="AP44" s="1287"/>
      <c r="AQ44" s="1289"/>
      <c r="AR44" s="1290"/>
      <c r="AS44" s="1283"/>
      <c r="AT44" s="1283"/>
      <c r="AU44" s="1345"/>
    </row>
    <row r="45" spans="1:47" ht="48.75" customHeight="1" x14ac:dyDescent="0.45">
      <c r="A45" s="1351">
        <v>46013</v>
      </c>
      <c r="B45" s="692">
        <v>1</v>
      </c>
      <c r="C45" s="1156"/>
      <c r="D45" s="1156"/>
      <c r="E45" s="1156"/>
      <c r="F45" s="1157"/>
      <c r="G45" s="1139"/>
      <c r="H45" s="1150"/>
      <c r="I45" s="1176"/>
      <c r="J45" s="1170"/>
      <c r="K45" s="286"/>
      <c r="L45" s="1160"/>
      <c r="M45" s="1137"/>
      <c r="N45" s="1137"/>
      <c r="O45" s="1157"/>
      <c r="P45" s="1128"/>
      <c r="Q45" s="1152"/>
      <c r="R45" s="1137"/>
      <c r="S45" s="1170"/>
      <c r="T45" s="286"/>
      <c r="U45" s="1160"/>
      <c r="V45" s="1137"/>
      <c r="W45" s="1137"/>
      <c r="X45" s="1157"/>
      <c r="Y45" s="1128"/>
      <c r="Z45" s="1152"/>
      <c r="AA45" s="1165"/>
      <c r="AB45" s="1170"/>
      <c r="AC45" s="286"/>
      <c r="AD45" s="1160"/>
      <c r="AE45" s="1137"/>
      <c r="AF45" s="1137"/>
      <c r="AG45" s="1287"/>
      <c r="AH45" s="1290"/>
      <c r="AI45" s="1290"/>
      <c r="AJ45" s="1289"/>
      <c r="AK45" s="1283"/>
      <c r="AL45" s="1153"/>
      <c r="AM45" s="1160"/>
      <c r="AN45" s="1137"/>
      <c r="AO45" s="1137"/>
      <c r="AP45" s="1287"/>
      <c r="AQ45" s="1289"/>
      <c r="AR45" s="1290"/>
      <c r="AS45" s="1283"/>
      <c r="AT45" s="1283"/>
    </row>
    <row r="46" spans="1:47" ht="48.65" customHeight="1" x14ac:dyDescent="0.45">
      <c r="A46" s="1352"/>
      <c r="B46" s="692">
        <v>2</v>
      </c>
      <c r="C46" s="1156"/>
      <c r="D46" s="1156"/>
      <c r="E46" s="1156"/>
      <c r="F46" s="1157">
        <v>66</v>
      </c>
      <c r="G46" s="1139"/>
      <c r="H46" s="1150"/>
      <c r="I46" s="1176"/>
      <c r="J46" s="1170" t="s">
        <v>1168</v>
      </c>
      <c r="K46" s="286"/>
      <c r="L46" s="1160"/>
      <c r="M46" s="1137"/>
      <c r="N46" s="1137"/>
      <c r="O46" s="1157">
        <v>58</v>
      </c>
      <c r="P46" s="1128"/>
      <c r="Q46" s="1152"/>
      <c r="R46" s="1137"/>
      <c r="S46" s="1170" t="s">
        <v>1168</v>
      </c>
      <c r="T46" s="286"/>
      <c r="U46" s="1160"/>
      <c r="V46" s="1137"/>
      <c r="W46" s="1137"/>
      <c r="X46" s="1157">
        <v>69</v>
      </c>
      <c r="Y46" s="1128"/>
      <c r="Z46" s="1152"/>
      <c r="AA46" s="1165"/>
      <c r="AB46" s="1170" t="s">
        <v>1168</v>
      </c>
      <c r="AC46" s="286"/>
      <c r="AD46" s="1160"/>
      <c r="AE46" s="1137"/>
      <c r="AF46" s="1137"/>
      <c r="AG46" s="1287">
        <v>75</v>
      </c>
      <c r="AH46" s="1290"/>
      <c r="AI46" s="1290"/>
      <c r="AJ46" s="1289"/>
      <c r="AK46" s="1283" t="s">
        <v>1168</v>
      </c>
      <c r="AL46" s="1153"/>
      <c r="AM46" s="1160"/>
      <c r="AN46" s="1137"/>
      <c r="AO46" s="1137"/>
      <c r="AP46" s="1287">
        <v>62</v>
      </c>
      <c r="AQ46" s="1289"/>
      <c r="AR46" s="1290"/>
      <c r="AS46" s="1283"/>
      <c r="AT46" s="1283" t="s">
        <v>1168</v>
      </c>
    </row>
    <row r="47" spans="1:47" ht="43.5" customHeight="1" x14ac:dyDescent="0.45">
      <c r="A47" s="1351">
        <v>46014</v>
      </c>
      <c r="B47" s="692">
        <v>1</v>
      </c>
      <c r="C47" s="1156"/>
      <c r="D47" s="1156"/>
      <c r="E47" s="1156"/>
      <c r="F47" s="1157"/>
      <c r="G47" s="1139"/>
      <c r="H47" s="1150"/>
      <c r="I47" s="1176"/>
      <c r="J47" s="1170"/>
      <c r="K47" s="286"/>
      <c r="L47" s="1160"/>
      <c r="M47" s="1137"/>
      <c r="N47" s="1137"/>
      <c r="O47" s="1157"/>
      <c r="P47" s="1128"/>
      <c r="Q47" s="1152"/>
      <c r="R47" s="1137"/>
      <c r="S47" s="1170"/>
      <c r="T47" s="286"/>
      <c r="U47" s="1160"/>
      <c r="V47" s="1137"/>
      <c r="W47" s="1137"/>
      <c r="X47" s="1157"/>
      <c r="Y47" s="1128"/>
      <c r="Z47" s="1152"/>
      <c r="AA47" s="1165"/>
      <c r="AB47" s="1170"/>
      <c r="AC47" s="286"/>
      <c r="AD47" s="1160"/>
      <c r="AE47" s="1137"/>
      <c r="AF47" s="1137"/>
      <c r="AG47" s="1287"/>
      <c r="AH47" s="1290"/>
      <c r="AI47" s="1290"/>
      <c r="AJ47" s="1289"/>
      <c r="AK47" s="1283"/>
      <c r="AL47" s="1153"/>
      <c r="AM47" s="1160"/>
      <c r="AN47" s="1137"/>
      <c r="AO47" s="1137"/>
      <c r="AP47" s="1287"/>
      <c r="AQ47" s="1289"/>
      <c r="AR47" s="1290"/>
      <c r="AS47" s="1283"/>
      <c r="AT47" s="1283"/>
    </row>
    <row r="48" spans="1:47" ht="34.950000000000003" customHeight="1" x14ac:dyDescent="0.45">
      <c r="A48" s="1352"/>
      <c r="B48" s="692">
        <v>2</v>
      </c>
      <c r="C48" s="1156"/>
      <c r="D48" s="1156"/>
      <c r="E48" s="1156"/>
      <c r="F48" s="1157"/>
      <c r="G48" s="1139"/>
      <c r="H48" s="1150"/>
      <c r="I48" s="1176"/>
      <c r="J48" s="1170"/>
      <c r="K48" s="286"/>
      <c r="L48" s="1160"/>
      <c r="M48" s="1137"/>
      <c r="N48" s="1137"/>
      <c r="O48" s="1157"/>
      <c r="P48" s="1128"/>
      <c r="Q48" s="1152"/>
      <c r="R48" s="1137"/>
      <c r="S48" s="1170"/>
      <c r="T48" s="286"/>
      <c r="U48" s="1160"/>
      <c r="V48" s="1137"/>
      <c r="W48" s="1137"/>
      <c r="X48" s="1157"/>
      <c r="Y48" s="1128"/>
      <c r="Z48" s="1152"/>
      <c r="AA48" s="1165"/>
      <c r="AB48" s="1170"/>
      <c r="AC48" s="286"/>
      <c r="AD48" s="1160"/>
      <c r="AE48" s="1137"/>
      <c r="AF48" s="1137"/>
      <c r="AG48" s="1287"/>
      <c r="AH48" s="1290"/>
      <c r="AI48" s="1290"/>
      <c r="AJ48" s="1289"/>
      <c r="AK48" s="1283"/>
      <c r="AL48" s="1153"/>
      <c r="AM48" s="1160"/>
      <c r="AN48" s="1137"/>
      <c r="AO48" s="1137"/>
      <c r="AP48" s="1287"/>
      <c r="AQ48" s="1289"/>
      <c r="AR48" s="1290"/>
      <c r="AS48" s="1283"/>
      <c r="AT48" s="1283"/>
    </row>
    <row r="49" spans="1:46" ht="43.2" customHeight="1" x14ac:dyDescent="0.45">
      <c r="A49" s="1351">
        <v>46015</v>
      </c>
      <c r="B49" s="692">
        <v>1</v>
      </c>
      <c r="C49" s="1156"/>
      <c r="D49" s="1156"/>
      <c r="E49" s="1156"/>
      <c r="F49" s="1157"/>
      <c r="G49" s="1139"/>
      <c r="H49" s="1150"/>
      <c r="I49" s="1176"/>
      <c r="J49" s="1170"/>
      <c r="K49" s="286"/>
      <c r="L49" s="1160"/>
      <c r="M49" s="1137"/>
      <c r="N49" s="1137"/>
      <c r="O49" s="1157"/>
      <c r="P49" s="1128"/>
      <c r="Q49" s="1152"/>
      <c r="R49" s="1137"/>
      <c r="S49" s="1170"/>
      <c r="T49" s="286"/>
      <c r="U49" s="1160"/>
      <c r="V49" s="1137"/>
      <c r="W49" s="1137"/>
      <c r="X49" s="1157"/>
      <c r="Y49" s="1128"/>
      <c r="Z49" s="1152"/>
      <c r="AA49" s="1165"/>
      <c r="AB49" s="1170"/>
      <c r="AC49" s="286"/>
      <c r="AD49" s="1160"/>
      <c r="AE49" s="1137"/>
      <c r="AF49" s="1137">
        <v>40</v>
      </c>
      <c r="AG49" s="1287"/>
      <c r="AH49" s="1290"/>
      <c r="AI49" s="1290"/>
      <c r="AJ49" s="1289" t="s">
        <v>1081</v>
      </c>
      <c r="AK49" s="1283"/>
      <c r="AL49" s="1153"/>
      <c r="AM49" s="1160"/>
      <c r="AN49" s="1137"/>
      <c r="AO49" s="1137"/>
      <c r="AP49" s="1287"/>
      <c r="AQ49" s="1289"/>
      <c r="AR49" s="1290"/>
      <c r="AS49" s="1283"/>
      <c r="AT49" s="1283"/>
    </row>
    <row r="50" spans="1:46" ht="51.65" customHeight="1" x14ac:dyDescent="0.45">
      <c r="A50" s="1352"/>
      <c r="B50" s="692">
        <v>2</v>
      </c>
      <c r="C50" s="1156"/>
      <c r="D50" s="1156"/>
      <c r="E50" s="1156">
        <v>27</v>
      </c>
      <c r="F50" s="1157"/>
      <c r="G50" s="1139"/>
      <c r="H50" s="1150"/>
      <c r="I50" s="1176" t="s">
        <v>388</v>
      </c>
      <c r="J50" s="1170"/>
      <c r="K50" s="286"/>
      <c r="L50" s="1160"/>
      <c r="M50" s="1137"/>
      <c r="N50" s="1137"/>
      <c r="O50" s="1157"/>
      <c r="P50" s="1128"/>
      <c r="Q50" s="1152"/>
      <c r="R50" s="1137"/>
      <c r="S50" s="1170"/>
      <c r="T50" s="286"/>
      <c r="U50" s="1160"/>
      <c r="V50" s="1137"/>
      <c r="W50" s="1137">
        <v>10</v>
      </c>
      <c r="X50" s="1157"/>
      <c r="Y50" s="1128"/>
      <c r="Z50" s="1152"/>
      <c r="AA50" s="1165" t="s">
        <v>388</v>
      </c>
      <c r="AB50" s="1170"/>
      <c r="AC50" s="286"/>
      <c r="AD50" s="1160"/>
      <c r="AE50" s="1137"/>
      <c r="AF50" s="1137">
        <v>41</v>
      </c>
      <c r="AG50" s="1287"/>
      <c r="AH50" s="1290"/>
      <c r="AI50" s="1290"/>
      <c r="AJ50" s="1289" t="s">
        <v>1081</v>
      </c>
      <c r="AK50" s="1283"/>
      <c r="AL50" s="1153"/>
      <c r="AM50" s="1160"/>
      <c r="AN50" s="1137"/>
      <c r="AO50" s="1137">
        <v>24</v>
      </c>
      <c r="AP50" s="1287"/>
      <c r="AQ50" s="1289"/>
      <c r="AR50" s="1290"/>
      <c r="AS50" s="1283" t="s">
        <v>388</v>
      </c>
      <c r="AT50" s="1283"/>
    </row>
    <row r="51" spans="1:46" ht="34.950000000000003" customHeight="1" x14ac:dyDescent="0.45">
      <c r="A51" s="1351">
        <v>46016</v>
      </c>
      <c r="B51" s="692">
        <v>1</v>
      </c>
      <c r="C51" s="1156"/>
      <c r="D51" s="1156"/>
      <c r="E51" s="1156"/>
      <c r="F51" s="1157"/>
      <c r="G51" s="1139"/>
      <c r="H51" s="1150"/>
      <c r="I51" s="1176"/>
      <c r="J51" s="1170"/>
      <c r="K51" s="286"/>
      <c r="L51" s="1160"/>
      <c r="M51" s="1137"/>
      <c r="N51" s="1137"/>
      <c r="O51" s="1157"/>
      <c r="P51" s="1128"/>
      <c r="Q51" s="1152"/>
      <c r="R51" s="1137"/>
      <c r="S51" s="1170"/>
      <c r="T51" s="286"/>
      <c r="U51" s="1160"/>
      <c r="V51" s="1137"/>
      <c r="W51" s="1137"/>
      <c r="X51" s="1157"/>
      <c r="Y51" s="1128"/>
      <c r="Z51" s="1152"/>
      <c r="AA51" s="1165"/>
      <c r="AB51" s="1170"/>
      <c r="AC51" s="286"/>
      <c r="AD51" s="1160"/>
      <c r="AE51" s="1137"/>
      <c r="AF51" s="1137">
        <v>16</v>
      </c>
      <c r="AG51" s="1287"/>
      <c r="AH51" s="1290"/>
      <c r="AI51" s="1290"/>
      <c r="AJ51" s="1289" t="s">
        <v>1081</v>
      </c>
      <c r="AK51" s="1283"/>
      <c r="AL51" s="1153"/>
      <c r="AM51" s="1160"/>
      <c r="AN51" s="1137"/>
      <c r="AO51" s="1137"/>
      <c r="AP51" s="1287"/>
      <c r="AQ51" s="1289"/>
      <c r="AR51" s="1290"/>
      <c r="AS51" s="1283"/>
      <c r="AT51" s="1283"/>
    </row>
    <row r="52" spans="1:46" ht="49.2" customHeight="1" x14ac:dyDescent="0.45">
      <c r="A52" s="1352"/>
      <c r="B52" s="692">
        <v>2</v>
      </c>
      <c r="C52" s="1156"/>
      <c r="D52" s="1156"/>
      <c r="E52" s="1156">
        <v>12</v>
      </c>
      <c r="F52" s="1157"/>
      <c r="G52" s="1139"/>
      <c r="H52" s="1150"/>
      <c r="I52" s="1176" t="s">
        <v>388</v>
      </c>
      <c r="J52" s="1170"/>
      <c r="K52" s="286"/>
      <c r="L52" s="1160"/>
      <c r="M52" s="1137">
        <v>19</v>
      </c>
      <c r="N52" s="1137"/>
      <c r="O52" s="1157"/>
      <c r="P52" s="1128"/>
      <c r="Q52" s="1152" t="s">
        <v>317</v>
      </c>
      <c r="R52" s="1137"/>
      <c r="S52" s="1170"/>
      <c r="T52" s="286"/>
      <c r="U52" s="1160"/>
      <c r="V52" s="1137"/>
      <c r="W52" s="1137"/>
      <c r="X52" s="1157"/>
      <c r="Y52" s="1128"/>
      <c r="Z52" s="1152"/>
      <c r="AA52" s="1165"/>
      <c r="AB52" s="1170"/>
      <c r="AC52" s="286"/>
      <c r="AD52" s="1160"/>
      <c r="AE52" s="1137">
        <v>6</v>
      </c>
      <c r="AF52" s="1137">
        <v>64</v>
      </c>
      <c r="AG52" s="1287"/>
      <c r="AH52" s="1290"/>
      <c r="AI52" s="1290" t="s">
        <v>1171</v>
      </c>
      <c r="AJ52" s="1289" t="s">
        <v>1081</v>
      </c>
      <c r="AK52" s="1283"/>
      <c r="AL52" s="1153"/>
      <c r="AM52" s="1160"/>
      <c r="AN52" s="1137"/>
      <c r="AO52" s="1137"/>
      <c r="AP52" s="1287"/>
      <c r="AQ52" s="1289"/>
      <c r="AR52" s="1290"/>
      <c r="AS52" s="1283"/>
      <c r="AT52" s="1283"/>
    </row>
    <row r="53" spans="1:46" ht="48" customHeight="1" x14ac:dyDescent="0.45">
      <c r="A53" s="1351">
        <v>46017</v>
      </c>
      <c r="B53" s="692">
        <v>1</v>
      </c>
      <c r="C53" s="1156"/>
      <c r="D53" s="1156"/>
      <c r="E53" s="1156">
        <v>7</v>
      </c>
      <c r="F53" s="1157"/>
      <c r="G53" s="1139"/>
      <c r="H53" s="1150"/>
      <c r="I53" s="1176" t="s">
        <v>388</v>
      </c>
      <c r="J53" s="1170"/>
      <c r="K53" s="286"/>
      <c r="L53" s="1160"/>
      <c r="M53" s="1137"/>
      <c r="N53" s="1137"/>
      <c r="O53" s="1157"/>
      <c r="P53" s="1128"/>
      <c r="Q53" s="1152"/>
      <c r="R53" s="1137"/>
      <c r="S53" s="1170"/>
      <c r="T53" s="286"/>
      <c r="U53" s="1160"/>
      <c r="V53" s="1137"/>
      <c r="W53" s="1137"/>
      <c r="X53" s="1157"/>
      <c r="Y53" s="1128"/>
      <c r="Z53" s="1152"/>
      <c r="AA53" s="1165"/>
      <c r="AB53" s="1170"/>
      <c r="AC53" s="286"/>
      <c r="AD53" s="1160"/>
      <c r="AE53" s="1137"/>
      <c r="AF53" s="1137"/>
      <c r="AG53" s="1287"/>
      <c r="AH53" s="1290"/>
      <c r="AI53" s="1290"/>
      <c r="AJ53" s="1289"/>
      <c r="AK53" s="1283"/>
      <c r="AL53" s="1153"/>
      <c r="AM53" s="1160"/>
      <c r="AN53" s="1137"/>
      <c r="AO53" s="1137"/>
      <c r="AP53" s="1287"/>
      <c r="AQ53" s="1289"/>
      <c r="AR53" s="1290"/>
      <c r="AS53" s="1283"/>
      <c r="AT53" s="1283"/>
    </row>
    <row r="54" spans="1:46" ht="45.65" customHeight="1" x14ac:dyDescent="0.45">
      <c r="A54" s="1352"/>
      <c r="B54" s="725">
        <v>2</v>
      </c>
      <c r="C54" s="1156"/>
      <c r="D54" s="1156"/>
      <c r="E54" s="1156"/>
      <c r="F54" s="1157"/>
      <c r="G54" s="1140"/>
      <c r="H54" s="1150"/>
      <c r="I54" s="1141"/>
      <c r="J54" s="1170"/>
      <c r="K54" s="286"/>
      <c r="L54" s="1160"/>
      <c r="M54" s="1137"/>
      <c r="N54" s="1137"/>
      <c r="O54" s="1157"/>
      <c r="P54" s="1140"/>
      <c r="Q54" s="1150"/>
      <c r="R54" s="1140"/>
      <c r="S54" s="1170"/>
      <c r="T54" s="286"/>
      <c r="U54" s="1160"/>
      <c r="V54" s="1137"/>
      <c r="W54" s="1137">
        <v>12</v>
      </c>
      <c r="X54" s="1157"/>
      <c r="Y54" s="1150"/>
      <c r="Z54" s="1150"/>
      <c r="AA54" s="1165" t="s">
        <v>388</v>
      </c>
      <c r="AB54" s="1170"/>
      <c r="AC54" s="286"/>
      <c r="AD54" s="1160"/>
      <c r="AE54" s="1137"/>
      <c r="AF54" s="1137"/>
      <c r="AG54" s="1203"/>
      <c r="AH54" s="1289"/>
      <c r="AI54" s="1283"/>
      <c r="AJ54" s="1290"/>
      <c r="AK54" s="1283"/>
      <c r="AL54" s="1153"/>
      <c r="AM54" s="1160"/>
      <c r="AN54" s="1184"/>
      <c r="AO54" s="1161"/>
      <c r="AP54" s="1203"/>
      <c r="AQ54" s="1290"/>
      <c r="AR54" s="1283"/>
      <c r="AS54" s="1283"/>
      <c r="AT54" s="1283"/>
    </row>
    <row r="55" spans="1:46" ht="39.65" customHeight="1" x14ac:dyDescent="0.45">
      <c r="A55" s="1351">
        <v>46018</v>
      </c>
      <c r="B55" s="692">
        <v>1</v>
      </c>
      <c r="C55" s="1155"/>
      <c r="D55" s="1156"/>
      <c r="E55" s="1156"/>
      <c r="F55" s="1157"/>
      <c r="G55" s="1140"/>
      <c r="H55" s="1140"/>
      <c r="I55" s="1141"/>
      <c r="J55" s="1148"/>
      <c r="K55" s="286"/>
      <c r="L55" s="1160"/>
      <c r="M55" s="1137"/>
      <c r="N55" s="1137"/>
      <c r="O55" s="1148"/>
      <c r="P55" s="1128"/>
      <c r="Q55" s="1150"/>
      <c r="R55" s="1137"/>
      <c r="S55" s="1148"/>
      <c r="T55" s="286"/>
      <c r="U55" s="1160"/>
      <c r="V55" s="1137"/>
      <c r="W55" s="1137"/>
      <c r="X55" s="1148"/>
      <c r="Y55" s="1128"/>
      <c r="Z55" s="1140"/>
      <c r="AA55" s="1165"/>
      <c r="AB55" s="1148"/>
      <c r="AC55" s="286"/>
      <c r="AD55" s="1160"/>
      <c r="AE55" s="1137"/>
      <c r="AF55" s="1137"/>
      <c r="AG55" s="1203"/>
      <c r="AH55" s="1289"/>
      <c r="AI55" s="1283"/>
      <c r="AJ55" s="1290"/>
      <c r="AK55" s="1289"/>
      <c r="AL55" s="1153"/>
      <c r="AM55" s="1160"/>
      <c r="AN55" s="1184"/>
      <c r="AO55" s="1137"/>
      <c r="AP55" s="1203"/>
      <c r="AQ55" s="1289"/>
      <c r="AR55" s="1283"/>
      <c r="AS55" s="1283"/>
      <c r="AT55" s="1283"/>
    </row>
    <row r="56" spans="1:46" ht="47.25" customHeight="1" x14ac:dyDescent="0.45">
      <c r="A56" s="1352"/>
      <c r="B56" s="725">
        <v>2</v>
      </c>
      <c r="C56" s="1155"/>
      <c r="D56" s="1156"/>
      <c r="E56" s="1156">
        <v>7</v>
      </c>
      <c r="F56" s="1157"/>
      <c r="G56" s="1150"/>
      <c r="H56" s="1150"/>
      <c r="I56" s="1141" t="s">
        <v>401</v>
      </c>
      <c r="J56" s="1170"/>
      <c r="K56" s="286"/>
      <c r="L56" s="1160"/>
      <c r="M56" s="1137"/>
      <c r="N56" s="1137"/>
      <c r="O56" s="1157"/>
      <c r="P56" s="1150"/>
      <c r="Q56" s="1140"/>
      <c r="R56" s="1150"/>
      <c r="S56" s="1170"/>
      <c r="T56" s="286"/>
      <c r="U56" s="1160"/>
      <c r="V56" s="1137"/>
      <c r="W56" s="1137">
        <v>5</v>
      </c>
      <c r="X56" s="1157"/>
      <c r="Y56" s="1149"/>
      <c r="Z56" s="1140"/>
      <c r="AA56" s="1165" t="s">
        <v>388</v>
      </c>
      <c r="AB56" s="1170"/>
      <c r="AC56" s="286"/>
      <c r="AD56" s="1160"/>
      <c r="AE56" s="1137"/>
      <c r="AF56" s="1137"/>
      <c r="AG56" s="1287"/>
      <c r="AH56" s="1289"/>
      <c r="AI56" s="1282"/>
      <c r="AJ56" s="1283"/>
      <c r="AK56" s="1283"/>
      <c r="AL56" s="1153"/>
      <c r="AM56" s="1160"/>
      <c r="AN56" s="1184">
        <v>8</v>
      </c>
      <c r="AO56" s="1137">
        <v>20</v>
      </c>
      <c r="AP56" s="1203"/>
      <c r="AQ56" s="1283"/>
      <c r="AR56" s="1283" t="s">
        <v>1172</v>
      </c>
      <c r="AS56" s="1289" t="s">
        <v>388</v>
      </c>
      <c r="AT56" s="1283"/>
    </row>
    <row r="57" spans="1:46" ht="47.25" customHeight="1" x14ac:dyDescent="0.45">
      <c r="A57" s="1351">
        <v>46019</v>
      </c>
      <c r="B57" s="725">
        <v>1</v>
      </c>
      <c r="C57" s="1155"/>
      <c r="D57" s="1156"/>
      <c r="E57" s="1156">
        <v>5</v>
      </c>
      <c r="F57" s="1157"/>
      <c r="G57" s="1150"/>
      <c r="H57" s="1150"/>
      <c r="I57" s="1141" t="s">
        <v>388</v>
      </c>
      <c r="J57" s="1170"/>
      <c r="K57" s="286"/>
      <c r="L57" s="1160"/>
      <c r="M57" s="1137"/>
      <c r="N57" s="1137"/>
      <c r="O57" s="1157"/>
      <c r="P57" s="1150"/>
      <c r="Q57" s="1140"/>
      <c r="R57" s="1150"/>
      <c r="S57" s="1170"/>
      <c r="T57" s="286"/>
      <c r="U57" s="1160"/>
      <c r="V57" s="1137"/>
      <c r="W57" s="1137"/>
      <c r="X57" s="1157"/>
      <c r="Y57" s="1149"/>
      <c r="Z57" s="1140"/>
      <c r="AA57" s="1165"/>
      <c r="AB57" s="1170"/>
      <c r="AC57" s="286"/>
      <c r="AD57" s="1160"/>
      <c r="AE57" s="1137"/>
      <c r="AF57" s="1137">
        <v>13</v>
      </c>
      <c r="AG57" s="1287"/>
      <c r="AH57" s="1289"/>
      <c r="AI57" s="1282"/>
      <c r="AJ57" s="1283" t="s">
        <v>1081</v>
      </c>
      <c r="AK57" s="1283"/>
      <c r="AL57" s="1153"/>
      <c r="AM57" s="1160"/>
      <c r="AN57" s="1184"/>
      <c r="AO57" s="1137"/>
      <c r="AP57" s="1203"/>
      <c r="AQ57" s="1283"/>
      <c r="AR57" s="1283"/>
      <c r="AS57" s="1289"/>
      <c r="AT57" s="1283"/>
    </row>
    <row r="58" spans="1:46" ht="47.25" customHeight="1" x14ac:dyDescent="0.45">
      <c r="A58" s="1352"/>
      <c r="B58" s="725">
        <v>2</v>
      </c>
      <c r="C58" s="1155"/>
      <c r="D58" s="1156"/>
      <c r="E58" s="1156">
        <v>11</v>
      </c>
      <c r="F58" s="1157"/>
      <c r="G58" s="1150"/>
      <c r="H58" s="1150"/>
      <c r="I58" s="1141" t="s">
        <v>388</v>
      </c>
      <c r="J58" s="1170"/>
      <c r="K58" s="286"/>
      <c r="L58" s="1160"/>
      <c r="M58" s="1137"/>
      <c r="N58" s="1137"/>
      <c r="O58" s="1157"/>
      <c r="P58" s="1150"/>
      <c r="Q58" s="1140"/>
      <c r="R58" s="1150"/>
      <c r="S58" s="1170"/>
      <c r="T58" s="286"/>
      <c r="U58" s="1160"/>
      <c r="V58" s="1137"/>
      <c r="W58" s="1137"/>
      <c r="X58" s="1157"/>
      <c r="Y58" s="1149"/>
      <c r="Z58" s="1140"/>
      <c r="AA58" s="1165"/>
      <c r="AB58" s="1170"/>
      <c r="AC58" s="286"/>
      <c r="AD58" s="1160"/>
      <c r="AE58" s="1137"/>
      <c r="AF58" s="1137">
        <v>25</v>
      </c>
      <c r="AG58" s="1287"/>
      <c r="AH58" s="1289"/>
      <c r="AI58" s="1282"/>
      <c r="AJ58" s="1283" t="s">
        <v>1081</v>
      </c>
      <c r="AK58" s="1283"/>
      <c r="AL58" s="1153"/>
      <c r="AM58" s="1160"/>
      <c r="AN58" s="1184"/>
      <c r="AO58" s="1137">
        <v>15</v>
      </c>
      <c r="AP58" s="1203"/>
      <c r="AQ58" s="1283"/>
      <c r="AR58" s="1283"/>
      <c r="AS58" s="1289" t="s">
        <v>388</v>
      </c>
      <c r="AT58" s="1283"/>
    </row>
    <row r="59" spans="1:46" ht="47.25" customHeight="1" x14ac:dyDescent="0.45">
      <c r="A59" s="1351">
        <v>46020</v>
      </c>
      <c r="B59" s="725"/>
      <c r="C59" s="1155"/>
      <c r="D59" s="1156"/>
      <c r="E59" s="1156"/>
      <c r="F59" s="1157"/>
      <c r="G59" s="1150"/>
      <c r="H59" s="1150"/>
      <c r="I59" s="1141"/>
      <c r="J59" s="1170"/>
      <c r="K59" s="286"/>
      <c r="L59" s="1160"/>
      <c r="M59" s="1137"/>
      <c r="N59" s="1137"/>
      <c r="O59" s="1157"/>
      <c r="P59" s="1150"/>
      <c r="Q59" s="1140"/>
      <c r="R59" s="1150"/>
      <c r="S59" s="1170"/>
      <c r="T59" s="286"/>
      <c r="U59" s="1160"/>
      <c r="V59" s="1137"/>
      <c r="W59" s="1137"/>
      <c r="X59" s="1157"/>
      <c r="Y59" s="1149"/>
      <c r="Z59" s="1140"/>
      <c r="AA59" s="1165"/>
      <c r="AB59" s="1170"/>
      <c r="AC59" s="286"/>
      <c r="AD59" s="1160"/>
      <c r="AE59" s="1137"/>
      <c r="AF59" s="1137"/>
      <c r="AG59" s="1287"/>
      <c r="AH59" s="1289"/>
      <c r="AI59" s="1282"/>
      <c r="AJ59" s="1283"/>
      <c r="AK59" s="1283"/>
      <c r="AL59" s="1153"/>
      <c r="AM59" s="1160"/>
      <c r="AN59" s="1184"/>
      <c r="AO59" s="1137"/>
      <c r="AP59" s="1203"/>
      <c r="AQ59" s="1283"/>
      <c r="AR59" s="1283"/>
      <c r="AS59" s="1289"/>
      <c r="AT59" s="1283"/>
    </row>
    <row r="60" spans="1:46" ht="47.25" customHeight="1" x14ac:dyDescent="0.45">
      <c r="A60" s="1352"/>
      <c r="B60" s="725"/>
      <c r="C60" s="1155"/>
      <c r="D60" s="1156"/>
      <c r="E60" s="1156">
        <v>41</v>
      </c>
      <c r="F60" s="1157"/>
      <c r="G60" s="1150"/>
      <c r="H60" s="1150"/>
      <c r="I60" s="1141" t="s">
        <v>388</v>
      </c>
      <c r="J60" s="1170"/>
      <c r="K60" s="286"/>
      <c r="L60" s="1160"/>
      <c r="M60" s="1137">
        <v>20</v>
      </c>
      <c r="N60" s="1137"/>
      <c r="O60" s="1157"/>
      <c r="P60" s="1150"/>
      <c r="Q60" s="1140" t="s">
        <v>1173</v>
      </c>
      <c r="R60" s="1150"/>
      <c r="S60" s="1170"/>
      <c r="T60" s="286"/>
      <c r="U60" s="1160"/>
      <c r="V60" s="1137"/>
      <c r="W60" s="1137"/>
      <c r="X60" s="1157"/>
      <c r="Y60" s="1149"/>
      <c r="Z60" s="1140"/>
      <c r="AA60" s="1165"/>
      <c r="AB60" s="1170"/>
      <c r="AC60" s="286"/>
      <c r="AD60" s="1160"/>
      <c r="AE60" s="1137"/>
      <c r="AF60" s="1137"/>
      <c r="AG60" s="1287"/>
      <c r="AH60" s="1289"/>
      <c r="AI60" s="1282"/>
      <c r="AJ60" s="1283"/>
      <c r="AK60" s="1283"/>
      <c r="AL60" s="1153"/>
      <c r="AM60" s="1160"/>
      <c r="AN60" s="1184"/>
      <c r="AO60" s="1137"/>
      <c r="AP60" s="1203"/>
      <c r="AQ60" s="1283"/>
      <c r="AR60" s="1283"/>
      <c r="AS60" s="1289"/>
      <c r="AT60" s="1283"/>
    </row>
    <row r="61" spans="1:46" ht="47.25" customHeight="1" x14ac:dyDescent="0.45">
      <c r="A61" s="1351">
        <v>46021</v>
      </c>
      <c r="B61" s="725">
        <v>1</v>
      </c>
      <c r="C61" s="1155"/>
      <c r="D61" s="1156"/>
      <c r="E61" s="1156">
        <v>19</v>
      </c>
      <c r="F61" s="1157"/>
      <c r="G61" s="1150"/>
      <c r="H61" s="1150"/>
      <c r="I61" s="1141" t="s">
        <v>1174</v>
      </c>
      <c r="J61" s="1170"/>
      <c r="K61" s="286"/>
      <c r="L61" s="1160"/>
      <c r="M61" s="1137"/>
      <c r="N61" s="1137"/>
      <c r="O61" s="1157"/>
      <c r="P61" s="1150"/>
      <c r="Q61" s="1140"/>
      <c r="R61" s="1150"/>
      <c r="S61" s="1170"/>
      <c r="T61" s="286"/>
      <c r="U61" s="1160">
        <v>158</v>
      </c>
      <c r="V61" s="1137"/>
      <c r="W61" s="1137"/>
      <c r="X61" s="1157"/>
      <c r="Y61" s="1149" t="s">
        <v>45</v>
      </c>
      <c r="Z61" s="1140"/>
      <c r="AA61" s="1165"/>
      <c r="AB61" s="1170"/>
      <c r="AC61" s="286"/>
      <c r="AD61" s="1160"/>
      <c r="AE61" s="1137"/>
      <c r="AF61" s="1137"/>
      <c r="AG61" s="1287"/>
      <c r="AH61" s="1289"/>
      <c r="AI61" s="1282"/>
      <c r="AJ61" s="1283"/>
      <c r="AK61" s="1283"/>
      <c r="AL61" s="1153"/>
      <c r="AM61" s="1160"/>
      <c r="AN61" s="1184"/>
      <c r="AO61" s="1137"/>
      <c r="AP61" s="1203"/>
      <c r="AQ61" s="1283"/>
      <c r="AR61" s="1283"/>
      <c r="AS61" s="1289"/>
      <c r="AT61" s="1283"/>
    </row>
    <row r="62" spans="1:46" ht="47.25" customHeight="1" x14ac:dyDescent="0.45">
      <c r="A62" s="1352"/>
      <c r="B62" s="725">
        <v>2</v>
      </c>
      <c r="C62" s="1155"/>
      <c r="D62" s="1156"/>
      <c r="E62" s="1156">
        <v>17</v>
      </c>
      <c r="F62" s="1157"/>
      <c r="G62" s="1150"/>
      <c r="H62" s="1150"/>
      <c r="I62" s="1141" t="s">
        <v>152</v>
      </c>
      <c r="J62" s="1170"/>
      <c r="K62" s="286"/>
      <c r="L62" s="1160"/>
      <c r="M62" s="1137"/>
      <c r="N62" s="1137"/>
      <c r="O62" s="1157"/>
      <c r="P62" s="1150"/>
      <c r="Q62" s="1140"/>
      <c r="R62" s="1150"/>
      <c r="S62" s="1170"/>
      <c r="T62" s="286"/>
      <c r="U62" s="1160">
        <v>720</v>
      </c>
      <c r="V62" s="1137"/>
      <c r="W62" s="1137"/>
      <c r="X62" s="1157"/>
      <c r="Y62" s="1149" t="s">
        <v>45</v>
      </c>
      <c r="Z62" s="1140"/>
      <c r="AA62" s="1165"/>
      <c r="AB62" s="1170"/>
      <c r="AC62" s="286"/>
      <c r="AD62" s="1160"/>
      <c r="AE62" s="1137"/>
      <c r="AF62" s="1137"/>
      <c r="AG62" s="1287"/>
      <c r="AH62" s="1289"/>
      <c r="AI62" s="1282"/>
      <c r="AJ62" s="1283"/>
      <c r="AK62" s="1283"/>
      <c r="AL62" s="1153"/>
      <c r="AM62" s="1160"/>
      <c r="AN62" s="1184"/>
      <c r="AO62" s="1137"/>
      <c r="AP62" s="1203"/>
      <c r="AQ62" s="1283"/>
      <c r="AR62" s="1283"/>
      <c r="AS62" s="1289"/>
      <c r="AT62" s="1283"/>
    </row>
    <row r="63" spans="1:46" ht="35.25" customHeight="1" x14ac:dyDescent="0.45">
      <c r="A63" s="1351">
        <v>46022</v>
      </c>
      <c r="B63" s="725">
        <v>1</v>
      </c>
      <c r="C63" s="1155"/>
      <c r="D63" s="1156"/>
      <c r="E63" s="1156"/>
      <c r="F63" s="1157"/>
      <c r="G63" s="1150"/>
      <c r="H63" s="1150"/>
      <c r="I63" s="1141"/>
      <c r="J63" s="1170"/>
      <c r="K63" s="286"/>
      <c r="L63" s="1160"/>
      <c r="M63" s="1137"/>
      <c r="N63" s="1137"/>
      <c r="O63" s="1157"/>
      <c r="P63" s="1150"/>
      <c r="Q63" s="1140"/>
      <c r="R63" s="1150"/>
      <c r="S63" s="1170"/>
      <c r="T63" s="286"/>
      <c r="U63" s="1160">
        <v>720</v>
      </c>
      <c r="V63" s="1137"/>
      <c r="W63" s="1137"/>
      <c r="X63" s="1157"/>
      <c r="Y63" s="1149" t="s">
        <v>45</v>
      </c>
      <c r="Z63" s="1140"/>
      <c r="AA63" s="1165"/>
      <c r="AB63" s="1170"/>
      <c r="AC63" s="286"/>
      <c r="AD63" s="1160"/>
      <c r="AE63" s="1137"/>
      <c r="AF63" s="1137"/>
      <c r="AG63" s="1287"/>
      <c r="AH63" s="1289"/>
      <c r="AI63" s="1282"/>
      <c r="AJ63" s="1283"/>
      <c r="AK63" s="1283"/>
      <c r="AL63" s="1153"/>
      <c r="AM63" s="1160"/>
      <c r="AN63" s="1184"/>
      <c r="AO63" s="1137"/>
      <c r="AP63" s="1203"/>
      <c r="AQ63" s="1283"/>
      <c r="AR63" s="1283"/>
      <c r="AS63" s="1289"/>
      <c r="AT63" s="1283"/>
    </row>
    <row r="64" spans="1:46" ht="40.5" customHeight="1" x14ac:dyDescent="0.45">
      <c r="A64" s="1352"/>
      <c r="B64" s="692">
        <v>2</v>
      </c>
      <c r="C64" s="1155"/>
      <c r="D64" s="1156"/>
      <c r="E64" s="1156">
        <v>18</v>
      </c>
      <c r="F64" s="1157"/>
      <c r="G64" s="1150"/>
      <c r="H64" s="1150"/>
      <c r="I64" s="1141" t="s">
        <v>152</v>
      </c>
      <c r="J64" s="1170"/>
      <c r="K64" s="286"/>
      <c r="L64" s="1160"/>
      <c r="M64" s="1137"/>
      <c r="N64" s="1137"/>
      <c r="O64" s="1157"/>
      <c r="P64" s="1150"/>
      <c r="Q64" s="1140"/>
      <c r="R64" s="1150"/>
      <c r="S64" s="1170"/>
      <c r="T64" s="286"/>
      <c r="U64" s="1160">
        <v>720</v>
      </c>
      <c r="V64" s="1137"/>
      <c r="W64" s="1137"/>
      <c r="X64" s="1157"/>
      <c r="Y64" s="1149" t="s">
        <v>45</v>
      </c>
      <c r="Z64" s="1140"/>
      <c r="AA64" s="1165"/>
      <c r="AB64" s="1170"/>
      <c r="AC64" s="286"/>
      <c r="AD64" s="1160"/>
      <c r="AE64" s="1137"/>
      <c r="AF64" s="1137"/>
      <c r="AG64" s="1287"/>
      <c r="AH64" s="1289"/>
      <c r="AI64" s="1282"/>
      <c r="AJ64" s="1283"/>
      <c r="AK64" s="1283"/>
      <c r="AL64" s="1153"/>
      <c r="AM64" s="1160"/>
      <c r="AN64" s="1184"/>
      <c r="AO64" s="1137"/>
      <c r="AP64" s="1203"/>
      <c r="AQ64" s="1283"/>
      <c r="AR64" s="1283"/>
      <c r="AS64" s="1289"/>
      <c r="AT64" s="1283"/>
    </row>
    <row r="65" spans="1:46" ht="18" x14ac:dyDescent="0.45">
      <c r="A65" s="255" t="s">
        <v>225</v>
      </c>
      <c r="B65" s="354"/>
      <c r="C65" s="757">
        <f>SUM(C3:C64)</f>
        <v>260</v>
      </c>
      <c r="D65" s="354">
        <f>SUM(D3:D64)</f>
        <v>227</v>
      </c>
      <c r="E65" s="757">
        <f>SUM(E3:E64)</f>
        <v>264</v>
      </c>
      <c r="F65" s="354">
        <f>SUM(F3:F64)</f>
        <v>109</v>
      </c>
      <c r="G65" s="255"/>
      <c r="H65" s="255"/>
      <c r="I65" s="255"/>
      <c r="J65" s="255"/>
      <c r="K65" s="255"/>
      <c r="L65" s="354">
        <f>SUM(L3:L64)</f>
        <v>5032</v>
      </c>
      <c r="M65" s="354">
        <f>SUM(M3:M64)</f>
        <v>187</v>
      </c>
      <c r="N65" s="354">
        <f>SUM(N3:N64)</f>
        <v>32</v>
      </c>
      <c r="O65" s="354">
        <f>SUM(O3:O64)</f>
        <v>62</v>
      </c>
      <c r="P65" s="255"/>
      <c r="Q65" s="255"/>
      <c r="R65" s="255"/>
      <c r="S65" s="255"/>
      <c r="T65" s="255"/>
      <c r="U65" s="354">
        <f>SUM(U3:U64)</f>
        <v>2823</v>
      </c>
      <c r="V65" s="354">
        <f>SUM(V3:V64)</f>
        <v>144</v>
      </c>
      <c r="W65" s="354">
        <f>SUM(W3:W64)</f>
        <v>183</v>
      </c>
      <c r="X65" s="354">
        <f>SUM(X3:X64)</f>
        <v>95</v>
      </c>
      <c r="Y65" s="255"/>
      <c r="Z65" s="255"/>
      <c r="AA65" s="255"/>
      <c r="AB65" s="255"/>
      <c r="AC65" s="255"/>
      <c r="AD65" s="354">
        <f>SUM(AD3:AD64)</f>
        <v>93</v>
      </c>
      <c r="AE65" s="354">
        <f>SUM(AE3:AE64)</f>
        <v>6</v>
      </c>
      <c r="AF65" s="354">
        <f>SUM(AF3:AF64)</f>
        <v>301</v>
      </c>
      <c r="AG65" s="354">
        <f>SUM(AG3:AG64)</f>
        <v>75</v>
      </c>
      <c r="AH65" s="255"/>
      <c r="AI65" s="255"/>
      <c r="AJ65" s="255"/>
      <c r="AK65" s="255"/>
      <c r="AL65" s="255"/>
      <c r="AM65" s="354">
        <f>SUM(AM3:AM64)</f>
        <v>416</v>
      </c>
      <c r="AN65" s="354">
        <f>SUM(AN3:AN64)</f>
        <v>371</v>
      </c>
      <c r="AO65" s="354">
        <f>SUM(AO3:AO64)</f>
        <v>81</v>
      </c>
      <c r="AP65" s="354">
        <f>SUM(AP3:AP64)</f>
        <v>94</v>
      </c>
      <c r="AQ65" s="255"/>
      <c r="AR65" s="255"/>
      <c r="AS65" s="255"/>
      <c r="AT65" s="255"/>
    </row>
    <row r="73" spans="1:46" ht="14.6" thickBot="1" x14ac:dyDescent="0.4"/>
    <row r="74" spans="1:46" ht="18.45" thickBot="1" x14ac:dyDescent="0.5">
      <c r="B74" s="354"/>
      <c r="C74" s="1349" t="s">
        <v>199</v>
      </c>
      <c r="D74" s="1350"/>
      <c r="E74" s="1347" t="s">
        <v>200</v>
      </c>
      <c r="F74" s="1348"/>
      <c r="G74" s="1349" t="s">
        <v>201</v>
      </c>
      <c r="H74" s="1350"/>
      <c r="I74" s="1349" t="s">
        <v>204</v>
      </c>
      <c r="J74" s="1350"/>
    </row>
    <row r="75" spans="1:46" ht="18.45" thickBot="1" x14ac:dyDescent="0.5">
      <c r="B75" s="354"/>
      <c r="C75" s="552" t="s">
        <v>222</v>
      </c>
      <c r="D75" s="553" t="s">
        <v>223</v>
      </c>
      <c r="E75" s="554" t="s">
        <v>222</v>
      </c>
      <c r="F75" s="555" t="s">
        <v>223</v>
      </c>
      <c r="G75" s="552" t="s">
        <v>222</v>
      </c>
      <c r="H75" s="553" t="s">
        <v>223</v>
      </c>
      <c r="I75" s="552" t="s">
        <v>222</v>
      </c>
      <c r="J75" s="553" t="s">
        <v>223</v>
      </c>
    </row>
    <row r="76" spans="1:46" ht="18" x14ac:dyDescent="0.4">
      <c r="B76" s="541" t="s">
        <v>218</v>
      </c>
      <c r="C76" s="542">
        <f>C65</f>
        <v>260</v>
      </c>
      <c r="D76" s="543">
        <f>C76/60</f>
        <v>4.333333333333333</v>
      </c>
      <c r="E76" s="542">
        <f>D65</f>
        <v>227</v>
      </c>
      <c r="F76" s="544">
        <f>E76/60</f>
        <v>3.7833333333333332</v>
      </c>
      <c r="G76" s="542">
        <f>E65</f>
        <v>264</v>
      </c>
      <c r="H76" s="543">
        <f>G76/60</f>
        <v>4.4000000000000004</v>
      </c>
      <c r="I76" s="542">
        <f>F65</f>
        <v>109</v>
      </c>
      <c r="J76" s="543">
        <f>I76/60</f>
        <v>1.8166666666666667</v>
      </c>
    </row>
    <row r="77" spans="1:46" ht="18" x14ac:dyDescent="0.4">
      <c r="B77" s="541" t="s">
        <v>219</v>
      </c>
      <c r="C77" s="545">
        <f>L65</f>
        <v>5032</v>
      </c>
      <c r="D77" s="546">
        <f>C77/60</f>
        <v>83.86666666666666</v>
      </c>
      <c r="E77" s="545">
        <f>M65</f>
        <v>187</v>
      </c>
      <c r="F77" s="547">
        <f>E77/60</f>
        <v>3.1166666666666667</v>
      </c>
      <c r="G77" s="545">
        <f>N65</f>
        <v>32</v>
      </c>
      <c r="H77" s="546">
        <f>G77/60</f>
        <v>0.53333333333333333</v>
      </c>
      <c r="I77" s="545">
        <f>O65</f>
        <v>62</v>
      </c>
      <c r="J77" s="546">
        <f>I77/60</f>
        <v>1.0333333333333334</v>
      </c>
    </row>
    <row r="78" spans="1:46" ht="18" x14ac:dyDescent="0.4">
      <c r="B78" s="541" t="s">
        <v>220</v>
      </c>
      <c r="C78" s="545">
        <f>U65</f>
        <v>2823</v>
      </c>
      <c r="D78" s="546">
        <f>C78/60</f>
        <v>47.05</v>
      </c>
      <c r="E78" s="545">
        <f>V65</f>
        <v>144</v>
      </c>
      <c r="F78" s="547">
        <f>E78/60</f>
        <v>2.4</v>
      </c>
      <c r="G78" s="545">
        <f>W65</f>
        <v>183</v>
      </c>
      <c r="H78" s="546">
        <f>G78/60</f>
        <v>3.05</v>
      </c>
      <c r="I78" s="545">
        <f>X65</f>
        <v>95</v>
      </c>
      <c r="J78" s="546">
        <f>I78/60</f>
        <v>1.5833333333333333</v>
      </c>
    </row>
    <row r="79" spans="1:46" ht="18.45" thickBot="1" x14ac:dyDescent="0.45">
      <c r="B79" s="541" t="s">
        <v>221</v>
      </c>
      <c r="C79" s="548">
        <f>AD65</f>
        <v>93</v>
      </c>
      <c r="D79" s="549">
        <f>C79/60</f>
        <v>1.55</v>
      </c>
      <c r="E79" s="548">
        <f>AE65</f>
        <v>6</v>
      </c>
      <c r="F79" s="550">
        <f>E79/60</f>
        <v>0.1</v>
      </c>
      <c r="G79" s="548">
        <f>AF65</f>
        <v>301</v>
      </c>
      <c r="H79" s="549">
        <f>G79/60</f>
        <v>5.0166666666666666</v>
      </c>
      <c r="I79" s="548">
        <f>AG65</f>
        <v>75</v>
      </c>
      <c r="J79" s="549">
        <f>I79/60</f>
        <v>1.25</v>
      </c>
    </row>
    <row r="80" spans="1:46" ht="18.45" thickBot="1" x14ac:dyDescent="0.45">
      <c r="B80" s="541" t="s">
        <v>488</v>
      </c>
      <c r="C80" s="643">
        <f>AM65</f>
        <v>416</v>
      </c>
      <c r="D80" s="642">
        <f>C80/60</f>
        <v>6.9333333333333336</v>
      </c>
      <c r="E80" s="643">
        <f>AN65</f>
        <v>371</v>
      </c>
      <c r="F80" s="644">
        <f>E80/60</f>
        <v>6.1833333333333336</v>
      </c>
      <c r="G80" s="643">
        <f>AO65</f>
        <v>81</v>
      </c>
      <c r="H80" s="642">
        <f>G80/60</f>
        <v>1.35</v>
      </c>
      <c r="I80" s="643">
        <f>AP65</f>
        <v>94</v>
      </c>
      <c r="J80" s="642">
        <f>I80/60</f>
        <v>1.5666666666666667</v>
      </c>
    </row>
    <row r="81" spans="2:10" ht="18.45" thickBot="1" x14ac:dyDescent="0.5">
      <c r="B81" s="354"/>
      <c r="C81" s="255"/>
      <c r="D81" s="255"/>
      <c r="E81" s="255"/>
      <c r="F81" s="255"/>
      <c r="G81" s="255"/>
      <c r="H81" s="255"/>
      <c r="I81" s="255"/>
      <c r="J81" s="255"/>
    </row>
    <row r="82" spans="2:10" ht="18.45" thickBot="1" x14ac:dyDescent="0.5">
      <c r="B82" s="551" t="s">
        <v>217</v>
      </c>
      <c r="C82" s="556"/>
      <c r="D82" s="557">
        <f>SUM(D76:D80)</f>
        <v>143.73333333333335</v>
      </c>
      <c r="E82" s="556"/>
      <c r="F82" s="557">
        <f>SUM(F76:F80)</f>
        <v>15.583333333333334</v>
      </c>
      <c r="G82" s="556"/>
      <c r="H82" s="557">
        <f>SUM(H76:H80)</f>
        <v>14.35</v>
      </c>
      <c r="I82" s="556"/>
      <c r="J82" s="558">
        <f>AVERAGE(J76:J80)</f>
        <v>1.45</v>
      </c>
    </row>
  </sheetData>
  <mergeCells count="45">
    <mergeCell ref="G74:H74"/>
    <mergeCell ref="I74:J74"/>
    <mergeCell ref="A55:A56"/>
    <mergeCell ref="A57:A58"/>
    <mergeCell ref="A61:A62"/>
    <mergeCell ref="A63:A64"/>
    <mergeCell ref="C74:D74"/>
    <mergeCell ref="E74:F74"/>
    <mergeCell ref="A59:A60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P1"/>
    <mergeCell ref="AQ1:AT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U64"/>
  <sheetViews>
    <sheetView tabSelected="1" zoomScale="55" zoomScaleNormal="55" workbookViewId="0">
      <pane xSplit="3" ySplit="2" topLeftCell="D53" activePane="bottomRight" state="frozen"/>
      <selection pane="topRight" activeCell="D1" sqref="D1"/>
      <selection pane="bottomLeft" activeCell="A3" sqref="A3"/>
      <selection pane="bottomRight" activeCell="F63" sqref="F63"/>
    </sheetView>
  </sheetViews>
  <sheetFormatPr defaultColWidth="8.84375" defaultRowHeight="14.15" x14ac:dyDescent="0.35"/>
  <cols>
    <col min="1" max="1" width="14.53515625" style="423" customWidth="1"/>
    <col min="2" max="2" width="16" style="65" customWidth="1"/>
    <col min="3" max="3" width="12" style="423" customWidth="1"/>
    <col min="4" max="4" width="17.3046875" style="423" customWidth="1"/>
    <col min="5" max="5" width="19.53515625" style="423" customWidth="1"/>
    <col min="6" max="6" width="19.3046875" style="423" customWidth="1"/>
    <col min="7" max="7" width="30" style="423" customWidth="1"/>
    <col min="8" max="8" width="29.3828125" style="423" customWidth="1"/>
    <col min="9" max="9" width="24.3828125" style="423" customWidth="1"/>
    <col min="10" max="10" width="23.53515625" style="423" customWidth="1"/>
    <col min="11" max="11" width="12.84375" style="423" customWidth="1"/>
    <col min="12" max="14" width="10.69140625" style="423" customWidth="1"/>
    <col min="15" max="15" width="17" style="423" customWidth="1"/>
    <col min="16" max="16" width="26" style="423" bestFit="1" customWidth="1"/>
    <col min="17" max="17" width="42.15234375" style="423" bestFit="1" customWidth="1"/>
    <col min="18" max="18" width="30.3828125" style="423" customWidth="1"/>
    <col min="19" max="19" width="27.69140625" style="423" customWidth="1"/>
    <col min="20" max="24" width="10.69140625" style="423" customWidth="1"/>
    <col min="25" max="25" width="28" style="423" customWidth="1"/>
    <col min="26" max="26" width="29.3046875" style="423" customWidth="1"/>
    <col min="27" max="27" width="36.15234375" style="423" bestFit="1" customWidth="1"/>
    <col min="28" max="28" width="27" style="423" customWidth="1"/>
    <col min="29" max="33" width="10.69140625" style="423" customWidth="1"/>
    <col min="34" max="34" width="31.3046875" style="423" customWidth="1"/>
    <col min="35" max="35" width="23.3046875" style="423" customWidth="1"/>
    <col min="36" max="36" width="25.3046875" style="423" customWidth="1"/>
    <col min="37" max="37" width="26" style="423" customWidth="1"/>
    <col min="38" max="38" width="8.84375" style="423"/>
    <col min="39" max="39" width="13.84375" style="423" customWidth="1"/>
    <col min="40" max="42" width="10.69140625" style="423" customWidth="1"/>
    <col min="43" max="43" width="32.3046875" style="423" customWidth="1"/>
    <col min="44" max="44" width="26.53515625" style="423" customWidth="1"/>
    <col min="45" max="45" width="31.15234375" style="423" customWidth="1"/>
    <col min="46" max="46" width="26.53515625" style="423" customWidth="1"/>
    <col min="47" max="16384" width="8.84375" style="423"/>
  </cols>
  <sheetData>
    <row r="1" spans="1:46" ht="59.5" customHeight="1" x14ac:dyDescent="0.35">
      <c r="C1" s="1356" t="s">
        <v>1</v>
      </c>
      <c r="D1" s="1353"/>
      <c r="E1" s="1353"/>
      <c r="F1" s="1353"/>
      <c r="G1" s="1357" t="s">
        <v>206</v>
      </c>
      <c r="H1" s="1354"/>
      <c r="I1" s="1354"/>
      <c r="J1" s="1355"/>
      <c r="K1" s="653"/>
      <c r="L1" s="1353" t="s">
        <v>4</v>
      </c>
      <c r="M1" s="1353"/>
      <c r="N1" s="1353"/>
      <c r="O1" s="1353"/>
      <c r="P1" s="1354" t="s">
        <v>206</v>
      </c>
      <c r="Q1" s="1354"/>
      <c r="R1" s="1354"/>
      <c r="S1" s="1355"/>
      <c r="T1" s="653"/>
      <c r="U1" s="1353" t="s">
        <v>2</v>
      </c>
      <c r="V1" s="1353"/>
      <c r="W1" s="1353"/>
      <c r="X1" s="1353"/>
      <c r="Y1" s="1354" t="s">
        <v>206</v>
      </c>
      <c r="Z1" s="1354"/>
      <c r="AA1" s="1354"/>
      <c r="AB1" s="1355"/>
      <c r="AC1" s="653"/>
      <c r="AD1" s="1353" t="s">
        <v>5</v>
      </c>
      <c r="AE1" s="1353"/>
      <c r="AF1" s="1353"/>
      <c r="AG1" s="1353"/>
      <c r="AH1" s="1354" t="s">
        <v>206</v>
      </c>
      <c r="AI1" s="1354"/>
      <c r="AJ1" s="1354"/>
      <c r="AK1" s="1355"/>
      <c r="AL1" s="653"/>
      <c r="AM1" s="1353" t="s">
        <v>482</v>
      </c>
      <c r="AN1" s="1353"/>
      <c r="AO1" s="1353"/>
      <c r="AP1" s="1353"/>
      <c r="AQ1" s="1354" t="s">
        <v>206</v>
      </c>
      <c r="AR1" s="1354"/>
      <c r="AS1" s="1354"/>
      <c r="AT1" s="1355"/>
    </row>
    <row r="2" spans="1:46" ht="42" customHeight="1" x14ac:dyDescent="0.35">
      <c r="A2" s="655" t="s">
        <v>0</v>
      </c>
      <c r="B2" s="659" t="s">
        <v>198</v>
      </c>
      <c r="C2" s="654" t="s">
        <v>199</v>
      </c>
      <c r="D2" s="655" t="s">
        <v>200</v>
      </c>
      <c r="E2" s="655" t="s">
        <v>201</v>
      </c>
      <c r="F2" s="655" t="s">
        <v>204</v>
      </c>
      <c r="G2" s="656" t="s">
        <v>199</v>
      </c>
      <c r="H2" s="656" t="s">
        <v>200</v>
      </c>
      <c r="I2" s="656" t="s">
        <v>201</v>
      </c>
      <c r="J2" s="656" t="s">
        <v>204</v>
      </c>
      <c r="K2" s="653" t="s">
        <v>269</v>
      </c>
      <c r="L2" s="655" t="s">
        <v>199</v>
      </c>
      <c r="M2" s="655" t="s">
        <v>200</v>
      </c>
      <c r="N2" s="655" t="s">
        <v>201</v>
      </c>
      <c r="O2" s="655" t="s">
        <v>204</v>
      </c>
      <c r="P2" s="657" t="s">
        <v>199</v>
      </c>
      <c r="Q2" s="655" t="s">
        <v>200</v>
      </c>
      <c r="R2" s="655" t="s">
        <v>201</v>
      </c>
      <c r="S2" s="655" t="s">
        <v>204</v>
      </c>
      <c r="T2" s="653"/>
      <c r="U2" s="655" t="s">
        <v>199</v>
      </c>
      <c r="V2" s="655" t="s">
        <v>200</v>
      </c>
      <c r="W2" s="655" t="s">
        <v>201</v>
      </c>
      <c r="X2" s="655" t="s">
        <v>204</v>
      </c>
      <c r="Y2" s="658" t="s">
        <v>199</v>
      </c>
      <c r="Z2" s="655" t="s">
        <v>200</v>
      </c>
      <c r="AA2" s="655" t="s">
        <v>201</v>
      </c>
      <c r="AB2" s="655" t="s">
        <v>204</v>
      </c>
      <c r="AC2" s="653"/>
      <c r="AD2" s="655" t="s">
        <v>199</v>
      </c>
      <c r="AE2" s="655" t="s">
        <v>200</v>
      </c>
      <c r="AF2" s="655" t="s">
        <v>201</v>
      </c>
      <c r="AG2" s="655" t="s">
        <v>204</v>
      </c>
      <c r="AH2" s="658" t="s">
        <v>199</v>
      </c>
      <c r="AI2" s="656" t="s">
        <v>200</v>
      </c>
      <c r="AJ2" s="656" t="s">
        <v>201</v>
      </c>
      <c r="AK2" s="656" t="s">
        <v>204</v>
      </c>
      <c r="AL2" s="653"/>
      <c r="AM2" s="655" t="s">
        <v>199</v>
      </c>
      <c r="AN2" s="655" t="s">
        <v>200</v>
      </c>
      <c r="AO2" s="655" t="s">
        <v>201</v>
      </c>
      <c r="AP2" s="655" t="s">
        <v>204</v>
      </c>
      <c r="AQ2" s="658" t="s">
        <v>199</v>
      </c>
      <c r="AR2" s="656" t="s">
        <v>200</v>
      </c>
      <c r="AS2" s="656" t="s">
        <v>201</v>
      </c>
      <c r="AT2" s="656" t="s">
        <v>204</v>
      </c>
    </row>
    <row r="3" spans="1:46" ht="30" customHeight="1" x14ac:dyDescent="0.45">
      <c r="A3" s="1351">
        <v>46023</v>
      </c>
      <c r="B3" s="676">
        <v>1</v>
      </c>
      <c r="C3" s="1135"/>
      <c r="D3" s="1136"/>
      <c r="E3" s="1137">
        <v>8</v>
      </c>
      <c r="F3" s="1138"/>
      <c r="G3" s="1139"/>
      <c r="H3" s="1140"/>
      <c r="I3" s="1141" t="s">
        <v>388</v>
      </c>
      <c r="J3" s="1142"/>
      <c r="K3" s="286"/>
      <c r="L3" s="1143"/>
      <c r="M3" s="1144"/>
      <c r="N3" s="1144"/>
      <c r="O3" s="1145"/>
      <c r="P3" s="1146"/>
      <c r="Q3" s="1147"/>
      <c r="R3" s="1147"/>
      <c r="S3" s="1145"/>
      <c r="T3" s="286"/>
      <c r="U3" s="1143">
        <v>720</v>
      </c>
      <c r="V3" s="1144"/>
      <c r="W3" s="1137"/>
      <c r="X3" s="1148"/>
      <c r="Y3" s="1149" t="s">
        <v>45</v>
      </c>
      <c r="Z3" s="1146"/>
      <c r="AA3" s="1150"/>
      <c r="AB3" s="1151"/>
      <c r="AC3" s="286"/>
      <c r="AD3" s="1143"/>
      <c r="AE3" s="1144"/>
      <c r="AF3" s="1137"/>
      <c r="AG3" s="1286"/>
      <c r="AH3" s="1289"/>
      <c r="AI3" s="1289"/>
      <c r="AJ3" s="1290"/>
      <c r="AK3" s="1289"/>
      <c r="AL3" s="1153"/>
      <c r="AM3" s="1143"/>
      <c r="AN3" s="1144"/>
      <c r="AO3" s="1137"/>
      <c r="AP3" s="1286"/>
      <c r="AQ3" s="1289"/>
      <c r="AR3" s="1290"/>
      <c r="AS3" s="1290"/>
      <c r="AT3" s="1289"/>
    </row>
    <row r="4" spans="1:46" ht="30" customHeight="1" x14ac:dyDescent="0.45">
      <c r="A4" s="1352"/>
      <c r="B4" s="692">
        <v>2</v>
      </c>
      <c r="C4" s="1155"/>
      <c r="D4" s="1156"/>
      <c r="E4" s="1156">
        <v>14</v>
      </c>
      <c r="F4" s="1157"/>
      <c r="G4" s="1158"/>
      <c r="H4" s="1140"/>
      <c r="I4" s="1141" t="s">
        <v>152</v>
      </c>
      <c r="J4" s="1159"/>
      <c r="K4" s="286"/>
      <c r="L4" s="1160"/>
      <c r="M4" s="1137"/>
      <c r="N4" s="1137"/>
      <c r="O4" s="1148"/>
      <c r="P4" s="1128"/>
      <c r="Q4" s="1140"/>
      <c r="R4" s="1161"/>
      <c r="S4" s="1148"/>
      <c r="T4" s="286"/>
      <c r="U4" s="1160">
        <v>720</v>
      </c>
      <c r="V4" s="1152"/>
      <c r="W4" s="1137"/>
      <c r="X4" s="1148"/>
      <c r="Y4" s="1158" t="s">
        <v>45</v>
      </c>
      <c r="Z4" s="1150"/>
      <c r="AA4" s="1150"/>
      <c r="AB4" s="1162"/>
      <c r="AC4" s="286"/>
      <c r="AD4" s="1160"/>
      <c r="AE4" s="1137"/>
      <c r="AF4" s="1137"/>
      <c r="AG4" s="1203"/>
      <c r="AH4" s="1289"/>
      <c r="AI4" s="1283"/>
      <c r="AJ4" s="1290"/>
      <c r="AK4" s="1289"/>
      <c r="AL4" s="1153"/>
      <c r="AM4" s="1160"/>
      <c r="AN4" s="1137"/>
      <c r="AO4" s="1137"/>
      <c r="AP4" s="1203"/>
      <c r="AQ4" s="1289"/>
      <c r="AR4" s="1283"/>
      <c r="AS4" s="1289"/>
      <c r="AT4" s="1289"/>
    </row>
    <row r="5" spans="1:46" ht="30" customHeight="1" x14ac:dyDescent="0.45">
      <c r="A5" s="1351">
        <v>46024</v>
      </c>
      <c r="B5" s="692">
        <v>1</v>
      </c>
      <c r="C5" s="1155"/>
      <c r="D5" s="1156"/>
      <c r="E5" s="1156"/>
      <c r="F5" s="1157"/>
      <c r="G5" s="1163"/>
      <c r="H5" s="1164"/>
      <c r="I5" s="1141"/>
      <c r="J5" s="1159"/>
      <c r="K5" s="286"/>
      <c r="L5" s="1160"/>
      <c r="M5" s="1137"/>
      <c r="N5" s="1137"/>
      <c r="O5" s="1148"/>
      <c r="P5" s="1128"/>
      <c r="Q5" s="1137"/>
      <c r="R5" s="1137"/>
      <c r="S5" s="1148"/>
      <c r="T5" s="286"/>
      <c r="U5" s="1160">
        <v>720</v>
      </c>
      <c r="V5" s="1137"/>
      <c r="W5" s="1137"/>
      <c r="X5" s="1148"/>
      <c r="Y5" s="1149" t="s">
        <v>45</v>
      </c>
      <c r="Z5" s="1140"/>
      <c r="AA5" s="1165"/>
      <c r="AB5" s="1166"/>
      <c r="AC5" s="286"/>
      <c r="AD5" s="1160"/>
      <c r="AE5" s="1137"/>
      <c r="AF5" s="1137"/>
      <c r="AG5" s="1203"/>
      <c r="AH5" s="1289"/>
      <c r="AI5" s="1289"/>
      <c r="AJ5" s="1290"/>
      <c r="AK5" s="1289"/>
      <c r="AL5" s="1153"/>
      <c r="AM5" s="1160"/>
      <c r="AN5" s="1137"/>
      <c r="AO5" s="1137"/>
      <c r="AP5" s="1203"/>
      <c r="AQ5" s="1289"/>
      <c r="AR5" s="1289"/>
      <c r="AS5" s="1290"/>
      <c r="AT5" s="1289"/>
    </row>
    <row r="6" spans="1:46" ht="30" customHeight="1" x14ac:dyDescent="0.45">
      <c r="A6" s="1352"/>
      <c r="B6" s="692">
        <v>2</v>
      </c>
      <c r="C6" s="1155"/>
      <c r="D6" s="1156"/>
      <c r="E6" s="1156">
        <v>37</v>
      </c>
      <c r="F6" s="1157"/>
      <c r="G6" s="1139"/>
      <c r="H6" s="1150"/>
      <c r="I6" s="1141" t="s">
        <v>152</v>
      </c>
      <c r="J6" s="1170"/>
      <c r="K6" s="286"/>
      <c r="L6" s="1160"/>
      <c r="M6" s="1137"/>
      <c r="N6" s="1137"/>
      <c r="O6" s="1148"/>
      <c r="P6" s="1128"/>
      <c r="Q6" s="1140"/>
      <c r="R6" s="1137"/>
      <c r="S6" s="1170"/>
      <c r="T6" s="286"/>
      <c r="U6" s="1160">
        <v>720</v>
      </c>
      <c r="V6" s="1137"/>
      <c r="W6" s="1137"/>
      <c r="X6" s="1148"/>
      <c r="Y6" s="1149" t="s">
        <v>45</v>
      </c>
      <c r="Z6" s="1140"/>
      <c r="AA6" s="1165"/>
      <c r="AB6" s="1170"/>
      <c r="AC6" s="286"/>
      <c r="AD6" s="1160"/>
      <c r="AE6" s="1137"/>
      <c r="AF6" s="1137"/>
      <c r="AG6" s="1203"/>
      <c r="AH6" s="1289"/>
      <c r="AI6" s="1289"/>
      <c r="AJ6" s="1283"/>
      <c r="AK6" s="1283"/>
      <c r="AL6" s="1153"/>
      <c r="AM6" s="1160"/>
      <c r="AN6" s="1137"/>
      <c r="AO6" s="1137"/>
      <c r="AP6" s="1203"/>
      <c r="AQ6" s="1290"/>
      <c r="AR6" s="1289"/>
      <c r="AS6" s="1290"/>
      <c r="AT6" s="1289"/>
    </row>
    <row r="7" spans="1:46" ht="30.75" customHeight="1" x14ac:dyDescent="0.45">
      <c r="A7" s="1351">
        <v>46025</v>
      </c>
      <c r="B7" s="692">
        <v>1</v>
      </c>
      <c r="C7" s="1155"/>
      <c r="D7" s="1156"/>
      <c r="E7" s="1156"/>
      <c r="F7" s="1157"/>
      <c r="G7" s="1139"/>
      <c r="H7" s="1150"/>
      <c r="I7" s="1141"/>
      <c r="J7" s="1170"/>
      <c r="K7" s="286"/>
      <c r="L7" s="1160"/>
      <c r="M7" s="1128"/>
      <c r="N7" s="1137"/>
      <c r="O7" s="1148"/>
      <c r="P7" s="1128"/>
      <c r="Q7" s="972"/>
      <c r="R7" s="1137"/>
      <c r="S7" s="1169"/>
      <c r="T7" s="286"/>
      <c r="U7" s="1160">
        <v>720</v>
      </c>
      <c r="V7" s="1137"/>
      <c r="W7" s="1137"/>
      <c r="X7" s="1148"/>
      <c r="Y7" s="1149" t="s">
        <v>45</v>
      </c>
      <c r="Z7" s="1140"/>
      <c r="AA7" s="1165"/>
      <c r="AB7" s="1169"/>
      <c r="AC7" s="286"/>
      <c r="AD7" s="1160"/>
      <c r="AE7" s="1137"/>
      <c r="AF7" s="1137"/>
      <c r="AG7" s="1203"/>
      <c r="AH7" s="1289"/>
      <c r="AI7" s="1291"/>
      <c r="AJ7" s="1283"/>
      <c r="AK7" s="1289"/>
      <c r="AL7" s="1153"/>
      <c r="AM7" s="1160"/>
      <c r="AN7" s="1137"/>
      <c r="AO7" s="1137"/>
      <c r="AP7" s="1203"/>
      <c r="AQ7" s="1289"/>
      <c r="AR7" s="1289"/>
      <c r="AS7" s="1291"/>
      <c r="AT7" s="1283"/>
    </row>
    <row r="8" spans="1:46" ht="30" customHeight="1" x14ac:dyDescent="0.45">
      <c r="A8" s="1352"/>
      <c r="B8" s="692">
        <v>2</v>
      </c>
      <c r="C8" s="1254"/>
      <c r="D8" s="1177"/>
      <c r="E8" s="1177"/>
      <c r="F8" s="1199"/>
      <c r="G8" s="1195"/>
      <c r="H8" s="1196"/>
      <c r="I8" s="1197"/>
      <c r="J8" s="1194"/>
      <c r="K8" s="286"/>
      <c r="L8" s="1160"/>
      <c r="M8" s="1137"/>
      <c r="N8" s="1137"/>
      <c r="O8" s="1148"/>
      <c r="P8" s="1128"/>
      <c r="Q8" s="1137"/>
      <c r="R8" s="1152"/>
      <c r="S8" s="1169"/>
      <c r="T8" s="286"/>
      <c r="U8" s="1178">
        <v>505</v>
      </c>
      <c r="V8" s="1175"/>
      <c r="W8" s="1128"/>
      <c r="X8" s="1148"/>
      <c r="Y8" s="1149" t="s">
        <v>45</v>
      </c>
      <c r="Z8" s="1172"/>
      <c r="AA8" s="1152"/>
      <c r="AB8" s="1170"/>
      <c r="AC8" s="286"/>
      <c r="AD8" s="1160">
        <v>32</v>
      </c>
      <c r="AE8" s="1137"/>
      <c r="AF8" s="1137"/>
      <c r="AG8" s="1203"/>
      <c r="AH8" s="1289" t="s">
        <v>1082</v>
      </c>
      <c r="AI8" s="1290"/>
      <c r="AJ8" s="1283"/>
      <c r="AK8" s="1283"/>
      <c r="AL8" s="1153"/>
      <c r="AM8" s="1160"/>
      <c r="AN8" s="1137"/>
      <c r="AO8" s="1137"/>
      <c r="AP8" s="1203"/>
      <c r="AQ8" s="1289"/>
      <c r="AR8" s="1290"/>
      <c r="AS8" s="1289"/>
      <c r="AT8" s="1283"/>
    </row>
    <row r="9" spans="1:46" ht="30" customHeight="1" x14ac:dyDescent="0.45">
      <c r="A9" s="1351">
        <v>46026</v>
      </c>
      <c r="B9" s="692">
        <v>1</v>
      </c>
      <c r="C9" s="1336"/>
      <c r="D9" s="1337"/>
      <c r="E9" s="1337"/>
      <c r="F9" s="1156"/>
      <c r="G9" s="1338"/>
      <c r="H9" s="1337"/>
      <c r="I9" s="1337"/>
      <c r="J9" s="971"/>
      <c r="K9" s="1257"/>
      <c r="L9" s="1339"/>
      <c r="M9" s="1321"/>
      <c r="N9" s="1321"/>
      <c r="O9" s="1156"/>
      <c r="P9" s="1322"/>
      <c r="Q9" s="1321"/>
      <c r="R9" s="1321"/>
      <c r="S9" s="985"/>
      <c r="T9" s="286"/>
      <c r="U9" s="1178"/>
      <c r="V9" s="1128">
        <v>50</v>
      </c>
      <c r="W9" s="1137">
        <v>10</v>
      </c>
      <c r="X9" s="1148"/>
      <c r="Y9" s="1149"/>
      <c r="Z9" s="1137" t="s">
        <v>1175</v>
      </c>
      <c r="AA9" s="1149" t="s">
        <v>1176</v>
      </c>
      <c r="AB9" s="971"/>
      <c r="AC9" s="286"/>
      <c r="AD9" s="1299"/>
      <c r="AE9" s="1182"/>
      <c r="AF9" s="1183"/>
      <c r="AG9" s="1287"/>
      <c r="AH9" s="1283"/>
      <c r="AI9" s="1282"/>
      <c r="AJ9" s="1278"/>
      <c r="AK9" s="971"/>
      <c r="AL9" s="286"/>
      <c r="AM9" s="1160"/>
      <c r="AN9" s="1137"/>
      <c r="AO9" s="1137"/>
      <c r="AP9" s="1203"/>
      <c r="AQ9" s="1289"/>
      <c r="AR9" s="1289"/>
      <c r="AS9" s="1290"/>
      <c r="AT9" s="971"/>
    </row>
    <row r="10" spans="1:46" ht="30.75" customHeight="1" x14ac:dyDescent="0.45">
      <c r="A10" s="1352"/>
      <c r="B10" s="692">
        <v>2</v>
      </c>
      <c r="C10" s="1269">
        <v>163</v>
      </c>
      <c r="D10" s="1270"/>
      <c r="E10" s="1216"/>
      <c r="F10" s="1217"/>
      <c r="G10" s="1276" t="s">
        <v>45</v>
      </c>
      <c r="H10" s="1277"/>
      <c r="I10" s="1278"/>
      <c r="J10" s="1279"/>
      <c r="K10" s="286"/>
      <c r="L10" s="1160"/>
      <c r="M10" s="1137"/>
      <c r="N10" s="1137"/>
      <c r="O10" s="1148"/>
      <c r="P10" s="1128"/>
      <c r="Q10" s="1137"/>
      <c r="R10" s="1152"/>
      <c r="S10" s="1170"/>
      <c r="T10" s="286"/>
      <c r="U10" s="1160"/>
      <c r="V10" s="1137">
        <v>234</v>
      </c>
      <c r="W10" s="1137"/>
      <c r="X10" s="1148"/>
      <c r="Y10" s="1149"/>
      <c r="Z10" s="1149" t="s">
        <v>366</v>
      </c>
      <c r="AA10" s="1149"/>
      <c r="AB10" s="1170"/>
      <c r="AC10" s="286"/>
      <c r="AD10" s="1160"/>
      <c r="AE10" s="1137">
        <v>187</v>
      </c>
      <c r="AF10" s="1137"/>
      <c r="AG10" s="1203"/>
      <c r="AH10" s="1290" t="s">
        <v>366</v>
      </c>
      <c r="AI10" s="1290"/>
      <c r="AJ10" s="1283"/>
      <c r="AK10" s="1283"/>
      <c r="AL10" s="1153"/>
      <c r="AM10" s="1160"/>
      <c r="AN10" s="1137"/>
      <c r="AO10" s="1137"/>
      <c r="AP10" s="1203"/>
      <c r="AQ10" s="1289"/>
      <c r="AR10" s="1289"/>
      <c r="AS10" s="1289"/>
      <c r="AT10" s="1283"/>
    </row>
    <row r="11" spans="1:46" ht="30.75" customHeight="1" x14ac:dyDescent="0.45">
      <c r="A11" s="1351">
        <v>46027</v>
      </c>
      <c r="B11" s="692">
        <v>1</v>
      </c>
      <c r="C11" s="1258"/>
      <c r="D11" s="1259"/>
      <c r="E11" s="1260"/>
      <c r="F11" s="1261"/>
      <c r="G11" s="1280"/>
      <c r="H11" s="1277"/>
      <c r="I11" s="1277"/>
      <c r="J11" s="1281"/>
      <c r="K11" s="1262"/>
      <c r="L11" s="1263"/>
      <c r="M11" s="1264"/>
      <c r="N11" s="1264"/>
      <c r="O11" s="1265"/>
      <c r="P11" s="1266"/>
      <c r="Q11" s="1264"/>
      <c r="R11" s="1267"/>
      <c r="S11" s="1265"/>
      <c r="T11" s="1262"/>
      <c r="U11" s="1263">
        <v>20</v>
      </c>
      <c r="V11" s="1264"/>
      <c r="W11" s="1264">
        <v>10</v>
      </c>
      <c r="X11" s="1264"/>
      <c r="Y11" s="1265" t="s">
        <v>1177</v>
      </c>
      <c r="Z11" s="1264"/>
      <c r="AA11" s="1268" t="s">
        <v>388</v>
      </c>
      <c r="AB11" s="1265"/>
      <c r="AC11" s="1262"/>
      <c r="AD11" s="1263"/>
      <c r="AE11" s="1264"/>
      <c r="AF11" s="1264"/>
      <c r="AG11" s="1288"/>
      <c r="AH11" s="1292"/>
      <c r="AI11" s="1292"/>
      <c r="AJ11" s="1277"/>
      <c r="AK11" s="1292"/>
      <c r="AL11" s="1153"/>
      <c r="AM11" s="1263"/>
      <c r="AN11" s="1264"/>
      <c r="AO11" s="1264"/>
      <c r="AP11" s="1288"/>
      <c r="AQ11" s="1292"/>
      <c r="AR11" s="1292"/>
      <c r="AS11" s="1292"/>
      <c r="AT11" s="1296"/>
    </row>
    <row r="12" spans="1:46" ht="30" customHeight="1" x14ac:dyDescent="0.45">
      <c r="A12" s="1352"/>
      <c r="B12" s="692">
        <v>2</v>
      </c>
      <c r="C12" s="1155">
        <v>216</v>
      </c>
      <c r="D12" s="1191"/>
      <c r="E12" s="1156"/>
      <c r="F12" s="1157"/>
      <c r="G12" s="1276" t="s">
        <v>45</v>
      </c>
      <c r="H12" s="1282"/>
      <c r="I12" s="1278"/>
      <c r="J12" s="1279"/>
      <c r="K12" s="286"/>
      <c r="L12" s="1222"/>
      <c r="M12" s="1161"/>
      <c r="N12" s="1161"/>
      <c r="O12" s="1217"/>
      <c r="P12" s="1323"/>
      <c r="Q12" s="1161"/>
      <c r="R12" s="1165"/>
      <c r="S12" s="1221"/>
      <c r="T12" s="286"/>
      <c r="U12" s="1160"/>
      <c r="V12" s="1137"/>
      <c r="W12" s="1257"/>
      <c r="X12" s="1257"/>
      <c r="Y12" s="1149"/>
      <c r="Z12" s="1150"/>
      <c r="AA12" s="1165"/>
      <c r="AB12" s="1170"/>
      <c r="AC12" s="286"/>
      <c r="AD12" s="1160"/>
      <c r="AE12" s="1137"/>
      <c r="AF12" s="1137"/>
      <c r="AG12" s="1203"/>
      <c r="AH12" s="1289"/>
      <c r="AI12" s="1290"/>
      <c r="AJ12" s="1283"/>
      <c r="AK12" s="1283"/>
      <c r="AL12" s="1153"/>
      <c r="AM12" s="1160"/>
      <c r="AN12" s="1137"/>
      <c r="AO12" s="1137"/>
      <c r="AP12" s="1203"/>
      <c r="AQ12" s="1289"/>
      <c r="AR12" s="1289"/>
      <c r="AS12" s="1290"/>
      <c r="AT12" s="1283"/>
    </row>
    <row r="13" spans="1:46" ht="29.25" customHeight="1" x14ac:dyDescent="0.45">
      <c r="A13" s="1351">
        <v>46028</v>
      </c>
      <c r="B13" s="692">
        <v>1</v>
      </c>
      <c r="C13" s="1155"/>
      <c r="D13" s="1156"/>
      <c r="E13" s="1156">
        <v>10</v>
      </c>
      <c r="F13" s="1157"/>
      <c r="G13" s="1276"/>
      <c r="H13" s="1282"/>
      <c r="I13" s="1278" t="s">
        <v>388</v>
      </c>
      <c r="J13" s="1279"/>
      <c r="K13" s="286"/>
      <c r="L13" s="1160"/>
      <c r="M13" s="1137"/>
      <c r="N13" s="1137"/>
      <c r="O13" s="1157"/>
      <c r="P13" s="1128"/>
      <c r="Q13" s="1137"/>
      <c r="R13" s="1137"/>
      <c r="S13" s="1170"/>
      <c r="T13" s="286"/>
      <c r="U13" s="1160"/>
      <c r="V13" s="1137"/>
      <c r="W13" s="1137">
        <v>10</v>
      </c>
      <c r="X13" s="1157"/>
      <c r="Y13" s="1149"/>
      <c r="Z13" s="1152"/>
      <c r="AA13" s="1165" t="s">
        <v>388</v>
      </c>
      <c r="AB13" s="1170"/>
      <c r="AC13" s="286"/>
      <c r="AD13" s="1160"/>
      <c r="AE13" s="1137"/>
      <c r="AF13" s="1137"/>
      <c r="AG13" s="1287"/>
      <c r="AH13" s="1289"/>
      <c r="AI13" s="1289"/>
      <c r="AJ13" s="1290"/>
      <c r="AK13" s="1283"/>
      <c r="AL13" s="1153"/>
      <c r="AM13" s="1160"/>
      <c r="AN13" s="1137"/>
      <c r="AO13" s="1137"/>
      <c r="AP13" s="1294"/>
      <c r="AQ13" s="1289"/>
      <c r="AR13" s="1289"/>
      <c r="AS13" s="1283"/>
      <c r="AT13" s="1283"/>
    </row>
    <row r="14" spans="1:46" ht="30" customHeight="1" x14ac:dyDescent="0.45">
      <c r="A14" s="1352"/>
      <c r="B14" s="692">
        <v>2</v>
      </c>
      <c r="C14" s="1155"/>
      <c r="D14" s="1156">
        <v>297</v>
      </c>
      <c r="E14" s="1156"/>
      <c r="F14" s="1157"/>
      <c r="G14" s="1276"/>
      <c r="H14" s="1283" t="s">
        <v>1178</v>
      </c>
      <c r="I14" s="1278"/>
      <c r="J14" s="1279"/>
      <c r="K14" s="286"/>
      <c r="L14" s="1160">
        <v>74</v>
      </c>
      <c r="M14" s="1137"/>
      <c r="N14" s="1137"/>
      <c r="O14" s="1157"/>
      <c r="P14" s="1149" t="s">
        <v>113</v>
      </c>
      <c r="Q14" s="1137"/>
      <c r="R14" s="1137"/>
      <c r="S14" s="1170"/>
      <c r="T14" s="286"/>
      <c r="U14" s="1160"/>
      <c r="V14" s="1137"/>
      <c r="W14" s="1137"/>
      <c r="X14" s="1157"/>
      <c r="Y14" s="1149"/>
      <c r="Z14" s="1152"/>
      <c r="AA14" s="1165"/>
      <c r="AB14" s="1170"/>
      <c r="AC14" s="286"/>
      <c r="AD14" s="1160"/>
      <c r="AE14" s="1137"/>
      <c r="AF14" s="1137"/>
      <c r="AG14" s="1287"/>
      <c r="AH14" s="1289"/>
      <c r="AI14" s="1289"/>
      <c r="AJ14" s="1290"/>
      <c r="AK14" s="1283"/>
      <c r="AL14" s="1153"/>
      <c r="AM14" s="1160"/>
      <c r="AN14" s="1137"/>
      <c r="AO14" s="1192"/>
      <c r="AP14" s="1294"/>
      <c r="AQ14" s="1290"/>
      <c r="AR14" s="1289"/>
      <c r="AS14" s="1290"/>
      <c r="AT14" s="1283"/>
    </row>
    <row r="15" spans="1:46" ht="30" customHeight="1" x14ac:dyDescent="0.45">
      <c r="A15" s="1351">
        <v>46029</v>
      </c>
      <c r="B15" s="692">
        <v>1</v>
      </c>
      <c r="C15" s="1155"/>
      <c r="D15" s="1177"/>
      <c r="E15" s="1168">
        <v>91</v>
      </c>
      <c r="F15" s="1194"/>
      <c r="G15" s="1276"/>
      <c r="H15" s="1283"/>
      <c r="I15" s="1278" t="s">
        <v>388</v>
      </c>
      <c r="J15" s="1279"/>
      <c r="K15" s="286"/>
      <c r="L15" s="1198"/>
      <c r="M15" s="1168"/>
      <c r="N15" s="1168"/>
      <c r="O15" s="1199"/>
      <c r="P15" s="1200"/>
      <c r="Q15" s="1196"/>
      <c r="R15" s="1150"/>
      <c r="S15" s="1170"/>
      <c r="T15" s="286"/>
      <c r="U15" s="1160"/>
      <c r="V15" s="1137"/>
      <c r="W15" s="1137">
        <v>91</v>
      </c>
      <c r="X15" s="1157"/>
      <c r="Y15" s="1158"/>
      <c r="Z15" s="1150"/>
      <c r="AA15" s="1165" t="s">
        <v>388</v>
      </c>
      <c r="AB15" s="1170"/>
      <c r="AC15" s="286"/>
      <c r="AD15" s="1160"/>
      <c r="AE15" s="1137"/>
      <c r="AF15" s="286">
        <v>91</v>
      </c>
      <c r="AG15" s="1287"/>
      <c r="AH15" s="1282"/>
      <c r="AI15" s="1283"/>
      <c r="AJ15" s="1290" t="s">
        <v>388</v>
      </c>
      <c r="AK15" s="1283"/>
      <c r="AL15" s="1153"/>
      <c r="AM15" s="1160"/>
      <c r="AN15" s="1137"/>
      <c r="AO15" s="1201">
        <v>91</v>
      </c>
      <c r="AP15" s="1294"/>
      <c r="AQ15" s="1283"/>
      <c r="AR15" s="1283"/>
      <c r="AS15" s="1283" t="s">
        <v>388</v>
      </c>
      <c r="AT15" s="1283"/>
    </row>
    <row r="16" spans="1:46" ht="30" customHeight="1" x14ac:dyDescent="0.35">
      <c r="A16" s="1352"/>
      <c r="B16" s="692">
        <v>2</v>
      </c>
      <c r="C16" s="1181"/>
      <c r="D16" s="1223"/>
      <c r="E16" s="1224">
        <v>16</v>
      </c>
      <c r="F16" s="1225"/>
      <c r="G16" s="1284"/>
      <c r="H16" s="1277"/>
      <c r="I16" s="1278" t="s">
        <v>388</v>
      </c>
      <c r="J16" s="1279"/>
      <c r="K16" s="1230"/>
      <c r="L16" s="1231"/>
      <c r="M16" s="1232">
        <v>131</v>
      </c>
      <c r="N16" s="1232"/>
      <c r="O16" s="1225"/>
      <c r="P16" s="1346"/>
      <c r="Q16" s="1234" t="s">
        <v>1181</v>
      </c>
      <c r="R16" s="1235"/>
      <c r="S16" s="1170"/>
      <c r="T16" s="286"/>
      <c r="U16" s="1160">
        <v>271</v>
      </c>
      <c r="V16" s="1137"/>
      <c r="W16" s="1137"/>
      <c r="X16" s="1157"/>
      <c r="Y16" s="1236" t="s">
        <v>45</v>
      </c>
      <c r="Z16" s="1187"/>
      <c r="AA16" s="1285"/>
      <c r="AB16" s="1170"/>
      <c r="AC16" s="286"/>
      <c r="AD16" s="1160">
        <v>56</v>
      </c>
      <c r="AE16" s="1137"/>
      <c r="AF16" s="1137"/>
      <c r="AG16" s="1287"/>
      <c r="AH16" s="1282" t="s">
        <v>1179</v>
      </c>
      <c r="AI16" s="1289"/>
      <c r="AJ16" s="1289"/>
      <c r="AK16" s="1290"/>
      <c r="AL16" s="1179"/>
      <c r="AM16" s="1160">
        <v>239</v>
      </c>
      <c r="AN16" s="1137"/>
      <c r="AO16" s="1137"/>
      <c r="AP16" s="1295"/>
      <c r="AQ16" s="1297" t="s">
        <v>45</v>
      </c>
      <c r="AR16" s="1277"/>
      <c r="AS16" s="1297"/>
      <c r="AT16" s="1283"/>
    </row>
    <row r="17" spans="1:46" ht="29.25" customHeight="1" x14ac:dyDescent="0.45">
      <c r="A17" s="1351">
        <v>46030</v>
      </c>
      <c r="B17" s="717">
        <v>1</v>
      </c>
      <c r="C17" s="1155">
        <v>10</v>
      </c>
      <c r="D17" s="1215"/>
      <c r="E17" s="1216">
        <v>12</v>
      </c>
      <c r="F17" s="1217"/>
      <c r="G17" s="1284" t="s">
        <v>165</v>
      </c>
      <c r="H17" s="1180"/>
      <c r="I17" s="1278" t="s">
        <v>152</v>
      </c>
      <c r="J17" s="1279"/>
      <c r="K17" s="286"/>
      <c r="L17" s="1222"/>
      <c r="M17" s="1161"/>
      <c r="N17" s="1161"/>
      <c r="O17" s="1217"/>
      <c r="P17" s="1218"/>
      <c r="Q17" s="1219"/>
      <c r="R17" s="1150"/>
      <c r="S17" s="1170"/>
      <c r="T17" s="286"/>
      <c r="U17" s="1160">
        <v>132</v>
      </c>
      <c r="V17" s="1137"/>
      <c r="W17" s="1137"/>
      <c r="X17" s="1157"/>
      <c r="Y17" s="1158" t="s">
        <v>45</v>
      </c>
      <c r="Z17" s="1180"/>
      <c r="AA17" s="1204"/>
      <c r="AB17" s="1170"/>
      <c r="AC17" s="286"/>
      <c r="AD17" s="1160"/>
      <c r="AE17" s="1137"/>
      <c r="AF17" s="1137"/>
      <c r="AG17" s="1287"/>
      <c r="AH17" s="1282"/>
      <c r="AI17" s="1282"/>
      <c r="AJ17" s="1283"/>
      <c r="AK17" s="1283"/>
      <c r="AL17" s="1153"/>
      <c r="AM17" s="1160"/>
      <c r="AN17" s="1137"/>
      <c r="AO17" s="1192">
        <v>10</v>
      </c>
      <c r="AP17" s="1295"/>
      <c r="AQ17" s="1282"/>
      <c r="AR17" s="1283"/>
      <c r="AS17" s="1290" t="s">
        <v>388</v>
      </c>
      <c r="AT17" s="1283"/>
    </row>
    <row r="18" spans="1:46" ht="29.25" customHeight="1" x14ac:dyDescent="0.45">
      <c r="A18" s="1352"/>
      <c r="B18" s="692">
        <v>2</v>
      </c>
      <c r="C18" s="1155"/>
      <c r="D18" s="1156"/>
      <c r="E18" s="1156"/>
      <c r="F18" s="1157"/>
      <c r="G18" s="1209"/>
      <c r="H18" s="1275"/>
      <c r="I18" s="1220"/>
      <c r="J18" s="1221"/>
      <c r="K18" s="286"/>
      <c r="L18" s="1160">
        <v>19</v>
      </c>
      <c r="M18" s="1137"/>
      <c r="N18" s="1137"/>
      <c r="O18" s="1157"/>
      <c r="P18" s="1158" t="s">
        <v>1082</v>
      </c>
      <c r="Q18" s="1150"/>
      <c r="R18" s="1141"/>
      <c r="S18" s="1170"/>
      <c r="T18" s="286"/>
      <c r="U18" s="1160">
        <v>27</v>
      </c>
      <c r="V18" s="1137"/>
      <c r="W18" s="1156">
        <v>13</v>
      </c>
      <c r="X18" s="1157"/>
      <c r="Y18" s="1158" t="s">
        <v>1082</v>
      </c>
      <c r="Z18" s="1150"/>
      <c r="AA18" s="1165" t="s">
        <v>388</v>
      </c>
      <c r="AB18" s="1170"/>
      <c r="AC18" s="286"/>
      <c r="AD18" s="1160"/>
      <c r="AE18" s="1137"/>
      <c r="AF18" s="1137"/>
      <c r="AG18" s="1287"/>
      <c r="AH18" s="1283"/>
      <c r="AI18" s="1283"/>
      <c r="AJ18" s="1282"/>
      <c r="AK18" s="1170"/>
      <c r="AL18" s="1153"/>
      <c r="AM18" s="1160"/>
      <c r="AN18" s="1137"/>
      <c r="AO18" s="1192"/>
      <c r="AP18" s="1294"/>
      <c r="AQ18" s="1283"/>
      <c r="AR18" s="1277"/>
      <c r="AS18" s="1277"/>
      <c r="AT18" s="1283"/>
    </row>
    <row r="19" spans="1:46" ht="30" customHeight="1" x14ac:dyDescent="0.45">
      <c r="A19" s="1351">
        <v>46031</v>
      </c>
      <c r="B19" s="692">
        <v>1</v>
      </c>
      <c r="C19" s="286"/>
      <c r="D19" s="1156"/>
      <c r="E19" s="1156"/>
      <c r="F19" s="1157"/>
      <c r="G19" s="1205"/>
      <c r="H19" s="1137"/>
      <c r="I19" s="1164"/>
      <c r="J19" s="1170"/>
      <c r="K19" s="286"/>
      <c r="L19" s="1160"/>
      <c r="M19" s="1137"/>
      <c r="N19" s="1137"/>
      <c r="O19" s="1157"/>
      <c r="P19" s="1160"/>
      <c r="Q19" s="1137"/>
      <c r="R19" s="1137"/>
      <c r="S19" s="1170"/>
      <c r="T19" s="286"/>
      <c r="U19" s="1160"/>
      <c r="V19" s="1137"/>
      <c r="W19" s="1137">
        <v>10</v>
      </c>
      <c r="X19" s="1157"/>
      <c r="Y19" s="1160"/>
      <c r="Z19" s="1152"/>
      <c r="AA19" s="1204" t="s">
        <v>152</v>
      </c>
      <c r="AB19" s="1170"/>
      <c r="AC19" s="286"/>
      <c r="AD19" s="1160"/>
      <c r="AE19" s="1137"/>
      <c r="AF19" s="1137"/>
      <c r="AG19" s="1287"/>
      <c r="AH19" s="1289"/>
      <c r="AI19" s="1289"/>
      <c r="AJ19" s="1290"/>
      <c r="AK19" s="1283"/>
      <c r="AL19" s="1153"/>
      <c r="AM19" s="1160"/>
      <c r="AN19" s="1137"/>
      <c r="AO19" s="1137"/>
      <c r="AP19" s="1287"/>
      <c r="AQ19" s="1289"/>
      <c r="AR19" s="1289"/>
      <c r="AS19" s="1283"/>
      <c r="AT19" s="1283"/>
    </row>
    <row r="20" spans="1:46" ht="30.75" customHeight="1" x14ac:dyDescent="0.45">
      <c r="A20" s="1352"/>
      <c r="B20" s="692">
        <v>2</v>
      </c>
      <c r="C20" s="1155">
        <v>127</v>
      </c>
      <c r="D20" s="1156"/>
      <c r="E20" s="1156"/>
      <c r="F20" s="1157"/>
      <c r="G20" s="1205" t="s">
        <v>45</v>
      </c>
      <c r="H20" s="1152"/>
      <c r="I20" s="1164"/>
      <c r="J20" s="1170"/>
      <c r="K20" s="286"/>
      <c r="L20" s="1160"/>
      <c r="M20" s="1137"/>
      <c r="N20" s="1137"/>
      <c r="O20" s="1157"/>
      <c r="P20" s="1205"/>
      <c r="Q20" s="1152"/>
      <c r="R20" s="1141"/>
      <c r="S20" s="1170"/>
      <c r="T20" s="286"/>
      <c r="U20" s="1160"/>
      <c r="V20" s="1137"/>
      <c r="W20" s="1137"/>
      <c r="X20" s="1157"/>
      <c r="Y20" s="1205"/>
      <c r="Z20" s="1152"/>
      <c r="AA20" s="1150"/>
      <c r="AB20" s="1170"/>
      <c r="AC20" s="286"/>
      <c r="AD20" s="1160"/>
      <c r="AE20" s="1137"/>
      <c r="AF20" s="1137"/>
      <c r="AG20" s="1287"/>
      <c r="AH20" s="1290"/>
      <c r="AI20" s="1290"/>
      <c r="AJ20" s="1278"/>
      <c r="AK20" s="1283"/>
      <c r="AL20" s="1153"/>
      <c r="AM20" s="1160"/>
      <c r="AN20" s="1137"/>
      <c r="AO20" s="1137"/>
      <c r="AP20" s="1287"/>
      <c r="AQ20" s="1290"/>
      <c r="AR20" s="1290"/>
      <c r="AS20" s="1278"/>
      <c r="AT20" s="1283"/>
    </row>
    <row r="21" spans="1:46" ht="37.5" customHeight="1" x14ac:dyDescent="0.45">
      <c r="A21" s="1351">
        <v>46032</v>
      </c>
      <c r="B21" s="692">
        <v>1</v>
      </c>
      <c r="C21" s="1155">
        <v>32</v>
      </c>
      <c r="D21" s="1156"/>
      <c r="E21" s="1156"/>
      <c r="F21" s="1157"/>
      <c r="G21" s="1210" t="s">
        <v>1180</v>
      </c>
      <c r="H21" s="1140"/>
      <c r="I21" s="1164"/>
      <c r="J21" s="1211"/>
      <c r="K21" s="286"/>
      <c r="L21" s="1160"/>
      <c r="M21" s="1137"/>
      <c r="N21" s="1137"/>
      <c r="O21" s="1157"/>
      <c r="P21" s="1160"/>
      <c r="Q21" s="1152"/>
      <c r="R21" s="1137"/>
      <c r="S21" s="1211"/>
      <c r="T21" s="286"/>
      <c r="U21" s="1160"/>
      <c r="V21" s="1137"/>
      <c r="W21" s="1137">
        <v>31</v>
      </c>
      <c r="X21" s="1157"/>
      <c r="Y21" s="1205"/>
      <c r="Z21" s="1137"/>
      <c r="AA21" s="1204" t="s">
        <v>388</v>
      </c>
      <c r="AB21" s="1211"/>
      <c r="AC21" s="286"/>
      <c r="AD21" s="1160"/>
      <c r="AE21" s="1137"/>
      <c r="AF21" s="1137">
        <v>11</v>
      </c>
      <c r="AG21" s="1287"/>
      <c r="AH21" s="1289"/>
      <c r="AI21" s="1289"/>
      <c r="AJ21" s="1290" t="s">
        <v>388</v>
      </c>
      <c r="AK21" s="1293"/>
      <c r="AL21" s="1153"/>
      <c r="AM21" s="1160"/>
      <c r="AN21" s="1137"/>
      <c r="AO21" s="1137"/>
      <c r="AP21" s="1287"/>
      <c r="AQ21" s="1289"/>
      <c r="AR21" s="1290"/>
      <c r="AS21" s="1290"/>
      <c r="AT21" s="1283"/>
    </row>
    <row r="22" spans="1:46" ht="30.75" customHeight="1" x14ac:dyDescent="0.45">
      <c r="A22" s="1352"/>
      <c r="B22" s="692">
        <v>2</v>
      </c>
      <c r="C22" s="1155"/>
      <c r="D22" s="1156"/>
      <c r="E22" s="1156"/>
      <c r="F22" s="1157"/>
      <c r="G22" s="1209"/>
      <c r="H22" s="1150"/>
      <c r="I22" s="1141"/>
      <c r="J22" s="1170"/>
      <c r="K22" s="286"/>
      <c r="L22" s="1160">
        <v>196</v>
      </c>
      <c r="M22" s="1137"/>
      <c r="N22" s="1137"/>
      <c r="O22" s="1157"/>
      <c r="P22" s="1149" t="s">
        <v>113</v>
      </c>
      <c r="Q22" s="1150"/>
      <c r="R22" s="1137"/>
      <c r="S22" s="1170"/>
      <c r="T22" s="286"/>
      <c r="U22" s="1160"/>
      <c r="V22" s="1137"/>
      <c r="W22" s="1137"/>
      <c r="X22" s="1157"/>
      <c r="Y22" s="1205"/>
      <c r="Z22" s="1150"/>
      <c r="AA22" s="1165"/>
      <c r="AB22" s="1170"/>
      <c r="AC22" s="286"/>
      <c r="AD22" s="1160"/>
      <c r="AE22" s="1137"/>
      <c r="AF22" s="1137"/>
      <c r="AG22" s="1287"/>
      <c r="AH22" s="1289"/>
      <c r="AI22" s="1289"/>
      <c r="AJ22" s="1283"/>
      <c r="AK22" s="1283"/>
      <c r="AL22" s="1153"/>
      <c r="AM22" s="1160"/>
      <c r="AN22" s="1137"/>
      <c r="AO22" s="1137"/>
      <c r="AP22" s="1287"/>
      <c r="AQ22" s="1289"/>
      <c r="AR22" s="1283"/>
      <c r="AS22" s="1289"/>
      <c r="AT22" s="1283"/>
    </row>
    <row r="23" spans="1:46" ht="29.25" customHeight="1" x14ac:dyDescent="0.45">
      <c r="A23" s="1351">
        <v>46033</v>
      </c>
      <c r="B23" s="717">
        <v>1</v>
      </c>
      <c r="C23" s="1155"/>
      <c r="D23" s="1156"/>
      <c r="E23" s="1156"/>
      <c r="F23" s="1157"/>
      <c r="G23" s="1209"/>
      <c r="H23" s="1140"/>
      <c r="I23" s="1164"/>
      <c r="J23" s="1170"/>
      <c r="K23" s="286"/>
      <c r="L23" s="1160"/>
      <c r="M23" s="1137"/>
      <c r="N23" s="1137"/>
      <c r="O23" s="1157"/>
      <c r="P23" s="1139"/>
      <c r="Q23" s="1140"/>
      <c r="R23" s="1150"/>
      <c r="S23" s="1170"/>
      <c r="T23" s="286"/>
      <c r="U23" s="1160"/>
      <c r="V23" s="1137"/>
      <c r="W23" s="1137"/>
      <c r="X23" s="1157"/>
      <c r="Y23" s="1205"/>
      <c r="Z23" s="1141"/>
      <c r="AA23" s="1204"/>
      <c r="AB23" s="1170"/>
      <c r="AC23" s="286"/>
      <c r="AD23" s="1160"/>
      <c r="AE23" s="1137"/>
      <c r="AF23" s="1128"/>
      <c r="AG23" s="1287"/>
      <c r="AH23" s="1289"/>
      <c r="AI23" s="1282"/>
      <c r="AJ23" s="1282"/>
      <c r="AK23" s="1283"/>
      <c r="AL23" s="1153"/>
      <c r="AM23" s="1160"/>
      <c r="AN23" s="1137"/>
      <c r="AO23" s="1137"/>
      <c r="AP23" s="1287"/>
      <c r="AQ23" s="1289"/>
      <c r="AR23" s="1290"/>
      <c r="AS23" s="1283"/>
      <c r="AT23" s="1283"/>
    </row>
    <row r="24" spans="1:46" ht="29.25" customHeight="1" x14ac:dyDescent="0.45">
      <c r="A24" s="1352"/>
      <c r="B24" s="692">
        <v>2</v>
      </c>
      <c r="C24" s="1155"/>
      <c r="D24" s="1156"/>
      <c r="E24" s="1156"/>
      <c r="F24" s="1157"/>
      <c r="G24" s="1209"/>
      <c r="H24" s="1150"/>
      <c r="I24" s="1164"/>
      <c r="J24" s="1170"/>
      <c r="K24" s="286"/>
      <c r="L24" s="1160"/>
      <c r="M24" s="1137"/>
      <c r="N24" s="1137"/>
      <c r="O24" s="1157"/>
      <c r="P24" s="1139"/>
      <c r="Q24" s="1140"/>
      <c r="R24" s="1150"/>
      <c r="S24" s="1170"/>
      <c r="T24" s="1206"/>
      <c r="U24" s="1128"/>
      <c r="V24" s="1207">
        <v>218</v>
      </c>
      <c r="W24" s="1204" t="s">
        <v>1114</v>
      </c>
      <c r="X24" s="1157"/>
      <c r="Y24" s="1141"/>
      <c r="Z24" s="1140" t="s">
        <v>1182</v>
      </c>
      <c r="AA24" s="1204" t="s">
        <v>152</v>
      </c>
      <c r="AB24" s="1170"/>
      <c r="AC24" s="286"/>
      <c r="AD24" s="1160"/>
      <c r="AE24" s="1137"/>
      <c r="AF24" s="1128">
        <v>9</v>
      </c>
      <c r="AG24" s="1287"/>
      <c r="AH24" s="1278"/>
      <c r="AI24" s="1282"/>
      <c r="AJ24" s="1283" t="s">
        <v>152</v>
      </c>
      <c r="AK24" s="1283"/>
      <c r="AL24" s="1153"/>
      <c r="AM24" s="1160"/>
      <c r="AN24" s="1137"/>
      <c r="AO24" s="1137">
        <v>10</v>
      </c>
      <c r="AP24" s="1287"/>
      <c r="AQ24" s="1282"/>
      <c r="AR24" s="1290"/>
      <c r="AS24" s="1283" t="s">
        <v>152</v>
      </c>
      <c r="AT24" s="1283"/>
    </row>
    <row r="25" spans="1:46" ht="30" customHeight="1" x14ac:dyDescent="0.45">
      <c r="A25" s="1351">
        <v>46034</v>
      </c>
      <c r="B25" s="692">
        <v>1</v>
      </c>
      <c r="C25" s="1155"/>
      <c r="D25" s="1156">
        <v>12</v>
      </c>
      <c r="E25" s="1156"/>
      <c r="F25" s="1157"/>
      <c r="G25" s="1139"/>
      <c r="H25" s="1137" t="s">
        <v>1175</v>
      </c>
      <c r="I25" s="1164"/>
      <c r="J25" s="1170"/>
      <c r="K25" s="286"/>
      <c r="L25" s="1160"/>
      <c r="M25" s="1137"/>
      <c r="N25" s="1137"/>
      <c r="O25" s="1157"/>
      <c r="P25" s="1160"/>
      <c r="Q25" s="1140"/>
      <c r="R25" s="1137"/>
      <c r="S25" s="1170"/>
      <c r="T25" s="286"/>
      <c r="U25" s="1160"/>
      <c r="V25" s="1137"/>
      <c r="W25" s="1137"/>
      <c r="X25" s="1157"/>
      <c r="Y25" s="1205"/>
      <c r="Z25" s="1152"/>
      <c r="AA25" s="1204"/>
      <c r="AB25" s="1170"/>
      <c r="AC25" s="286"/>
      <c r="AD25" s="1160"/>
      <c r="AE25" s="1137"/>
      <c r="AF25" s="1137"/>
      <c r="AG25" s="1287"/>
      <c r="AH25" s="1289"/>
      <c r="AI25" s="1290"/>
      <c r="AJ25" s="1283"/>
      <c r="AK25" s="1283"/>
      <c r="AL25" s="1153"/>
      <c r="AM25" s="1160"/>
      <c r="AN25" s="1137"/>
      <c r="AO25" s="1137"/>
      <c r="AP25" s="1287"/>
      <c r="AQ25" s="1289"/>
      <c r="AR25" s="1290"/>
      <c r="AS25" s="1283"/>
      <c r="AT25" s="1283"/>
    </row>
    <row r="26" spans="1:46" ht="30" customHeight="1" x14ac:dyDescent="0.45">
      <c r="A26" s="1352"/>
      <c r="B26" s="692">
        <v>2</v>
      </c>
      <c r="C26" s="1155"/>
      <c r="D26" s="1156"/>
      <c r="E26" s="1156">
        <v>7</v>
      </c>
      <c r="F26" s="1157"/>
      <c r="G26" s="1139"/>
      <c r="H26" s="1150"/>
      <c r="I26" s="1164" t="s">
        <v>152</v>
      </c>
      <c r="J26" s="1170"/>
      <c r="K26" s="286"/>
      <c r="L26" s="1160"/>
      <c r="M26" s="1137"/>
      <c r="N26" s="1137"/>
      <c r="O26" s="1157"/>
      <c r="P26" s="1139"/>
      <c r="Q26" s="1150"/>
      <c r="R26" s="1176"/>
      <c r="S26" s="1170"/>
      <c r="T26" s="286"/>
      <c r="U26" s="1160"/>
      <c r="V26" s="1156">
        <v>26</v>
      </c>
      <c r="W26" s="1137"/>
      <c r="X26" s="1157"/>
      <c r="Y26" s="1141"/>
      <c r="Z26" s="1150"/>
      <c r="AA26" s="1204" t="s">
        <v>152</v>
      </c>
      <c r="AB26" s="1170"/>
      <c r="AC26" s="286"/>
      <c r="AD26" s="1160">
        <v>315</v>
      </c>
      <c r="AE26" s="1156">
        <v>183</v>
      </c>
      <c r="AF26" s="1137"/>
      <c r="AG26" s="1287"/>
      <c r="AH26" s="1278" t="s">
        <v>1183</v>
      </c>
      <c r="AI26" s="1283" t="s">
        <v>1184</v>
      </c>
      <c r="AJ26" s="1283"/>
      <c r="AK26" s="1283"/>
      <c r="AL26" s="1153"/>
      <c r="AM26" s="1160"/>
      <c r="AN26" s="1156"/>
      <c r="AO26" s="1137"/>
      <c r="AP26" s="1287"/>
      <c r="AQ26" s="1282"/>
      <c r="AR26" s="1283"/>
      <c r="AS26" s="1283"/>
      <c r="AT26" s="1283"/>
    </row>
    <row r="27" spans="1:46" ht="29.25" customHeight="1" x14ac:dyDescent="0.45">
      <c r="A27" s="1351">
        <v>46035</v>
      </c>
      <c r="B27" s="717">
        <v>1</v>
      </c>
      <c r="C27" s="1155"/>
      <c r="D27" s="1156"/>
      <c r="E27" s="1156"/>
      <c r="F27" s="1157"/>
      <c r="G27" s="1139"/>
      <c r="H27" s="1140"/>
      <c r="I27" s="1164"/>
      <c r="J27" s="1170"/>
      <c r="K27" s="286"/>
      <c r="L27" s="1160"/>
      <c r="M27" s="1137"/>
      <c r="N27" s="1137"/>
      <c r="O27" s="1157"/>
      <c r="P27" s="1139"/>
      <c r="Q27" s="1140"/>
      <c r="R27" s="1150"/>
      <c r="S27" s="1170"/>
      <c r="T27" s="286"/>
      <c r="U27" s="1160"/>
      <c r="V27" s="1137"/>
      <c r="W27" s="1137"/>
      <c r="X27" s="1157"/>
      <c r="Y27" s="1139"/>
      <c r="Z27" s="1150"/>
      <c r="AA27" s="1204"/>
      <c r="AB27" s="1170"/>
      <c r="AC27" s="286"/>
      <c r="AD27" s="1160"/>
      <c r="AE27" s="1137"/>
      <c r="AF27" s="1137"/>
      <c r="AG27" s="1287"/>
      <c r="AH27" s="1282"/>
      <c r="AI27" s="1290"/>
      <c r="AJ27" s="1283"/>
      <c r="AK27" s="1283"/>
      <c r="AL27" s="1153"/>
      <c r="AM27" s="1160"/>
      <c r="AN27" s="1137"/>
      <c r="AO27" s="1137"/>
      <c r="AP27" s="1287"/>
      <c r="AQ27" s="1290"/>
      <c r="AR27" s="1289"/>
      <c r="AS27" s="1283"/>
      <c r="AT27" s="1283"/>
    </row>
    <row r="28" spans="1:46" ht="30" customHeight="1" x14ac:dyDescent="0.45">
      <c r="A28" s="1352"/>
      <c r="B28" s="692">
        <v>2</v>
      </c>
      <c r="C28" s="1155"/>
      <c r="D28" s="1156"/>
      <c r="E28" s="1156"/>
      <c r="F28" s="1157"/>
      <c r="G28" s="1150"/>
      <c r="H28" s="1150"/>
      <c r="I28" s="1176"/>
      <c r="J28" s="1170"/>
      <c r="K28" s="286"/>
      <c r="L28" s="1160"/>
      <c r="M28" s="1137"/>
      <c r="N28" s="1137"/>
      <c r="O28" s="1157"/>
      <c r="P28" s="1150"/>
      <c r="Q28" s="1150"/>
      <c r="R28" s="1150"/>
      <c r="S28" s="1170"/>
      <c r="T28" s="286"/>
      <c r="U28" s="1160"/>
      <c r="V28" s="1137">
        <v>180</v>
      </c>
      <c r="W28" s="286"/>
      <c r="X28" s="1157"/>
      <c r="Y28" s="1150"/>
      <c r="Z28" s="1137" t="s">
        <v>1182</v>
      </c>
      <c r="AA28" s="1204"/>
      <c r="AB28" s="1170"/>
      <c r="AC28" s="286"/>
      <c r="AD28" s="1160"/>
      <c r="AE28" s="1137"/>
      <c r="AF28" s="1137"/>
      <c r="AG28" s="1287"/>
      <c r="AH28" s="1282"/>
      <c r="AI28" s="1290"/>
      <c r="AJ28" s="1290"/>
      <c r="AK28" s="1283"/>
      <c r="AL28" s="1153"/>
      <c r="AM28" s="1160">
        <v>29</v>
      </c>
      <c r="AN28" s="1137"/>
      <c r="AO28" s="1137"/>
      <c r="AP28" s="1287"/>
      <c r="AQ28" s="1290" t="s">
        <v>1093</v>
      </c>
      <c r="AR28" s="1289"/>
      <c r="AS28" s="1283"/>
      <c r="AT28" s="1283"/>
    </row>
    <row r="29" spans="1:46" ht="30" customHeight="1" x14ac:dyDescent="0.45">
      <c r="A29" s="1351">
        <v>46036</v>
      </c>
      <c r="B29" s="692">
        <v>1</v>
      </c>
      <c r="C29" s="1155"/>
      <c r="D29" s="1156"/>
      <c r="E29" s="1156"/>
      <c r="F29" s="1157"/>
      <c r="G29" s="1150"/>
      <c r="H29" s="1140"/>
      <c r="I29" s="1176"/>
      <c r="J29" s="1170"/>
      <c r="K29" s="286"/>
      <c r="L29" s="1160"/>
      <c r="M29" s="1137"/>
      <c r="N29" s="1137"/>
      <c r="O29" s="1157"/>
      <c r="P29" s="1139"/>
      <c r="Q29" s="1150"/>
      <c r="R29" s="1150"/>
      <c r="S29" s="1170"/>
      <c r="T29" s="286"/>
      <c r="U29" s="1160"/>
      <c r="V29" s="1137"/>
      <c r="W29" s="1137"/>
      <c r="X29" s="1157"/>
      <c r="Y29" s="1150"/>
      <c r="Z29" s="1140"/>
      <c r="AA29" s="1165"/>
      <c r="AB29" s="1170"/>
      <c r="AC29" s="286"/>
      <c r="AD29" s="1160"/>
      <c r="AE29" s="1137"/>
      <c r="AF29" s="1137">
        <v>15</v>
      </c>
      <c r="AG29" s="1287"/>
      <c r="AH29" s="1282"/>
      <c r="AI29" s="1282"/>
      <c r="AJ29" s="1289" t="s">
        <v>388</v>
      </c>
      <c r="AK29" s="1283"/>
      <c r="AL29" s="1153"/>
      <c r="AM29" s="1160"/>
      <c r="AN29" s="1137"/>
      <c r="AO29" s="1137"/>
      <c r="AP29" s="1287"/>
      <c r="AQ29" s="1290"/>
      <c r="AR29" s="1282"/>
      <c r="AS29" s="1289"/>
      <c r="AT29" s="1283"/>
    </row>
    <row r="30" spans="1:46" ht="29.25" customHeight="1" x14ac:dyDescent="0.45">
      <c r="A30" s="1352"/>
      <c r="B30" s="717">
        <v>2</v>
      </c>
      <c r="C30" s="1155"/>
      <c r="D30" s="1156"/>
      <c r="E30" s="1156"/>
      <c r="F30" s="1157"/>
      <c r="G30" s="1150"/>
      <c r="H30" s="1140"/>
      <c r="I30" s="1165"/>
      <c r="J30" s="1252"/>
      <c r="K30" s="286"/>
      <c r="L30" s="1160"/>
      <c r="M30" s="1137"/>
      <c r="N30" s="1137"/>
      <c r="O30" s="1157"/>
      <c r="P30" s="1139"/>
      <c r="Q30" s="1150"/>
      <c r="R30" s="1150"/>
      <c r="S30" s="1252"/>
      <c r="T30" s="286"/>
      <c r="U30" s="1160"/>
      <c r="V30" s="1137"/>
      <c r="W30" s="1137">
        <v>10</v>
      </c>
      <c r="X30" s="1157"/>
      <c r="Y30" s="1340"/>
      <c r="Z30" s="1341"/>
      <c r="AA30" s="1204" t="s">
        <v>152</v>
      </c>
      <c r="AB30" s="1252"/>
      <c r="AC30" s="286"/>
      <c r="AD30" s="1160"/>
      <c r="AE30" s="1137"/>
      <c r="AF30" s="1137"/>
      <c r="AG30" s="1287"/>
      <c r="AH30" s="1282"/>
      <c r="AI30" s="1283"/>
      <c r="AJ30" s="1289"/>
      <c r="AK30" s="1343"/>
      <c r="AL30" s="1153"/>
      <c r="AM30" s="1160"/>
      <c r="AN30" s="1137"/>
      <c r="AO30" s="1137"/>
      <c r="AP30" s="1287"/>
      <c r="AQ30" s="1290"/>
      <c r="AR30" s="1282"/>
      <c r="AS30" s="1289"/>
      <c r="AT30" s="1344"/>
    </row>
    <row r="31" spans="1:46" ht="30.75" customHeight="1" x14ac:dyDescent="0.45">
      <c r="A31" s="1351">
        <v>46037</v>
      </c>
      <c r="B31" s="692">
        <v>1</v>
      </c>
      <c r="C31" s="1155"/>
      <c r="D31" s="1156"/>
      <c r="E31" s="1156">
        <v>15</v>
      </c>
      <c r="F31" s="1157"/>
      <c r="G31" s="1139"/>
      <c r="H31" s="1171"/>
      <c r="I31" s="1241" t="s">
        <v>152</v>
      </c>
      <c r="J31" s="1170"/>
      <c r="K31" s="286"/>
      <c r="L31" s="1160"/>
      <c r="M31" s="1137"/>
      <c r="N31" s="1137"/>
      <c r="O31" s="1157"/>
      <c r="P31" s="1128"/>
      <c r="Q31" s="1137"/>
      <c r="R31" s="1137"/>
      <c r="S31" s="1170"/>
      <c r="T31" s="286"/>
      <c r="U31" s="1160"/>
      <c r="V31" s="1137"/>
      <c r="W31" s="1137">
        <v>14</v>
      </c>
      <c r="X31" s="1157"/>
      <c r="Y31" s="1172"/>
      <c r="Z31" s="1242"/>
      <c r="AA31" s="1204" t="s">
        <v>152</v>
      </c>
      <c r="AB31" s="1179"/>
      <c r="AC31" s="286"/>
      <c r="AD31" s="1160"/>
      <c r="AE31" s="1137"/>
      <c r="AF31" s="1137"/>
      <c r="AG31" s="1287"/>
      <c r="AH31" s="1282"/>
      <c r="AI31" s="1289"/>
      <c r="AJ31" s="1289"/>
      <c r="AK31" s="1283"/>
      <c r="AL31" s="1153"/>
      <c r="AM31" s="1160"/>
      <c r="AN31" s="1137"/>
      <c r="AO31" s="1137"/>
      <c r="AP31" s="1287"/>
      <c r="AQ31" s="1289"/>
      <c r="AR31" s="1282"/>
      <c r="AS31" s="1289"/>
      <c r="AT31" s="1290"/>
    </row>
    <row r="32" spans="1:46" ht="29.25" customHeight="1" x14ac:dyDescent="0.45">
      <c r="A32" s="1352"/>
      <c r="B32" s="692">
        <v>2</v>
      </c>
      <c r="C32" s="1245"/>
      <c r="D32" s="1183"/>
      <c r="E32" s="1156">
        <v>20</v>
      </c>
      <c r="F32" s="1183"/>
      <c r="G32" s="1139"/>
      <c r="H32" s="1171"/>
      <c r="I32" s="1241" t="s">
        <v>1121</v>
      </c>
      <c r="J32" s="1170"/>
      <c r="K32" s="286"/>
      <c r="L32" s="1160"/>
      <c r="M32" s="1137"/>
      <c r="N32" s="1137"/>
      <c r="O32" s="1137"/>
      <c r="P32" s="1128"/>
      <c r="Q32" s="1171"/>
      <c r="R32" s="1128"/>
      <c r="S32" s="1170"/>
      <c r="T32" s="286"/>
      <c r="U32" s="1160"/>
      <c r="V32" s="1137"/>
      <c r="W32" s="1156">
        <v>43</v>
      </c>
      <c r="X32" s="1137"/>
      <c r="Y32" s="1237"/>
      <c r="Z32" s="1246"/>
      <c r="AA32" s="1243" t="s">
        <v>1132</v>
      </c>
      <c r="AB32" s="1179"/>
      <c r="AC32" s="286"/>
      <c r="AD32" s="1160"/>
      <c r="AE32" s="1137"/>
      <c r="AF32" s="1156"/>
      <c r="AG32" s="1203"/>
      <c r="AH32" s="1282"/>
      <c r="AI32" s="1283"/>
      <c r="AJ32" s="1290"/>
      <c r="AK32" s="1283"/>
      <c r="AL32" s="1153"/>
      <c r="AM32" s="1160"/>
      <c r="AN32" s="1137"/>
      <c r="AO32" s="1137">
        <v>35</v>
      </c>
      <c r="AP32" s="1287"/>
      <c r="AQ32" s="1289"/>
      <c r="AR32" s="1282"/>
      <c r="AS32" s="1283" t="s">
        <v>388</v>
      </c>
      <c r="AT32" s="1290"/>
    </row>
    <row r="33" spans="1:47" ht="29.25" customHeight="1" x14ac:dyDescent="0.45">
      <c r="A33" s="1351">
        <v>46038</v>
      </c>
      <c r="B33" s="692">
        <v>1</v>
      </c>
      <c r="C33" s="1155"/>
      <c r="D33" s="1156"/>
      <c r="E33" s="1156">
        <v>63</v>
      </c>
      <c r="F33" s="1157"/>
      <c r="G33" s="1139"/>
      <c r="H33" s="1171"/>
      <c r="I33" s="1241" t="s">
        <v>1121</v>
      </c>
      <c r="J33" s="1170"/>
      <c r="K33" s="286"/>
      <c r="L33" s="1160"/>
      <c r="M33" s="1137"/>
      <c r="N33" s="1137"/>
      <c r="O33" s="1157"/>
      <c r="P33" s="1128"/>
      <c r="Q33" s="1137"/>
      <c r="R33" s="1137"/>
      <c r="S33" s="1170"/>
      <c r="T33" s="286"/>
      <c r="U33" s="1160"/>
      <c r="V33" s="1137"/>
      <c r="W33" s="1137">
        <v>26</v>
      </c>
      <c r="X33" s="1157"/>
      <c r="Y33" s="1128"/>
      <c r="Z33" s="1161"/>
      <c r="AA33" s="1243" t="s">
        <v>388</v>
      </c>
      <c r="AB33" s="1170"/>
      <c r="AC33" s="286"/>
      <c r="AD33" s="1160"/>
      <c r="AE33" s="1137"/>
      <c r="AF33" s="1137"/>
      <c r="AG33" s="1287"/>
      <c r="AH33" s="1289"/>
      <c r="AI33" s="1290"/>
      <c r="AJ33" s="1290"/>
      <c r="AK33" s="1283"/>
      <c r="AL33" s="1153"/>
      <c r="AM33" s="1160"/>
      <c r="AN33" s="1137"/>
      <c r="AO33" s="1137"/>
      <c r="AP33" s="1287"/>
      <c r="AQ33" s="1289"/>
      <c r="AR33" s="1290"/>
      <c r="AS33" s="1289"/>
      <c r="AT33" s="1290"/>
    </row>
    <row r="34" spans="1:47" ht="30" customHeight="1" x14ac:dyDescent="0.45">
      <c r="A34" s="1352"/>
      <c r="B34" s="717">
        <v>2</v>
      </c>
      <c r="C34" s="1156"/>
      <c r="D34" s="1156"/>
      <c r="E34" s="1156">
        <v>20</v>
      </c>
      <c r="F34" s="1157"/>
      <c r="G34" s="1158"/>
      <c r="H34" s="1150"/>
      <c r="I34" s="1165" t="s">
        <v>1081</v>
      </c>
      <c r="J34" s="1170"/>
      <c r="K34" s="286"/>
      <c r="L34" s="1160"/>
      <c r="M34" s="1137"/>
      <c r="N34" s="1137"/>
      <c r="O34" s="1157"/>
      <c r="P34" s="1128"/>
      <c r="Q34" s="1150"/>
      <c r="R34" s="1137"/>
      <c r="S34" s="1170"/>
      <c r="T34" s="286"/>
      <c r="U34" s="1160"/>
      <c r="V34" s="1137"/>
      <c r="W34" s="1137">
        <v>10</v>
      </c>
      <c r="X34" s="1157"/>
      <c r="Y34" s="1152"/>
      <c r="Z34" s="1152"/>
      <c r="AA34" s="1165" t="s">
        <v>152</v>
      </c>
      <c r="AB34" s="1170"/>
      <c r="AC34" s="286"/>
      <c r="AD34" s="1160"/>
      <c r="AE34" s="1137"/>
      <c r="AF34" s="1137"/>
      <c r="AG34" s="1287"/>
      <c r="AH34" s="1289"/>
      <c r="AI34" s="1289"/>
      <c r="AJ34" s="1290"/>
      <c r="AK34" s="1283"/>
      <c r="AL34" s="1153"/>
      <c r="AM34" s="1160"/>
      <c r="AN34" s="1137"/>
      <c r="AO34" s="1137"/>
      <c r="AP34" s="1287"/>
      <c r="AQ34" s="1289"/>
      <c r="AR34" s="1290"/>
      <c r="AS34" s="1290"/>
      <c r="AT34" s="1290"/>
    </row>
    <row r="35" spans="1:47" ht="29.25" customHeight="1" x14ac:dyDescent="0.45">
      <c r="A35" s="1351">
        <v>46039</v>
      </c>
      <c r="B35" s="692">
        <v>1</v>
      </c>
      <c r="C35" s="1156"/>
      <c r="D35" s="1156"/>
      <c r="E35" s="1203"/>
      <c r="F35" s="1157"/>
      <c r="G35" s="1205"/>
      <c r="H35" s="1128"/>
      <c r="I35" s="1165"/>
      <c r="J35" s="1170"/>
      <c r="K35" s="286"/>
      <c r="L35" s="1160"/>
      <c r="M35" s="1137"/>
      <c r="N35" s="1137"/>
      <c r="O35" s="1157"/>
      <c r="P35" s="1205"/>
      <c r="Q35" s="1150"/>
      <c r="R35" s="1150"/>
      <c r="S35" s="1170"/>
      <c r="T35" s="286"/>
      <c r="U35" s="1160"/>
      <c r="V35" s="1137"/>
      <c r="W35" s="1203"/>
      <c r="X35" s="1157"/>
      <c r="Y35" s="1205"/>
      <c r="Z35" s="1152"/>
      <c r="AA35" s="1165"/>
      <c r="AB35" s="1170"/>
      <c r="AC35" s="286"/>
      <c r="AD35" s="1160"/>
      <c r="AE35" s="1137"/>
      <c r="AF35" s="1137">
        <v>48</v>
      </c>
      <c r="AG35" s="1287"/>
      <c r="AH35" s="1290"/>
      <c r="AI35" s="1289"/>
      <c r="AJ35" s="1283" t="s">
        <v>152</v>
      </c>
      <c r="AK35" s="1283"/>
      <c r="AL35" s="1153"/>
      <c r="AM35" s="1160"/>
      <c r="AN35" s="1137"/>
      <c r="AO35" s="1137"/>
      <c r="AP35" s="1287"/>
      <c r="AQ35" s="1289"/>
      <c r="AR35" s="1290"/>
      <c r="AS35" s="1290"/>
      <c r="AT35" s="1283"/>
    </row>
    <row r="36" spans="1:47" ht="46.95" customHeight="1" x14ac:dyDescent="0.45">
      <c r="A36" s="1352"/>
      <c r="B36" s="692">
        <v>2</v>
      </c>
      <c r="C36" s="1203">
        <v>26</v>
      </c>
      <c r="D36" s="1137"/>
      <c r="E36" s="1203">
        <v>10</v>
      </c>
      <c r="F36" s="1157"/>
      <c r="G36" s="1176" t="s">
        <v>1055</v>
      </c>
      <c r="H36" s="1150"/>
      <c r="I36" s="1176" t="s">
        <v>388</v>
      </c>
      <c r="J36" s="1170"/>
      <c r="K36" s="286"/>
      <c r="L36" s="1205"/>
      <c r="M36" s="1137">
        <v>95</v>
      </c>
      <c r="N36" s="1137"/>
      <c r="O36" s="1157"/>
      <c r="P36" s="1205"/>
      <c r="Q36" s="1150" t="s">
        <v>1185</v>
      </c>
      <c r="R36" s="1152"/>
      <c r="S36" s="1170"/>
      <c r="T36" s="286"/>
      <c r="U36" s="1160">
        <v>13</v>
      </c>
      <c r="V36" s="1137"/>
      <c r="W36" s="1137">
        <v>10</v>
      </c>
      <c r="X36" s="1157"/>
      <c r="Y36" s="1205" t="s">
        <v>1082</v>
      </c>
      <c r="Z36" s="1150"/>
      <c r="AA36" s="1165" t="s">
        <v>388</v>
      </c>
      <c r="AB36" s="1170"/>
      <c r="AC36" s="286"/>
      <c r="AD36" s="1160"/>
      <c r="AE36" s="1137"/>
      <c r="AF36" s="1203"/>
      <c r="AG36" s="1287"/>
      <c r="AH36" s="1290"/>
      <c r="AI36" s="1290"/>
      <c r="AJ36" s="1290"/>
      <c r="AK36" s="1283"/>
      <c r="AL36" s="1153"/>
      <c r="AM36" s="1160">
        <v>147</v>
      </c>
      <c r="AN36" s="1137"/>
      <c r="AO36" s="1137"/>
      <c r="AP36" s="1287"/>
      <c r="AQ36" s="1289" t="s">
        <v>45</v>
      </c>
      <c r="AR36" s="1290"/>
      <c r="AS36" s="1290"/>
      <c r="AT36" s="1283"/>
    </row>
    <row r="37" spans="1:47" ht="40.5" customHeight="1" x14ac:dyDescent="0.45">
      <c r="A37" s="1351">
        <v>46040</v>
      </c>
      <c r="B37" s="717">
        <v>1</v>
      </c>
      <c r="C37" s="1203"/>
      <c r="D37" s="1156"/>
      <c r="E37" s="1203">
        <v>34</v>
      </c>
      <c r="F37" s="1157"/>
      <c r="G37" s="1176"/>
      <c r="H37" s="1152"/>
      <c r="I37" s="1141" t="s">
        <v>152</v>
      </c>
      <c r="J37" s="1170"/>
      <c r="K37" s="286"/>
      <c r="L37" s="1160"/>
      <c r="M37" s="1137">
        <v>18</v>
      </c>
      <c r="N37" s="1137"/>
      <c r="O37" s="1157"/>
      <c r="P37" s="1128"/>
      <c r="Q37" s="1150" t="s">
        <v>1185</v>
      </c>
      <c r="R37" s="1137"/>
      <c r="S37" s="1170"/>
      <c r="T37" s="286"/>
      <c r="U37" s="1160"/>
      <c r="V37" s="1137"/>
      <c r="W37" s="1137">
        <v>30</v>
      </c>
      <c r="X37" s="1157"/>
      <c r="Y37" s="1128"/>
      <c r="Z37" s="1152"/>
      <c r="AA37" s="1165" t="s">
        <v>152</v>
      </c>
      <c r="AB37" s="1170"/>
      <c r="AC37" s="286"/>
      <c r="AD37" s="1160"/>
      <c r="AE37" s="1137"/>
      <c r="AF37" s="1137"/>
      <c r="AG37" s="1287"/>
      <c r="AH37" s="1290"/>
      <c r="AI37" s="1289"/>
      <c r="AJ37" s="1290"/>
      <c r="AK37" s="1283"/>
      <c r="AL37" s="1153"/>
      <c r="AM37" s="1160"/>
      <c r="AN37" s="1137"/>
      <c r="AO37" s="1137">
        <v>45</v>
      </c>
      <c r="AP37" s="1287"/>
      <c r="AQ37" s="1289"/>
      <c r="AR37" s="1290"/>
      <c r="AS37" s="1290" t="s">
        <v>152</v>
      </c>
      <c r="AT37" s="1283"/>
    </row>
    <row r="38" spans="1:47" ht="40.5" customHeight="1" x14ac:dyDescent="0.45">
      <c r="A38" s="1352"/>
      <c r="B38" s="692">
        <v>2</v>
      </c>
      <c r="C38" s="1203"/>
      <c r="D38" s="1156"/>
      <c r="E38" s="1203">
        <v>28</v>
      </c>
      <c r="F38" s="1157"/>
      <c r="G38" s="1176"/>
      <c r="H38" s="1152"/>
      <c r="I38" s="1141" t="s">
        <v>152</v>
      </c>
      <c r="J38" s="1170"/>
      <c r="K38" s="286"/>
      <c r="L38" s="1160"/>
      <c r="M38" s="1137"/>
      <c r="N38" s="1137"/>
      <c r="O38" s="1157"/>
      <c r="P38" s="1128"/>
      <c r="Q38" s="1149"/>
      <c r="R38" s="1137"/>
      <c r="S38" s="1170"/>
      <c r="T38" s="286"/>
      <c r="U38" s="1160"/>
      <c r="V38" s="1137"/>
      <c r="W38" s="1137">
        <v>58</v>
      </c>
      <c r="X38" s="1157"/>
      <c r="Y38" s="1149"/>
      <c r="Z38" s="1152"/>
      <c r="AA38" s="1165" t="s">
        <v>152</v>
      </c>
      <c r="AB38" s="1170"/>
      <c r="AC38" s="286"/>
      <c r="AD38" s="1160"/>
      <c r="AE38" s="1137"/>
      <c r="AF38" s="1137"/>
      <c r="AG38" s="1287"/>
      <c r="AH38" s="1290"/>
      <c r="AI38" s="1289"/>
      <c r="AJ38" s="1290"/>
      <c r="AK38" s="1283"/>
      <c r="AL38" s="1153"/>
      <c r="AM38" s="1160"/>
      <c r="AN38" s="1137"/>
      <c r="AO38" s="1137">
        <v>35</v>
      </c>
      <c r="AP38" s="1287"/>
      <c r="AQ38" s="1289"/>
      <c r="AR38" s="1290"/>
      <c r="AS38" s="1290" t="s">
        <v>152</v>
      </c>
      <c r="AT38" s="1283"/>
    </row>
    <row r="39" spans="1:47" ht="42" customHeight="1" x14ac:dyDescent="0.45">
      <c r="A39" s="1351">
        <v>46041</v>
      </c>
      <c r="B39" s="692">
        <v>1</v>
      </c>
      <c r="C39" s="1203"/>
      <c r="D39" s="1156"/>
      <c r="E39" s="1156">
        <v>17</v>
      </c>
      <c r="F39" s="1157"/>
      <c r="G39" s="1176"/>
      <c r="H39" s="1152"/>
      <c r="I39" s="1141" t="s">
        <v>152</v>
      </c>
      <c r="J39" s="1170"/>
      <c r="K39" s="286"/>
      <c r="L39" s="1160"/>
      <c r="M39" s="1137"/>
      <c r="N39" s="1137"/>
      <c r="O39" s="1157"/>
      <c r="P39" s="1128"/>
      <c r="Q39" s="1150"/>
      <c r="R39" s="1137"/>
      <c r="S39" s="1170"/>
      <c r="T39" s="286"/>
      <c r="U39" s="1160"/>
      <c r="V39" s="1137"/>
      <c r="W39" s="1137">
        <v>35</v>
      </c>
      <c r="X39" s="1157"/>
      <c r="Y39" s="1128"/>
      <c r="Z39" s="1150"/>
      <c r="AA39" s="1165" t="s">
        <v>152</v>
      </c>
      <c r="AB39" s="1170"/>
      <c r="AC39" s="286"/>
      <c r="AD39" s="1160"/>
      <c r="AE39" s="1137"/>
      <c r="AF39" s="1137"/>
      <c r="AG39" s="1287"/>
      <c r="AH39" s="1283"/>
      <c r="AI39" s="1282"/>
      <c r="AJ39" s="1290"/>
      <c r="AK39" s="1283"/>
      <c r="AL39" s="1153"/>
      <c r="AM39" s="1160"/>
      <c r="AN39" s="1137"/>
      <c r="AO39" s="1137"/>
      <c r="AP39" s="1287"/>
      <c r="AQ39" s="1289"/>
      <c r="AR39" s="1290"/>
      <c r="AS39" s="1290"/>
      <c r="AT39" s="1283"/>
    </row>
    <row r="40" spans="1:47" ht="43.5" customHeight="1" x14ac:dyDescent="0.45">
      <c r="A40" s="1352"/>
      <c r="B40" s="692">
        <v>2</v>
      </c>
      <c r="C40" s="1156"/>
      <c r="D40" s="1156"/>
      <c r="E40" s="1156">
        <v>8</v>
      </c>
      <c r="F40" s="1157"/>
      <c r="G40" s="1176"/>
      <c r="H40" s="1152"/>
      <c r="I40" s="1141" t="s">
        <v>388</v>
      </c>
      <c r="J40" s="1170"/>
      <c r="K40" s="286"/>
      <c r="L40" s="1160"/>
      <c r="M40" s="1137">
        <v>169</v>
      </c>
      <c r="N40" s="1137"/>
      <c r="O40" s="1157"/>
      <c r="P40" s="1128"/>
      <c r="Q40" s="1140" t="s">
        <v>513</v>
      </c>
      <c r="R40" s="1176"/>
      <c r="S40" s="1170"/>
      <c r="T40" s="286"/>
      <c r="U40" s="1160"/>
      <c r="V40" s="1137"/>
      <c r="W40" s="1137">
        <v>10</v>
      </c>
      <c r="X40" s="1157"/>
      <c r="Y40" s="1149"/>
      <c r="Z40" s="1137"/>
      <c r="AA40" s="1165" t="s">
        <v>388</v>
      </c>
      <c r="AB40" s="1170"/>
      <c r="AC40" s="286"/>
      <c r="AD40" s="1160"/>
      <c r="AE40" s="1137"/>
      <c r="AF40" s="1137"/>
      <c r="AG40" s="1287"/>
      <c r="AH40" s="1290"/>
      <c r="AI40" s="1283"/>
      <c r="AJ40" s="1290"/>
      <c r="AK40" s="1283"/>
      <c r="AL40" s="1153"/>
      <c r="AM40" s="1205"/>
      <c r="AN40" s="1137"/>
      <c r="AO40" s="1137"/>
      <c r="AP40" s="1287"/>
      <c r="AQ40" s="1289"/>
      <c r="AR40" s="1290"/>
      <c r="AS40" s="1283"/>
      <c r="AT40" s="1283"/>
    </row>
    <row r="41" spans="1:47" ht="39.65" customHeight="1" x14ac:dyDescent="0.45">
      <c r="A41" s="1351">
        <v>46042</v>
      </c>
      <c r="B41" s="692">
        <v>1</v>
      </c>
      <c r="C41" s="1155"/>
      <c r="D41" s="1156"/>
      <c r="E41" s="1156"/>
      <c r="F41" s="1157"/>
      <c r="G41" s="1139"/>
      <c r="H41" s="1150"/>
      <c r="I41" s="1141"/>
      <c r="J41" s="1170"/>
      <c r="K41" s="286"/>
      <c r="L41" s="1137"/>
      <c r="M41" s="1137"/>
      <c r="N41" s="1137"/>
      <c r="O41" s="1157"/>
      <c r="P41" s="1128"/>
      <c r="Q41" s="1137"/>
      <c r="R41" s="1176"/>
      <c r="S41" s="1170"/>
      <c r="T41" s="286"/>
      <c r="U41" s="1160"/>
      <c r="V41" s="1137"/>
      <c r="W41" s="1137"/>
      <c r="X41" s="1157"/>
      <c r="Y41" s="1128"/>
      <c r="Z41" s="1152"/>
      <c r="AA41" s="1165"/>
      <c r="AB41" s="1170"/>
      <c r="AC41" s="286"/>
      <c r="AD41" s="1160"/>
      <c r="AE41" s="1137"/>
      <c r="AF41" s="1137"/>
      <c r="AG41" s="1287"/>
      <c r="AH41" s="1290"/>
      <c r="AI41" s="1290"/>
      <c r="AJ41" s="1289"/>
      <c r="AK41" s="1283"/>
      <c r="AL41" s="1153"/>
      <c r="AM41" s="1160"/>
      <c r="AN41" s="1137"/>
      <c r="AO41" s="1137"/>
      <c r="AP41" s="1287"/>
      <c r="AQ41" s="1289"/>
      <c r="AR41" s="1290"/>
      <c r="AS41" s="1283"/>
      <c r="AT41" s="1283"/>
    </row>
    <row r="42" spans="1:47" ht="52.95" customHeight="1" x14ac:dyDescent="0.45">
      <c r="A42" s="1352"/>
      <c r="B42" s="692">
        <v>2</v>
      </c>
      <c r="C42" s="1156">
        <v>100</v>
      </c>
      <c r="D42" s="1156"/>
      <c r="E42" s="1156"/>
      <c r="F42" s="1157"/>
      <c r="G42" s="1139" t="s">
        <v>45</v>
      </c>
      <c r="H42" s="1150"/>
      <c r="I42" s="1176"/>
      <c r="J42" s="1170"/>
      <c r="K42" s="286"/>
      <c r="L42" s="1160"/>
      <c r="M42" s="1137"/>
      <c r="N42" s="1137"/>
      <c r="O42" s="1157"/>
      <c r="P42" s="1128"/>
      <c r="Q42" s="1152"/>
      <c r="R42" s="1137"/>
      <c r="S42" s="1170"/>
      <c r="T42" s="286"/>
      <c r="U42" s="1160"/>
      <c r="V42" s="1137"/>
      <c r="W42" s="1137"/>
      <c r="X42" s="1157"/>
      <c r="Y42" s="1128"/>
      <c r="Z42" s="1150"/>
      <c r="AA42" s="1165"/>
      <c r="AB42" s="1170"/>
      <c r="AC42" s="286"/>
      <c r="AD42" s="1160"/>
      <c r="AE42" s="1137"/>
      <c r="AF42" s="1137"/>
      <c r="AG42" s="1287"/>
      <c r="AH42" s="1290"/>
      <c r="AI42" s="1290"/>
      <c r="AJ42" s="1289"/>
      <c r="AK42" s="1283"/>
      <c r="AL42" s="1153"/>
      <c r="AM42" s="1160"/>
      <c r="AN42" s="1137"/>
      <c r="AO42" s="1137"/>
      <c r="AP42" s="1287"/>
      <c r="AQ42" s="1289"/>
      <c r="AR42" s="1290"/>
      <c r="AS42" s="1283"/>
      <c r="AT42" s="1283"/>
    </row>
    <row r="43" spans="1:47" ht="40.5" customHeight="1" x14ac:dyDescent="0.45">
      <c r="A43" s="1351">
        <v>46043</v>
      </c>
      <c r="B43" s="692">
        <v>1</v>
      </c>
      <c r="C43" s="1156"/>
      <c r="D43" s="1156"/>
      <c r="E43" s="1156"/>
      <c r="F43" s="1157"/>
      <c r="G43" s="1139"/>
      <c r="H43" s="1150"/>
      <c r="I43" s="1176"/>
      <c r="J43" s="1170"/>
      <c r="K43" s="286"/>
      <c r="L43" s="1160"/>
      <c r="M43" s="1137"/>
      <c r="N43" s="1137"/>
      <c r="O43" s="1157"/>
      <c r="P43" s="1128"/>
      <c r="Q43" s="1152"/>
      <c r="R43" s="1137"/>
      <c r="S43" s="1170"/>
      <c r="T43" s="286"/>
      <c r="U43" s="1160"/>
      <c r="V43" s="1137"/>
      <c r="W43" s="1137">
        <v>18</v>
      </c>
      <c r="X43" s="1157"/>
      <c r="Y43" s="1128"/>
      <c r="Z43" s="1152"/>
      <c r="AA43" s="1165" t="s">
        <v>152</v>
      </c>
      <c r="AB43" s="1170"/>
      <c r="AC43" s="286"/>
      <c r="AD43" s="1160"/>
      <c r="AE43" s="1137"/>
      <c r="AF43" s="1137"/>
      <c r="AG43" s="1287"/>
      <c r="AH43" s="1290"/>
      <c r="AI43" s="1290"/>
      <c r="AJ43" s="1289"/>
      <c r="AK43" s="1283"/>
      <c r="AL43" s="1153"/>
      <c r="AM43" s="1160"/>
      <c r="AN43" s="1137"/>
      <c r="AO43" s="1137"/>
      <c r="AP43" s="1287"/>
      <c r="AQ43" s="1289"/>
      <c r="AR43" s="1290"/>
      <c r="AS43" s="1283"/>
      <c r="AT43" s="1283"/>
      <c r="AU43" s="1345"/>
    </row>
    <row r="44" spans="1:47" ht="45.75" customHeight="1" x14ac:dyDescent="0.45">
      <c r="A44" s="1352"/>
      <c r="B44" s="692">
        <v>2</v>
      </c>
      <c r="C44" s="1314"/>
      <c r="D44" s="1314"/>
      <c r="E44" s="1314"/>
      <c r="F44" s="1315"/>
      <c r="G44" s="1324"/>
      <c r="H44" s="1311"/>
      <c r="I44" s="1328"/>
      <c r="J44" s="1319"/>
      <c r="K44" s="280"/>
      <c r="L44" s="1316"/>
      <c r="M44" s="1307"/>
      <c r="N44" s="1307"/>
      <c r="O44" s="1315"/>
      <c r="P44" s="1326"/>
      <c r="Q44" s="1327"/>
      <c r="R44" s="1307"/>
      <c r="S44" s="1319"/>
      <c r="T44" s="280"/>
      <c r="U44" s="1316"/>
      <c r="V44" s="1307"/>
      <c r="W44" s="1307"/>
      <c r="X44" s="1315"/>
      <c r="Y44" s="1326"/>
      <c r="Z44" s="1327"/>
      <c r="AA44" s="1318"/>
      <c r="AB44" s="1319"/>
      <c r="AC44" s="280"/>
      <c r="AD44" s="1316"/>
      <c r="AE44" s="1307"/>
      <c r="AF44" s="1307"/>
      <c r="AG44" s="1334"/>
      <c r="AH44" s="1332"/>
      <c r="AI44" s="1332"/>
      <c r="AJ44" s="1331"/>
      <c r="AK44" s="1333"/>
      <c r="AL44" s="1312"/>
      <c r="AM44" s="1316"/>
      <c r="AN44" s="1307"/>
      <c r="AO44" s="1307"/>
      <c r="AP44" s="1334"/>
      <c r="AQ44" s="1331"/>
      <c r="AR44" s="1332"/>
      <c r="AS44" s="1333"/>
      <c r="AT44" s="1333"/>
      <c r="AU44" s="1345"/>
    </row>
    <row r="45" spans="1:47" ht="48.75" customHeight="1" x14ac:dyDescent="0.45">
      <c r="A45" s="1351">
        <v>46044</v>
      </c>
      <c r="B45" s="692">
        <v>1</v>
      </c>
      <c r="C45" s="1314"/>
      <c r="D45" s="1314"/>
      <c r="E45" s="1314"/>
      <c r="F45" s="1315"/>
      <c r="G45" s="1324"/>
      <c r="H45" s="1311"/>
      <c r="I45" s="1328"/>
      <c r="J45" s="1319"/>
      <c r="K45" s="280"/>
      <c r="L45" s="1316"/>
      <c r="M45" s="1307"/>
      <c r="N45" s="1307"/>
      <c r="O45" s="1315"/>
      <c r="P45" s="1326"/>
      <c r="Q45" s="1327"/>
      <c r="R45" s="1307"/>
      <c r="S45" s="1319"/>
      <c r="T45" s="280"/>
      <c r="U45" s="1316"/>
      <c r="V45" s="1307"/>
      <c r="W45" s="1307"/>
      <c r="X45" s="1315"/>
      <c r="Y45" s="1326"/>
      <c r="Z45" s="1327"/>
      <c r="AA45" s="1318"/>
      <c r="AB45" s="1319"/>
      <c r="AC45" s="280"/>
      <c r="AD45" s="1316"/>
      <c r="AE45" s="1307"/>
      <c r="AF45" s="1307"/>
      <c r="AG45" s="1334"/>
      <c r="AH45" s="1332"/>
      <c r="AI45" s="1332"/>
      <c r="AJ45" s="1331"/>
      <c r="AK45" s="1333"/>
      <c r="AL45" s="1312"/>
      <c r="AM45" s="1316"/>
      <c r="AN45" s="1307"/>
      <c r="AO45" s="1307"/>
      <c r="AP45" s="1334"/>
      <c r="AQ45" s="1331"/>
      <c r="AR45" s="1332"/>
      <c r="AS45" s="1333"/>
      <c r="AT45" s="1333"/>
    </row>
    <row r="46" spans="1:47" ht="48.65" customHeight="1" x14ac:dyDescent="0.45">
      <c r="A46" s="1352"/>
      <c r="B46" s="692">
        <v>2</v>
      </c>
      <c r="C46" s="1314"/>
      <c r="D46" s="1314"/>
      <c r="E46" s="1314"/>
      <c r="F46" s="1315"/>
      <c r="G46" s="1324"/>
      <c r="H46" s="1311"/>
      <c r="I46" s="1328"/>
      <c r="J46" s="1319"/>
      <c r="K46" s="280"/>
      <c r="L46" s="1316"/>
      <c r="M46" s="1307"/>
      <c r="N46" s="1307"/>
      <c r="O46" s="1315"/>
      <c r="P46" s="1326"/>
      <c r="Q46" s="1327"/>
      <c r="R46" s="1307"/>
      <c r="S46" s="1319"/>
      <c r="T46" s="280"/>
      <c r="U46" s="1316"/>
      <c r="V46" s="1307"/>
      <c r="W46" s="1307"/>
      <c r="X46" s="1315"/>
      <c r="Y46" s="1326"/>
      <c r="Z46" s="1327"/>
      <c r="AA46" s="1318"/>
      <c r="AB46" s="1319"/>
      <c r="AC46" s="280"/>
      <c r="AD46" s="1316"/>
      <c r="AE46" s="1307"/>
      <c r="AF46" s="1307"/>
      <c r="AG46" s="1334"/>
      <c r="AH46" s="1332"/>
      <c r="AI46" s="1332"/>
      <c r="AJ46" s="1331"/>
      <c r="AK46" s="1333"/>
      <c r="AL46" s="1312"/>
      <c r="AM46" s="1316"/>
      <c r="AN46" s="1307"/>
      <c r="AO46" s="1307"/>
      <c r="AP46" s="1334"/>
      <c r="AQ46" s="1331"/>
      <c r="AR46" s="1332"/>
      <c r="AS46" s="1333"/>
      <c r="AT46" s="1333"/>
    </row>
    <row r="47" spans="1:47" ht="43.5" customHeight="1" x14ac:dyDescent="0.45">
      <c r="A47" s="1351">
        <v>46045</v>
      </c>
      <c r="B47" s="692">
        <v>1</v>
      </c>
      <c r="C47" s="1314"/>
      <c r="D47" s="1314"/>
      <c r="E47" s="1314"/>
      <c r="F47" s="1315"/>
      <c r="G47" s="1324"/>
      <c r="H47" s="1311"/>
      <c r="I47" s="1328"/>
      <c r="J47" s="1319"/>
      <c r="K47" s="280"/>
      <c r="L47" s="1316"/>
      <c r="M47" s="1307"/>
      <c r="N47" s="1307"/>
      <c r="O47" s="1315"/>
      <c r="P47" s="1326"/>
      <c r="Q47" s="1327"/>
      <c r="R47" s="1307"/>
      <c r="S47" s="1319"/>
      <c r="T47" s="280"/>
      <c r="U47" s="1316"/>
      <c r="V47" s="1307"/>
      <c r="W47" s="1307"/>
      <c r="X47" s="1315"/>
      <c r="Y47" s="1326"/>
      <c r="Z47" s="1327"/>
      <c r="AA47" s="1318"/>
      <c r="AB47" s="1319"/>
      <c r="AC47" s="280"/>
      <c r="AD47" s="1316"/>
      <c r="AE47" s="1307"/>
      <c r="AF47" s="1307"/>
      <c r="AG47" s="1334"/>
      <c r="AH47" s="1332"/>
      <c r="AI47" s="1332"/>
      <c r="AJ47" s="1331"/>
      <c r="AK47" s="1333"/>
      <c r="AL47" s="1312"/>
      <c r="AM47" s="1316"/>
      <c r="AN47" s="1307"/>
      <c r="AO47" s="1307"/>
      <c r="AP47" s="1334"/>
      <c r="AQ47" s="1331"/>
      <c r="AR47" s="1332"/>
      <c r="AS47" s="1333"/>
      <c r="AT47" s="1333"/>
    </row>
    <row r="48" spans="1:47" ht="34.950000000000003" customHeight="1" x14ac:dyDescent="0.45">
      <c r="A48" s="1352"/>
      <c r="B48" s="692">
        <v>2</v>
      </c>
      <c r="C48" s="1314"/>
      <c r="D48" s="1314"/>
      <c r="E48" s="1314"/>
      <c r="F48" s="1315"/>
      <c r="G48" s="1324"/>
      <c r="H48" s="1311"/>
      <c r="I48" s="1328"/>
      <c r="J48" s="1319"/>
      <c r="K48" s="280"/>
      <c r="L48" s="1316"/>
      <c r="M48" s="1307"/>
      <c r="N48" s="1307"/>
      <c r="O48" s="1315"/>
      <c r="P48" s="1326"/>
      <c r="Q48" s="1327"/>
      <c r="R48" s="1307"/>
      <c r="S48" s="1319"/>
      <c r="T48" s="280"/>
      <c r="U48" s="1316"/>
      <c r="V48" s="1307"/>
      <c r="W48" s="1307"/>
      <c r="X48" s="1315"/>
      <c r="Y48" s="1326"/>
      <c r="Z48" s="1327"/>
      <c r="AA48" s="1318"/>
      <c r="AB48" s="1319"/>
      <c r="AC48" s="280"/>
      <c r="AD48" s="1316"/>
      <c r="AE48" s="1307"/>
      <c r="AF48" s="1307"/>
      <c r="AG48" s="1334"/>
      <c r="AH48" s="1332"/>
      <c r="AI48" s="1332"/>
      <c r="AJ48" s="1331"/>
      <c r="AK48" s="1333"/>
      <c r="AL48" s="1312"/>
      <c r="AM48" s="1316"/>
      <c r="AN48" s="1307"/>
      <c r="AO48" s="1307"/>
      <c r="AP48" s="1334"/>
      <c r="AQ48" s="1331"/>
      <c r="AR48" s="1332"/>
      <c r="AS48" s="1333"/>
      <c r="AT48" s="1333"/>
    </row>
    <row r="49" spans="1:46" ht="43.2" customHeight="1" x14ac:dyDescent="0.45">
      <c r="A49" s="1351">
        <v>46046</v>
      </c>
      <c r="B49" s="692">
        <v>1</v>
      </c>
      <c r="C49" s="1314"/>
      <c r="D49" s="1314"/>
      <c r="E49" s="1314"/>
      <c r="F49" s="1315"/>
      <c r="G49" s="1324"/>
      <c r="H49" s="1311"/>
      <c r="I49" s="1328"/>
      <c r="J49" s="1319"/>
      <c r="K49" s="280"/>
      <c r="L49" s="1316"/>
      <c r="M49" s="1307"/>
      <c r="N49" s="1307"/>
      <c r="O49" s="1315"/>
      <c r="P49" s="1326"/>
      <c r="Q49" s="1327"/>
      <c r="R49" s="1307"/>
      <c r="S49" s="1319"/>
      <c r="T49" s="280"/>
      <c r="U49" s="1316"/>
      <c r="V49" s="1307"/>
      <c r="W49" s="1307"/>
      <c r="X49" s="1315"/>
      <c r="Y49" s="1326"/>
      <c r="Z49" s="1327"/>
      <c r="AA49" s="1318"/>
      <c r="AB49" s="1319"/>
      <c r="AC49" s="280"/>
      <c r="AD49" s="1316"/>
      <c r="AE49" s="1307"/>
      <c r="AF49" s="1307"/>
      <c r="AG49" s="1334"/>
      <c r="AH49" s="1332"/>
      <c r="AI49" s="1332"/>
      <c r="AJ49" s="1331"/>
      <c r="AK49" s="1333"/>
      <c r="AL49" s="1312"/>
      <c r="AM49" s="1316"/>
      <c r="AN49" s="1307"/>
      <c r="AO49" s="1307"/>
      <c r="AP49" s="1334"/>
      <c r="AQ49" s="1331"/>
      <c r="AR49" s="1332"/>
      <c r="AS49" s="1333"/>
      <c r="AT49" s="1333"/>
    </row>
    <row r="50" spans="1:46" ht="51.65" customHeight="1" x14ac:dyDescent="0.45">
      <c r="A50" s="1352"/>
      <c r="B50" s="692">
        <v>2</v>
      </c>
      <c r="C50" s="1314"/>
      <c r="D50" s="1314"/>
      <c r="E50" s="1314"/>
      <c r="F50" s="1315"/>
      <c r="G50" s="1324"/>
      <c r="H50" s="1311"/>
      <c r="I50" s="1328"/>
      <c r="J50" s="1319"/>
      <c r="K50" s="280"/>
      <c r="L50" s="1316"/>
      <c r="M50" s="1307"/>
      <c r="N50" s="1307"/>
      <c r="O50" s="1315"/>
      <c r="P50" s="1326"/>
      <c r="Q50" s="1327"/>
      <c r="R50" s="1307"/>
      <c r="S50" s="1319"/>
      <c r="T50" s="280"/>
      <c r="U50" s="1316"/>
      <c r="V50" s="1307"/>
      <c r="W50" s="1307"/>
      <c r="X50" s="1315"/>
      <c r="Y50" s="1326"/>
      <c r="Z50" s="1327"/>
      <c r="AA50" s="1318"/>
      <c r="AB50" s="1319"/>
      <c r="AC50" s="280"/>
      <c r="AD50" s="1316"/>
      <c r="AE50" s="1307"/>
      <c r="AF50" s="1307"/>
      <c r="AG50" s="1334"/>
      <c r="AH50" s="1332"/>
      <c r="AI50" s="1332"/>
      <c r="AJ50" s="1331"/>
      <c r="AK50" s="1333"/>
      <c r="AL50" s="1312"/>
      <c r="AM50" s="1316"/>
      <c r="AN50" s="1307"/>
      <c r="AO50" s="1307"/>
      <c r="AP50" s="1334"/>
      <c r="AQ50" s="1331"/>
      <c r="AR50" s="1332"/>
      <c r="AS50" s="1333"/>
      <c r="AT50" s="1333"/>
    </row>
    <row r="51" spans="1:46" ht="34.950000000000003" customHeight="1" x14ac:dyDescent="0.45">
      <c r="A51" s="1351">
        <v>46047</v>
      </c>
      <c r="B51" s="692">
        <v>1</v>
      </c>
      <c r="C51" s="1314"/>
      <c r="D51" s="1314"/>
      <c r="E51" s="1314"/>
      <c r="F51" s="1315"/>
      <c r="G51" s="1324"/>
      <c r="H51" s="1311"/>
      <c r="I51" s="1328"/>
      <c r="J51" s="1319"/>
      <c r="K51" s="280"/>
      <c r="L51" s="1316"/>
      <c r="M51" s="1307"/>
      <c r="N51" s="1307"/>
      <c r="O51" s="1315"/>
      <c r="P51" s="1326"/>
      <c r="Q51" s="1327"/>
      <c r="R51" s="1307"/>
      <c r="S51" s="1319"/>
      <c r="T51" s="280"/>
      <c r="U51" s="1316"/>
      <c r="V51" s="1307"/>
      <c r="W51" s="1307"/>
      <c r="X51" s="1315"/>
      <c r="Y51" s="1326"/>
      <c r="Z51" s="1327"/>
      <c r="AA51" s="1318"/>
      <c r="AB51" s="1319"/>
      <c r="AC51" s="280"/>
      <c r="AD51" s="1316"/>
      <c r="AE51" s="1307"/>
      <c r="AF51" s="1307"/>
      <c r="AG51" s="1334"/>
      <c r="AH51" s="1332"/>
      <c r="AI51" s="1332"/>
      <c r="AJ51" s="1331"/>
      <c r="AK51" s="1333"/>
      <c r="AL51" s="1312"/>
      <c r="AM51" s="1316"/>
      <c r="AN51" s="1307"/>
      <c r="AO51" s="1307"/>
      <c r="AP51" s="1334"/>
      <c r="AQ51" s="1331"/>
      <c r="AR51" s="1332"/>
      <c r="AS51" s="1333"/>
      <c r="AT51" s="1333"/>
    </row>
    <row r="52" spans="1:46" ht="49.2" customHeight="1" x14ac:dyDescent="0.45">
      <c r="A52" s="1352"/>
      <c r="B52" s="692">
        <v>2</v>
      </c>
      <c r="C52" s="1314"/>
      <c r="D52" s="1314"/>
      <c r="E52" s="1314"/>
      <c r="F52" s="1315"/>
      <c r="G52" s="1324"/>
      <c r="H52" s="1311"/>
      <c r="I52" s="1328"/>
      <c r="J52" s="1319"/>
      <c r="K52" s="280"/>
      <c r="L52" s="1316"/>
      <c r="M52" s="1307"/>
      <c r="N52" s="1307"/>
      <c r="O52" s="1315"/>
      <c r="P52" s="1326"/>
      <c r="Q52" s="1327"/>
      <c r="R52" s="1307"/>
      <c r="S52" s="1319"/>
      <c r="T52" s="280"/>
      <c r="U52" s="1316"/>
      <c r="V52" s="1307"/>
      <c r="W52" s="1307"/>
      <c r="X52" s="1315"/>
      <c r="Y52" s="1326"/>
      <c r="Z52" s="1327"/>
      <c r="AA52" s="1318"/>
      <c r="AB52" s="1319"/>
      <c r="AC52" s="280"/>
      <c r="AD52" s="1316"/>
      <c r="AE52" s="1307"/>
      <c r="AF52" s="1307"/>
      <c r="AG52" s="1334"/>
      <c r="AH52" s="1332"/>
      <c r="AI52" s="1332"/>
      <c r="AJ52" s="1331"/>
      <c r="AK52" s="1333"/>
      <c r="AL52" s="1312"/>
      <c r="AM52" s="1316"/>
      <c r="AN52" s="1307"/>
      <c r="AO52" s="1307"/>
      <c r="AP52" s="1334"/>
      <c r="AQ52" s="1331"/>
      <c r="AR52" s="1332"/>
      <c r="AS52" s="1333"/>
      <c r="AT52" s="1333"/>
    </row>
    <row r="53" spans="1:46" ht="48" customHeight="1" x14ac:dyDescent="0.45">
      <c r="A53" s="1351">
        <v>46048</v>
      </c>
      <c r="B53" s="692">
        <v>1</v>
      </c>
      <c r="C53" s="1314"/>
      <c r="D53" s="1314"/>
      <c r="E53" s="1314"/>
      <c r="F53" s="1315"/>
      <c r="G53" s="1324"/>
      <c r="H53" s="1311"/>
      <c r="I53" s="1328"/>
      <c r="J53" s="1319"/>
      <c r="K53" s="280"/>
      <c r="L53" s="1316"/>
      <c r="M53" s="1307"/>
      <c r="N53" s="1307"/>
      <c r="O53" s="1315"/>
      <c r="P53" s="1326"/>
      <c r="Q53" s="1327"/>
      <c r="R53" s="1307"/>
      <c r="S53" s="1319"/>
      <c r="T53" s="280"/>
      <c r="U53" s="1316"/>
      <c r="V53" s="1307"/>
      <c r="W53" s="1307"/>
      <c r="X53" s="1315"/>
      <c r="Y53" s="1326"/>
      <c r="Z53" s="1327"/>
      <c r="AA53" s="1318"/>
      <c r="AB53" s="1319"/>
      <c r="AC53" s="280"/>
      <c r="AD53" s="1316"/>
      <c r="AE53" s="1307"/>
      <c r="AF53" s="1307"/>
      <c r="AG53" s="1334"/>
      <c r="AH53" s="1332"/>
      <c r="AI53" s="1332"/>
      <c r="AJ53" s="1331"/>
      <c r="AK53" s="1333"/>
      <c r="AL53" s="1312"/>
      <c r="AM53" s="1316"/>
      <c r="AN53" s="1307"/>
      <c r="AO53" s="1307"/>
      <c r="AP53" s="1334"/>
      <c r="AQ53" s="1331"/>
      <c r="AR53" s="1332"/>
      <c r="AS53" s="1333"/>
      <c r="AT53" s="1333"/>
    </row>
    <row r="54" spans="1:46" ht="45.65" customHeight="1" x14ac:dyDescent="0.45">
      <c r="A54" s="1352"/>
      <c r="B54" s="725">
        <v>2</v>
      </c>
      <c r="C54" s="1314"/>
      <c r="D54" s="1314"/>
      <c r="E54" s="1314"/>
      <c r="F54" s="1315"/>
      <c r="G54" s="1308"/>
      <c r="H54" s="1311"/>
      <c r="I54" s="1309"/>
      <c r="J54" s="1319"/>
      <c r="K54" s="280"/>
      <c r="L54" s="1316"/>
      <c r="M54" s="1307"/>
      <c r="N54" s="1307"/>
      <c r="O54" s="1315"/>
      <c r="P54" s="1308"/>
      <c r="Q54" s="1311"/>
      <c r="R54" s="1308"/>
      <c r="S54" s="1319"/>
      <c r="T54" s="280"/>
      <c r="U54" s="1316"/>
      <c r="V54" s="1307"/>
      <c r="W54" s="1307"/>
      <c r="X54" s="1315"/>
      <c r="Y54" s="1311"/>
      <c r="Z54" s="1311"/>
      <c r="AA54" s="1318"/>
      <c r="AB54" s="1319"/>
      <c r="AC54" s="280"/>
      <c r="AD54" s="1316"/>
      <c r="AE54" s="1307"/>
      <c r="AF54" s="1307"/>
      <c r="AG54" s="1317"/>
      <c r="AH54" s="1331"/>
      <c r="AI54" s="1333"/>
      <c r="AJ54" s="1332"/>
      <c r="AK54" s="1333"/>
      <c r="AL54" s="1312"/>
      <c r="AM54" s="1316"/>
      <c r="AN54" s="1320"/>
      <c r="AO54" s="275"/>
      <c r="AP54" s="1317"/>
      <c r="AQ54" s="1332"/>
      <c r="AR54" s="1333"/>
      <c r="AS54" s="1333"/>
      <c r="AT54" s="1333"/>
    </row>
    <row r="55" spans="1:46" ht="39.65" customHeight="1" x14ac:dyDescent="0.45">
      <c r="A55" s="1351">
        <v>46049</v>
      </c>
      <c r="B55" s="692">
        <v>1</v>
      </c>
      <c r="C55" s="1313"/>
      <c r="D55" s="1314"/>
      <c r="E55" s="1314"/>
      <c r="F55" s="1315"/>
      <c r="G55" s="1308"/>
      <c r="H55" s="1308"/>
      <c r="I55" s="1309"/>
      <c r="J55" s="1325"/>
      <c r="K55" s="280"/>
      <c r="L55" s="1316"/>
      <c r="M55" s="1307"/>
      <c r="N55" s="1307"/>
      <c r="O55" s="1325"/>
      <c r="P55" s="1326"/>
      <c r="Q55" s="1311"/>
      <c r="R55" s="1307"/>
      <c r="S55" s="1325"/>
      <c r="T55" s="280"/>
      <c r="U55" s="1316"/>
      <c r="V55" s="1307"/>
      <c r="W55" s="1307"/>
      <c r="X55" s="1325"/>
      <c r="Y55" s="1326"/>
      <c r="Z55" s="1308"/>
      <c r="AA55" s="1318"/>
      <c r="AB55" s="1325"/>
      <c r="AC55" s="280"/>
      <c r="AD55" s="1316"/>
      <c r="AE55" s="1307"/>
      <c r="AF55" s="1307"/>
      <c r="AG55" s="1317"/>
      <c r="AH55" s="1331"/>
      <c r="AI55" s="1333"/>
      <c r="AJ55" s="1332"/>
      <c r="AK55" s="1331"/>
      <c r="AL55" s="1312"/>
      <c r="AM55" s="1316"/>
      <c r="AN55" s="1320"/>
      <c r="AO55" s="1307"/>
      <c r="AP55" s="1317"/>
      <c r="AQ55" s="1331"/>
      <c r="AR55" s="1333"/>
      <c r="AS55" s="1333"/>
      <c r="AT55" s="1333"/>
    </row>
    <row r="56" spans="1:46" ht="47.25" customHeight="1" x14ac:dyDescent="0.45">
      <c r="A56" s="1352"/>
      <c r="B56" s="725">
        <v>2</v>
      </c>
      <c r="C56" s="1313"/>
      <c r="D56" s="1314"/>
      <c r="E56" s="1314"/>
      <c r="F56" s="1315"/>
      <c r="G56" s="1311"/>
      <c r="H56" s="1311"/>
      <c r="I56" s="1309"/>
      <c r="J56" s="1319"/>
      <c r="K56" s="280"/>
      <c r="L56" s="1316"/>
      <c r="M56" s="1307"/>
      <c r="N56" s="1307"/>
      <c r="O56" s="1315"/>
      <c r="P56" s="1311"/>
      <c r="Q56" s="1308"/>
      <c r="R56" s="1311"/>
      <c r="S56" s="1319"/>
      <c r="T56" s="280"/>
      <c r="U56" s="1316"/>
      <c r="V56" s="1307"/>
      <c r="W56" s="1307"/>
      <c r="X56" s="1315"/>
      <c r="Y56" s="1310"/>
      <c r="Z56" s="1308"/>
      <c r="AA56" s="1318"/>
      <c r="AB56" s="1319"/>
      <c r="AC56" s="280"/>
      <c r="AD56" s="1316"/>
      <c r="AE56" s="1307"/>
      <c r="AF56" s="1307"/>
      <c r="AG56" s="1334"/>
      <c r="AH56" s="1331"/>
      <c r="AI56" s="1335"/>
      <c r="AJ56" s="1333"/>
      <c r="AK56" s="1333"/>
      <c r="AL56" s="1312"/>
      <c r="AM56" s="1316"/>
      <c r="AN56" s="1320"/>
      <c r="AO56" s="1307"/>
      <c r="AP56" s="1317"/>
      <c r="AQ56" s="1333"/>
      <c r="AR56" s="1333"/>
      <c r="AS56" s="1331"/>
      <c r="AT56" s="1333"/>
    </row>
    <row r="57" spans="1:46" ht="47.25" customHeight="1" x14ac:dyDescent="0.45">
      <c r="A57" s="1351">
        <v>46050</v>
      </c>
      <c r="B57" s="725">
        <v>1</v>
      </c>
      <c r="C57" s="1313"/>
      <c r="D57" s="1314"/>
      <c r="E57" s="1314"/>
      <c r="F57" s="1315"/>
      <c r="G57" s="1311"/>
      <c r="H57" s="1311"/>
      <c r="I57" s="1309"/>
      <c r="J57" s="1319"/>
      <c r="K57" s="280"/>
      <c r="L57" s="1316"/>
      <c r="M57" s="1307"/>
      <c r="N57" s="1307"/>
      <c r="O57" s="1315"/>
      <c r="P57" s="1311"/>
      <c r="Q57" s="1308"/>
      <c r="R57" s="1311"/>
      <c r="S57" s="1319"/>
      <c r="T57" s="280"/>
      <c r="U57" s="1316"/>
      <c r="V57" s="1307"/>
      <c r="W57" s="1307"/>
      <c r="X57" s="1315"/>
      <c r="Y57" s="1310"/>
      <c r="Z57" s="1308"/>
      <c r="AA57" s="1318"/>
      <c r="AB57" s="1319"/>
      <c r="AC57" s="280"/>
      <c r="AD57" s="1316"/>
      <c r="AE57" s="1307"/>
      <c r="AF57" s="1307"/>
      <c r="AG57" s="1334"/>
      <c r="AH57" s="1331"/>
      <c r="AI57" s="1335"/>
      <c r="AJ57" s="1333"/>
      <c r="AK57" s="1333"/>
      <c r="AL57" s="1312"/>
      <c r="AM57" s="1316"/>
      <c r="AN57" s="1320"/>
      <c r="AO57" s="1307"/>
      <c r="AP57" s="1317"/>
      <c r="AQ57" s="1333"/>
      <c r="AR57" s="1333"/>
      <c r="AS57" s="1331"/>
      <c r="AT57" s="1333"/>
    </row>
    <row r="58" spans="1:46" ht="47.25" customHeight="1" x14ac:dyDescent="0.45">
      <c r="A58" s="1352"/>
      <c r="B58" s="725">
        <v>2</v>
      </c>
      <c r="C58" s="1313"/>
      <c r="D58" s="1314"/>
      <c r="E58" s="1314"/>
      <c r="F58" s="1315"/>
      <c r="G58" s="1311"/>
      <c r="H58" s="1311"/>
      <c r="I58" s="1309"/>
      <c r="J58" s="1319"/>
      <c r="K58" s="280"/>
      <c r="L58" s="1316"/>
      <c r="M58" s="1307"/>
      <c r="N58" s="1307"/>
      <c r="O58" s="1315"/>
      <c r="P58" s="1311"/>
      <c r="Q58" s="1308"/>
      <c r="R58" s="1311"/>
      <c r="S58" s="1319"/>
      <c r="T58" s="280"/>
      <c r="U58" s="1316"/>
      <c r="V58" s="1307"/>
      <c r="W58" s="1307"/>
      <c r="X58" s="1315"/>
      <c r="Y58" s="1310"/>
      <c r="Z58" s="1308"/>
      <c r="AA58" s="1318"/>
      <c r="AB58" s="1319"/>
      <c r="AC58" s="280"/>
      <c r="AD58" s="1316"/>
      <c r="AE58" s="1307"/>
      <c r="AF58" s="1307"/>
      <c r="AG58" s="1334"/>
      <c r="AH58" s="1331"/>
      <c r="AI58" s="1335"/>
      <c r="AJ58" s="1333"/>
      <c r="AK58" s="1333"/>
      <c r="AL58" s="1312"/>
      <c r="AM58" s="1316"/>
      <c r="AN58" s="1320"/>
      <c r="AO58" s="1307"/>
      <c r="AP58" s="1317"/>
      <c r="AQ58" s="1333"/>
      <c r="AR58" s="1333"/>
      <c r="AS58" s="1331"/>
      <c r="AT58" s="1333"/>
    </row>
    <row r="59" spans="1:46" ht="47.25" customHeight="1" x14ac:dyDescent="0.45">
      <c r="A59" s="1351">
        <v>46051</v>
      </c>
      <c r="B59" s="725"/>
      <c r="C59" s="1313"/>
      <c r="D59" s="1314"/>
      <c r="E59" s="1314"/>
      <c r="F59" s="1315"/>
      <c r="G59" s="1311"/>
      <c r="H59" s="1311"/>
      <c r="I59" s="1309"/>
      <c r="J59" s="1319"/>
      <c r="K59" s="280"/>
      <c r="L59" s="1316"/>
      <c r="M59" s="1307"/>
      <c r="N59" s="1307"/>
      <c r="O59" s="1315"/>
      <c r="P59" s="1311"/>
      <c r="Q59" s="1308"/>
      <c r="R59" s="1311"/>
      <c r="S59" s="1319"/>
      <c r="T59" s="280"/>
      <c r="U59" s="1316"/>
      <c r="V59" s="1307"/>
      <c r="W59" s="1307"/>
      <c r="X59" s="1315"/>
      <c r="Y59" s="1310"/>
      <c r="Z59" s="1308"/>
      <c r="AA59" s="1318"/>
      <c r="AB59" s="1319"/>
      <c r="AC59" s="280"/>
      <c r="AD59" s="1316"/>
      <c r="AE59" s="1307"/>
      <c r="AF59" s="1307"/>
      <c r="AG59" s="1334"/>
      <c r="AH59" s="1331"/>
      <c r="AI59" s="1335"/>
      <c r="AJ59" s="1333"/>
      <c r="AK59" s="1333"/>
      <c r="AL59" s="1312"/>
      <c r="AM59" s="1316"/>
      <c r="AN59" s="1320"/>
      <c r="AO59" s="1307"/>
      <c r="AP59" s="1317"/>
      <c r="AQ59" s="1333"/>
      <c r="AR59" s="1333"/>
      <c r="AS59" s="1331"/>
      <c r="AT59" s="1333"/>
    </row>
    <row r="60" spans="1:46" ht="47.25" customHeight="1" x14ac:dyDescent="0.45">
      <c r="A60" s="1352"/>
      <c r="B60" s="725"/>
      <c r="C60" s="1313"/>
      <c r="D60" s="1314"/>
      <c r="E60" s="1314"/>
      <c r="F60" s="1315"/>
      <c r="G60" s="1311"/>
      <c r="H60" s="1311"/>
      <c r="I60" s="1309"/>
      <c r="J60" s="1319"/>
      <c r="K60" s="280"/>
      <c r="L60" s="1316"/>
      <c r="M60" s="1307"/>
      <c r="N60" s="1307"/>
      <c r="O60" s="1315"/>
      <c r="P60" s="1311"/>
      <c r="Q60" s="1308"/>
      <c r="R60" s="1311"/>
      <c r="S60" s="1319"/>
      <c r="T60" s="280"/>
      <c r="U60" s="1316"/>
      <c r="V60" s="1307"/>
      <c r="W60" s="1307"/>
      <c r="X60" s="1315"/>
      <c r="Y60" s="1310"/>
      <c r="Z60" s="1308"/>
      <c r="AA60" s="1318"/>
      <c r="AB60" s="1319"/>
      <c r="AC60" s="280"/>
      <c r="AD60" s="1316"/>
      <c r="AE60" s="1307"/>
      <c r="AF60" s="1307"/>
      <c r="AG60" s="1334"/>
      <c r="AH60" s="1331"/>
      <c r="AI60" s="1335"/>
      <c r="AJ60" s="1333"/>
      <c r="AK60" s="1333"/>
      <c r="AL60" s="1312"/>
      <c r="AM60" s="1316"/>
      <c r="AN60" s="1320"/>
      <c r="AO60" s="1307"/>
      <c r="AP60" s="1317"/>
      <c r="AQ60" s="1333"/>
      <c r="AR60" s="1333"/>
      <c r="AS60" s="1331"/>
      <c r="AT60" s="1333"/>
    </row>
    <row r="61" spans="1:46" ht="47.25" customHeight="1" x14ac:dyDescent="0.45">
      <c r="A61" s="1351">
        <v>46052</v>
      </c>
      <c r="B61" s="725">
        <v>1</v>
      </c>
      <c r="C61" s="1313"/>
      <c r="D61" s="1314"/>
      <c r="E61" s="1314"/>
      <c r="F61" s="1315"/>
      <c r="G61" s="1311"/>
      <c r="H61" s="1311"/>
      <c r="I61" s="1309"/>
      <c r="J61" s="1319"/>
      <c r="K61" s="280"/>
      <c r="L61" s="1316"/>
      <c r="M61" s="1307"/>
      <c r="N61" s="1307"/>
      <c r="O61" s="1315"/>
      <c r="P61" s="1311"/>
      <c r="Q61" s="1308"/>
      <c r="R61" s="1311"/>
      <c r="S61" s="1319"/>
      <c r="T61" s="280"/>
      <c r="U61" s="1316"/>
      <c r="V61" s="1307"/>
      <c r="W61" s="1307"/>
      <c r="X61" s="1315"/>
      <c r="Y61" s="1310"/>
      <c r="Z61" s="1308"/>
      <c r="AA61" s="1318"/>
      <c r="AB61" s="1319"/>
      <c r="AC61" s="280"/>
      <c r="AD61" s="1316"/>
      <c r="AE61" s="1307"/>
      <c r="AF61" s="1307"/>
      <c r="AG61" s="1334"/>
      <c r="AH61" s="1331"/>
      <c r="AI61" s="1335"/>
      <c r="AJ61" s="1333"/>
      <c r="AK61" s="1333"/>
      <c r="AL61" s="1312"/>
      <c r="AM61" s="1316"/>
      <c r="AN61" s="1320"/>
      <c r="AO61" s="1307"/>
      <c r="AP61" s="1317"/>
      <c r="AQ61" s="1333"/>
      <c r="AR61" s="1333"/>
      <c r="AS61" s="1331"/>
      <c r="AT61" s="1333"/>
    </row>
    <row r="62" spans="1:46" ht="47.25" customHeight="1" x14ac:dyDescent="0.45">
      <c r="A62" s="1352"/>
      <c r="B62" s="725">
        <v>2</v>
      </c>
      <c r="C62" s="1313"/>
      <c r="D62" s="1314"/>
      <c r="E62" s="1314"/>
      <c r="F62" s="1315"/>
      <c r="G62" s="1311"/>
      <c r="H62" s="1311"/>
      <c r="I62" s="1309"/>
      <c r="J62" s="1319"/>
      <c r="K62" s="280"/>
      <c r="L62" s="1316"/>
      <c r="M62" s="1307"/>
      <c r="N62" s="1307"/>
      <c r="O62" s="1315"/>
      <c r="P62" s="1311"/>
      <c r="Q62" s="1308"/>
      <c r="R62" s="1311"/>
      <c r="S62" s="1319"/>
      <c r="T62" s="280"/>
      <c r="U62" s="1316"/>
      <c r="V62" s="1307"/>
      <c r="W62" s="1307"/>
      <c r="X62" s="1315"/>
      <c r="Y62" s="1310"/>
      <c r="Z62" s="1308"/>
      <c r="AA62" s="1318"/>
      <c r="AB62" s="1319"/>
      <c r="AC62" s="280"/>
      <c r="AD62" s="1316"/>
      <c r="AE62" s="1307"/>
      <c r="AF62" s="1307"/>
      <c r="AG62" s="1334"/>
      <c r="AH62" s="1331"/>
      <c r="AI62" s="1335"/>
      <c r="AJ62" s="1333"/>
      <c r="AK62" s="1333"/>
      <c r="AL62" s="1312"/>
      <c r="AM62" s="1316"/>
      <c r="AN62" s="1320"/>
      <c r="AO62" s="1307"/>
      <c r="AP62" s="1317"/>
      <c r="AQ62" s="1333"/>
      <c r="AR62" s="1333"/>
      <c r="AS62" s="1331"/>
      <c r="AT62" s="1333"/>
    </row>
    <row r="63" spans="1:46" ht="35.25" customHeight="1" x14ac:dyDescent="0.45">
      <c r="A63" s="1351">
        <v>46053</v>
      </c>
      <c r="B63" s="725">
        <v>1</v>
      </c>
      <c r="C63" s="1313"/>
      <c r="D63" s="1314"/>
      <c r="E63" s="1314"/>
      <c r="F63" s="1315"/>
      <c r="G63" s="1311"/>
      <c r="H63" s="1311"/>
      <c r="I63" s="1309"/>
      <c r="J63" s="1319"/>
      <c r="K63" s="280"/>
      <c r="L63" s="1316"/>
      <c r="M63" s="1307"/>
      <c r="N63" s="1307"/>
      <c r="O63" s="1315"/>
      <c r="P63" s="1311"/>
      <c r="Q63" s="1308"/>
      <c r="R63" s="1311"/>
      <c r="S63" s="1319"/>
      <c r="T63" s="280"/>
      <c r="U63" s="1316"/>
      <c r="V63" s="1307"/>
      <c r="W63" s="1307"/>
      <c r="X63" s="1315"/>
      <c r="Y63" s="1310"/>
      <c r="Z63" s="1308"/>
      <c r="AA63" s="1318"/>
      <c r="AB63" s="1319"/>
      <c r="AC63" s="280"/>
      <c r="AD63" s="1316"/>
      <c r="AE63" s="1307"/>
      <c r="AF63" s="1307"/>
      <c r="AG63" s="1334"/>
      <c r="AH63" s="1331"/>
      <c r="AI63" s="1335"/>
      <c r="AJ63" s="1333"/>
      <c r="AK63" s="1333"/>
      <c r="AL63" s="1312"/>
      <c r="AM63" s="1316"/>
      <c r="AN63" s="1320"/>
      <c r="AO63" s="1307"/>
      <c r="AP63" s="1317"/>
      <c r="AQ63" s="1333"/>
      <c r="AR63" s="1333"/>
      <c r="AS63" s="1331"/>
      <c r="AT63" s="1333"/>
    </row>
    <row r="64" spans="1:46" ht="40.5" customHeight="1" x14ac:dyDescent="0.45">
      <c r="A64" s="1352"/>
      <c r="B64" s="692">
        <v>2</v>
      </c>
      <c r="C64" s="1313"/>
      <c r="D64" s="1314"/>
      <c r="E64" s="1314"/>
      <c r="F64" s="1315"/>
      <c r="G64" s="1311"/>
      <c r="H64" s="1311"/>
      <c r="I64" s="1309"/>
      <c r="J64" s="1319"/>
      <c r="K64" s="280"/>
      <c r="L64" s="1316"/>
      <c r="M64" s="1307"/>
      <c r="N64" s="1307"/>
      <c r="O64" s="1315"/>
      <c r="P64" s="1311"/>
      <c r="Q64" s="1308"/>
      <c r="R64" s="1311"/>
      <c r="S64" s="1319"/>
      <c r="T64" s="280"/>
      <c r="U64" s="1316"/>
      <c r="V64" s="1307"/>
      <c r="W64" s="1307"/>
      <c r="X64" s="1315"/>
      <c r="Y64" s="1310"/>
      <c r="Z64" s="1308"/>
      <c r="AA64" s="1318"/>
      <c r="AB64" s="1319"/>
      <c r="AC64" s="280"/>
      <c r="AD64" s="1316"/>
      <c r="AE64" s="1307"/>
      <c r="AF64" s="1307"/>
      <c r="AG64" s="1334"/>
      <c r="AH64" s="1331"/>
      <c r="AI64" s="1335"/>
      <c r="AJ64" s="1333"/>
      <c r="AK64" s="1333"/>
      <c r="AL64" s="1312"/>
      <c r="AM64" s="1316"/>
      <c r="AN64" s="1320"/>
      <c r="AO64" s="1307"/>
      <c r="AP64" s="1317"/>
      <c r="AQ64" s="1333"/>
      <c r="AR64" s="1333"/>
      <c r="AS64" s="1331"/>
      <c r="AT64" s="1333"/>
    </row>
  </sheetData>
  <mergeCells count="41">
    <mergeCell ref="A5:A6"/>
    <mergeCell ref="C1:F1"/>
    <mergeCell ref="G1:J1"/>
    <mergeCell ref="L1:O1"/>
    <mergeCell ref="P1:S1"/>
    <mergeCell ref="AD1:AG1"/>
    <mergeCell ref="AH1:AK1"/>
    <mergeCell ref="AM1:AP1"/>
    <mergeCell ref="AQ1:AT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5:A56"/>
    <mergeCell ref="A57:A58"/>
    <mergeCell ref="A59:A60"/>
    <mergeCell ref="A61:A62"/>
    <mergeCell ref="A63:A6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июль 2021 (2)</vt:lpstr>
      <vt:lpstr>январь2021</vt:lpstr>
      <vt:lpstr>февраль 2021</vt:lpstr>
      <vt:lpstr>март 2021</vt:lpstr>
      <vt:lpstr>апрель 2021</vt:lpstr>
      <vt:lpstr>май 2021</vt:lpstr>
      <vt:lpstr>июнь 2021</vt:lpstr>
      <vt:lpstr>июль 2021</vt:lpstr>
      <vt:lpstr>август 2021</vt:lpstr>
      <vt:lpstr>сентябрь 2021</vt:lpstr>
      <vt:lpstr>октябрь 2021</vt:lpstr>
      <vt:lpstr>ноябрь 2021</vt:lpstr>
      <vt:lpstr>Декабрь 2021</vt:lpstr>
      <vt:lpstr>Январь 2022</vt:lpstr>
      <vt:lpstr>февраль 2022</vt:lpstr>
      <vt:lpstr>март 2022 г</vt:lpstr>
      <vt:lpstr>апрель 2022 г</vt:lpstr>
      <vt:lpstr>май 2022г</vt:lpstr>
      <vt:lpstr>июнь 2022г</vt:lpstr>
      <vt:lpstr>июль 2022г</vt:lpstr>
      <vt:lpstr>август 2022г</vt:lpstr>
      <vt:lpstr>сентябрь 2022г</vt:lpstr>
      <vt:lpstr>октябрь 2022г</vt:lpstr>
      <vt:lpstr>ноябрь 2022г</vt:lpstr>
      <vt:lpstr>декабрь 2022г </vt:lpstr>
      <vt:lpstr>январь 2023г</vt:lpstr>
      <vt:lpstr>февраль 2023г </vt:lpstr>
      <vt:lpstr>март 2023г </vt:lpstr>
      <vt:lpstr>апрель 2023г</vt:lpstr>
      <vt:lpstr>май 2023г </vt:lpstr>
      <vt:lpstr>июнь 2023г</vt:lpstr>
      <vt:lpstr>июль 2023г</vt:lpstr>
      <vt:lpstr>август 2023г</vt:lpstr>
      <vt:lpstr>сентябрь 2023г</vt:lpstr>
      <vt:lpstr>октябрь 2023г</vt:lpstr>
      <vt:lpstr>ноябрь 2023г</vt:lpstr>
      <vt:lpstr>декабрь 2023г</vt:lpstr>
      <vt:lpstr>январь 2024г</vt:lpstr>
      <vt:lpstr>февраль 2024г</vt:lpstr>
      <vt:lpstr>март 2024г</vt:lpstr>
      <vt:lpstr>апрель 2024г</vt:lpstr>
      <vt:lpstr>май 2024г</vt:lpstr>
      <vt:lpstr>июнь 2024г</vt:lpstr>
      <vt:lpstr>июль 2024г</vt:lpstr>
      <vt:lpstr>август 2024г</vt:lpstr>
      <vt:lpstr>сентябрь 2024г</vt:lpstr>
      <vt:lpstr>октябрь 2024г</vt:lpstr>
      <vt:lpstr>ноябрь 2024г</vt:lpstr>
      <vt:lpstr>декабрь 2024г</vt:lpstr>
      <vt:lpstr>январь 2025г</vt:lpstr>
      <vt:lpstr>февраль 2025г </vt:lpstr>
      <vt:lpstr>Март 2025г</vt:lpstr>
      <vt:lpstr>Апрель 2025г</vt:lpstr>
      <vt:lpstr>май 2025г</vt:lpstr>
      <vt:lpstr>июнь 2025г</vt:lpstr>
      <vt:lpstr>сентябрь 2025г   </vt:lpstr>
      <vt:lpstr>октябрь 2025г</vt:lpstr>
      <vt:lpstr>июль 2025г </vt:lpstr>
      <vt:lpstr>август 2025г  </vt:lpstr>
      <vt:lpstr>ноябрь 2025г    </vt:lpstr>
      <vt:lpstr>декабрь 2025г     </vt:lpstr>
      <vt:lpstr>Январ 2026 год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2026-01-24T15:57:14Z</dcterms:modified>
</cp:coreProperties>
</file>